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finance\ExcelTools\"/>
    </mc:Choice>
  </mc:AlternateContent>
  <xr:revisionPtr revIDLastSave="0" documentId="13_ncr:1_{1E7D10C7-93ED-49BC-9645-D6D1283C02A7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Front" sheetId="3" r:id="rId1"/>
    <sheet name="Data" sheetId="17" r:id="rId2"/>
  </sheets>
  <functionGroups builtInGroupCount="19"/>
  <definedNames>
    <definedName name="_xlnm._FilterDatabase" localSheetId="1" hidden="1">Data!$A$1:$T$1927</definedName>
    <definedName name="ExternalData_1" localSheetId="1">Data!$A$1:$A$1927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2" i="17" l="1"/>
  <c r="T3" i="17"/>
  <c r="T4" i="17"/>
  <c r="T5" i="17"/>
  <c r="T6" i="17"/>
  <c r="T7" i="17"/>
  <c r="T8" i="17"/>
  <c r="T9" i="17"/>
  <c r="T10" i="17"/>
  <c r="T11" i="17"/>
  <c r="T1056" i="17"/>
  <c r="T13" i="17"/>
  <c r="T14" i="17"/>
  <c r="T15" i="17"/>
  <c r="T16" i="17"/>
  <c r="T17" i="17"/>
  <c r="T1342" i="17"/>
  <c r="T19" i="17"/>
  <c r="T20" i="17"/>
  <c r="T869" i="17"/>
  <c r="T864" i="17"/>
  <c r="T23" i="17"/>
  <c r="T24" i="17"/>
  <c r="T25" i="17"/>
  <c r="T26" i="17"/>
  <c r="T27" i="17"/>
  <c r="T28" i="17"/>
  <c r="T365" i="17"/>
  <c r="T30" i="17"/>
  <c r="T22" i="17"/>
  <c r="T1250" i="17"/>
  <c r="T572" i="17"/>
  <c r="T34" i="17"/>
  <c r="T21" i="17"/>
  <c r="T243" i="17"/>
  <c r="T37" i="17"/>
  <c r="T38" i="17"/>
  <c r="T39" i="17"/>
  <c r="T40" i="17"/>
  <c r="T41" i="17"/>
  <c r="T42" i="17"/>
  <c r="T43" i="17"/>
  <c r="T44" i="17"/>
  <c r="T45" i="17"/>
  <c r="T46" i="17"/>
  <c r="T511" i="17"/>
  <c r="T48" i="17"/>
  <c r="T49" i="17"/>
  <c r="T50" i="17"/>
  <c r="T51" i="17"/>
  <c r="T52" i="17"/>
  <c r="T1903" i="17"/>
  <c r="T54" i="17"/>
  <c r="T55" i="17"/>
  <c r="T56" i="17"/>
  <c r="T57" i="17"/>
  <c r="T58" i="17"/>
  <c r="T59" i="17"/>
  <c r="T60" i="17"/>
  <c r="T61" i="17"/>
  <c r="T62" i="17"/>
  <c r="T63" i="17"/>
  <c r="T64" i="17"/>
  <c r="T65" i="17"/>
  <c r="T463" i="17"/>
  <c r="T67" i="17"/>
  <c r="T1181" i="17"/>
  <c r="T69" i="17"/>
  <c r="T1654" i="17"/>
  <c r="T71" i="17"/>
  <c r="T72" i="17"/>
  <c r="T73" i="17"/>
  <c r="T74" i="17"/>
  <c r="T444" i="17"/>
  <c r="T76" i="17"/>
  <c r="T77" i="17"/>
  <c r="T78" i="17"/>
  <c r="T79" i="17"/>
  <c r="T80" i="17"/>
  <c r="T81" i="17"/>
  <c r="T82" i="17"/>
  <c r="T83" i="17"/>
  <c r="T84" i="17"/>
  <c r="T1275" i="17"/>
  <c r="T86" i="17"/>
  <c r="T87" i="17"/>
  <c r="T88" i="17"/>
  <c r="T1715" i="17"/>
  <c r="T90" i="17"/>
  <c r="T91" i="17"/>
  <c r="T92" i="17"/>
  <c r="T93" i="17"/>
  <c r="T94" i="17"/>
  <c r="T95" i="17"/>
  <c r="T96" i="17"/>
  <c r="T97" i="17"/>
  <c r="T1891" i="17"/>
  <c r="T99" i="17"/>
  <c r="T100" i="17"/>
  <c r="T554" i="17"/>
  <c r="T684" i="17"/>
  <c r="T103" i="17"/>
  <c r="T104" i="17"/>
  <c r="T105" i="17"/>
  <c r="T106" i="17"/>
  <c r="T793" i="17"/>
  <c r="T108" i="17"/>
  <c r="T563" i="17"/>
  <c r="T110" i="17"/>
  <c r="T111" i="17"/>
  <c r="T112" i="17"/>
  <c r="T113" i="17"/>
  <c r="T114" i="17"/>
  <c r="T115" i="17"/>
  <c r="T116" i="17"/>
  <c r="T117" i="17"/>
  <c r="T118" i="17"/>
  <c r="T119" i="17"/>
  <c r="T1707" i="17"/>
  <c r="T121" i="17"/>
  <c r="T210" i="17"/>
  <c r="T123" i="17"/>
  <c r="T124" i="17"/>
  <c r="T125" i="17"/>
  <c r="T126" i="17"/>
  <c r="T127" i="17"/>
  <c r="T128" i="17"/>
  <c r="T129" i="17"/>
  <c r="T130" i="17"/>
  <c r="T799" i="17"/>
  <c r="T398" i="17"/>
  <c r="T133" i="17"/>
  <c r="T1105" i="17"/>
  <c r="T135" i="17"/>
  <c r="T136" i="17"/>
  <c r="T137" i="17"/>
  <c r="T138" i="17"/>
  <c r="T1031" i="17"/>
  <c r="T140" i="17"/>
  <c r="T141" i="17"/>
  <c r="T142" i="17"/>
  <c r="T1558" i="17"/>
  <c r="T144" i="17"/>
  <c r="T145" i="17"/>
  <c r="T146" i="17"/>
  <c r="T147" i="17"/>
  <c r="T148" i="17"/>
  <c r="T1429" i="17"/>
  <c r="T150" i="17"/>
  <c r="T151" i="17"/>
  <c r="T89" i="17"/>
  <c r="T153" i="17"/>
  <c r="T154" i="17"/>
  <c r="T155" i="17"/>
  <c r="T156" i="17"/>
  <c r="T298" i="17"/>
  <c r="T583" i="17"/>
  <c r="T159" i="17"/>
  <c r="T160" i="17"/>
  <c r="T161" i="17"/>
  <c r="T1757" i="17"/>
  <c r="T163" i="17"/>
  <c r="T164" i="17"/>
  <c r="T165" i="17"/>
  <c r="T166" i="17"/>
  <c r="T167" i="17"/>
  <c r="T168" i="17"/>
  <c r="T169" i="17"/>
  <c r="T170" i="17"/>
  <c r="T171" i="17"/>
  <c r="T172" i="17"/>
  <c r="T173" i="17"/>
  <c r="T174" i="17"/>
  <c r="T175" i="17"/>
  <c r="T176" i="17"/>
  <c r="T177" i="17"/>
  <c r="T271" i="17"/>
  <c r="T179" i="17"/>
  <c r="T1653" i="17"/>
  <c r="T181" i="17"/>
  <c r="T403" i="17"/>
  <c r="T183" i="17"/>
  <c r="T184" i="17"/>
  <c r="T185" i="17"/>
  <c r="T1138" i="17"/>
  <c r="T187" i="17"/>
  <c r="T143" i="17"/>
  <c r="T189" i="17"/>
  <c r="T301" i="17"/>
  <c r="T191" i="17"/>
  <c r="T192" i="17"/>
  <c r="T193" i="17"/>
  <c r="T194" i="17"/>
  <c r="T195" i="17"/>
  <c r="T196" i="17"/>
  <c r="T197" i="17"/>
  <c r="T198" i="17"/>
  <c r="T158" i="17"/>
  <c r="T200" i="17"/>
  <c r="T201" i="17"/>
  <c r="T202" i="17"/>
  <c r="T203" i="17"/>
  <c r="T204" i="17"/>
  <c r="T447" i="17"/>
  <c r="T205" i="17"/>
  <c r="T446" i="17"/>
  <c r="T208" i="17"/>
  <c r="T209" i="17"/>
  <c r="T487" i="17"/>
  <c r="T211" i="17"/>
  <c r="T212" i="17"/>
  <c r="T213" i="17"/>
  <c r="T214" i="17"/>
  <c r="T215" i="17"/>
  <c r="T216" i="17"/>
  <c r="T847" i="17"/>
  <c r="T218" i="17"/>
  <c r="T219" i="17"/>
  <c r="T220" i="17"/>
  <c r="T1118" i="17"/>
  <c r="T1212" i="17"/>
  <c r="T223" i="17"/>
  <c r="T224" i="17"/>
  <c r="T225" i="17"/>
  <c r="T226" i="17"/>
  <c r="T227" i="17"/>
  <c r="T1387" i="17"/>
  <c r="T229" i="17"/>
  <c r="T230" i="17"/>
  <c r="T231" i="17"/>
  <c r="T808" i="17"/>
  <c r="T233" i="17"/>
  <c r="T234" i="17"/>
  <c r="T471" i="17"/>
  <c r="T236" i="17"/>
  <c r="T237" i="17"/>
  <c r="T238" i="17"/>
  <c r="T239" i="17"/>
  <c r="T240" i="17"/>
  <c r="T241" i="17"/>
  <c r="T1289" i="17"/>
  <c r="T269" i="17"/>
  <c r="T1033" i="17"/>
  <c r="T245" i="17"/>
  <c r="T190" i="17"/>
  <c r="T247" i="17"/>
  <c r="T248" i="17"/>
  <c r="T249" i="17"/>
  <c r="T250" i="17"/>
  <c r="T251" i="17"/>
  <c r="T252" i="17"/>
  <c r="T253" i="17"/>
  <c r="T254" i="17"/>
  <c r="T255" i="17"/>
  <c r="T256" i="17"/>
  <c r="T257" i="17"/>
  <c r="T258" i="17"/>
  <c r="T259" i="17"/>
  <c r="T785" i="17"/>
  <c r="T261" i="17"/>
  <c r="T262" i="17"/>
  <c r="T263" i="17"/>
  <c r="T264" i="17"/>
  <c r="T265" i="17"/>
  <c r="T266" i="17"/>
  <c r="T267" i="17"/>
  <c r="T268" i="17"/>
  <c r="T33" i="17"/>
  <c r="T270" i="17"/>
  <c r="T579" i="17"/>
  <c r="T272" i="17"/>
  <c r="T273" i="17"/>
  <c r="T274" i="17"/>
  <c r="T275" i="17"/>
  <c r="T276" i="17"/>
  <c r="T277" i="17"/>
  <c r="T278" i="17"/>
  <c r="T279" i="17"/>
  <c r="T280" i="17"/>
  <c r="T281" i="17"/>
  <c r="T282" i="17"/>
  <c r="T1248" i="17"/>
  <c r="T284" i="17"/>
  <c r="T285" i="17"/>
  <c r="T286" i="17"/>
  <c r="T287" i="17"/>
  <c r="T288" i="17"/>
  <c r="T289" i="17"/>
  <c r="T290" i="17"/>
  <c r="T291" i="17"/>
  <c r="T292" i="17"/>
  <c r="T1719" i="17"/>
  <c r="T332" i="17"/>
  <c r="T295" i="17"/>
  <c r="T1842" i="17"/>
  <c r="T297" i="17"/>
  <c r="T539" i="17"/>
  <c r="T299" i="17"/>
  <c r="T207" i="17"/>
  <c r="T1023" i="17"/>
  <c r="T302" i="17"/>
  <c r="T908" i="17"/>
  <c r="T304" i="17"/>
  <c r="T1160" i="17"/>
  <c r="T1334" i="17"/>
  <c r="T307" i="17"/>
  <c r="T308" i="17"/>
  <c r="T309" i="17"/>
  <c r="T310" i="17"/>
  <c r="T311" i="17"/>
  <c r="T884" i="17"/>
  <c r="T313" i="17"/>
  <c r="T314" i="17"/>
  <c r="T315" i="17"/>
  <c r="T316" i="17"/>
  <c r="T317" i="17"/>
  <c r="T318" i="17"/>
  <c r="T319" i="17"/>
  <c r="T713" i="17"/>
  <c r="T321" i="17"/>
  <c r="T322" i="17"/>
  <c r="T323" i="17"/>
  <c r="T324" i="17"/>
  <c r="T325" i="17"/>
  <c r="T565" i="17"/>
  <c r="T1836" i="17"/>
  <c r="T328" i="17"/>
  <c r="T329" i="17"/>
  <c r="T330" i="17"/>
  <c r="T331" i="17"/>
  <c r="T1111" i="17"/>
  <c r="T1398" i="17"/>
  <c r="T334" i="17"/>
  <c r="T335" i="17"/>
  <c r="T336" i="17"/>
  <c r="T337" i="17"/>
  <c r="T1767" i="17"/>
  <c r="T339" i="17"/>
  <c r="T340" i="17"/>
  <c r="T341" i="17"/>
  <c r="T342" i="17"/>
  <c r="T343" i="17"/>
  <c r="T344" i="17"/>
  <c r="T1386" i="17"/>
  <c r="T346" i="17"/>
  <c r="T1596" i="17"/>
  <c r="T348" i="17"/>
  <c r="T349" i="17"/>
  <c r="T152" i="17"/>
  <c r="T1065" i="17"/>
  <c r="T352" i="17"/>
  <c r="T1771" i="17"/>
  <c r="T440" i="17"/>
  <c r="T1800" i="17"/>
  <c r="T356" i="17"/>
  <c r="T357" i="17"/>
  <c r="T358" i="17"/>
  <c r="T122" i="17"/>
  <c r="T360" i="17"/>
  <c r="T361" i="17"/>
  <c r="T1302" i="17"/>
  <c r="T363" i="17"/>
  <c r="T364" i="17"/>
  <c r="T541" i="17"/>
  <c r="T1228" i="17"/>
  <c r="T367" i="17"/>
  <c r="T354" i="17"/>
  <c r="T369" i="17"/>
  <c r="T370" i="17"/>
  <c r="T580" i="17"/>
  <c r="T372" i="17"/>
  <c r="T373" i="17"/>
  <c r="T374" i="17"/>
  <c r="T375" i="17"/>
  <c r="T376" i="17"/>
  <c r="T186" i="17"/>
  <c r="T378" i="17"/>
  <c r="T379" i="17"/>
  <c r="T380" i="17"/>
  <c r="T29" i="17"/>
  <c r="T382" i="17"/>
  <c r="T383" i="17"/>
  <c r="T384" i="17"/>
  <c r="T385" i="17"/>
  <c r="T386" i="17"/>
  <c r="T387" i="17"/>
  <c r="T388" i="17"/>
  <c r="T389" i="17"/>
  <c r="T390" i="17"/>
  <c r="T391" i="17"/>
  <c r="T392" i="17"/>
  <c r="T393" i="17"/>
  <c r="T394" i="17"/>
  <c r="T395" i="17"/>
  <c r="T396" i="17"/>
  <c r="T397" i="17"/>
  <c r="T139" i="17"/>
  <c r="T399" i="17"/>
  <c r="T400" i="17"/>
  <c r="T246" i="17"/>
  <c r="T402" i="17"/>
  <c r="T483" i="17"/>
  <c r="T404" i="17"/>
  <c r="T405" i="17"/>
  <c r="T406" i="17"/>
  <c r="T407" i="17"/>
  <c r="T408" i="17"/>
  <c r="T409" i="17"/>
  <c r="T410" i="17"/>
  <c r="T411" i="17"/>
  <c r="T412" i="17"/>
  <c r="T296" i="17"/>
  <c r="T414" i="17"/>
  <c r="T415" i="17"/>
  <c r="T416" i="17"/>
  <c r="T417" i="17"/>
  <c r="T418" i="17"/>
  <c r="T724" i="17"/>
  <c r="T420" i="17"/>
  <c r="T421" i="17"/>
  <c r="T422" i="17"/>
  <c r="T423" i="17"/>
  <c r="T424" i="17"/>
  <c r="T425" i="17"/>
  <c r="T426" i="17"/>
  <c r="T427" i="17"/>
  <c r="T428" i="17"/>
  <c r="T429" i="17"/>
  <c r="T430" i="17"/>
  <c r="T431" i="17"/>
  <c r="T432" i="17"/>
  <c r="T433" i="17"/>
  <c r="T434" i="17"/>
  <c r="T692" i="17"/>
  <c r="T436" i="17"/>
  <c r="T437" i="17"/>
  <c r="T438" i="17"/>
  <c r="T439" i="17"/>
  <c r="T98" i="17"/>
  <c r="T1720" i="17"/>
  <c r="T442" i="17"/>
  <c r="T443" i="17"/>
  <c r="T1267" i="17"/>
  <c r="T445" i="17"/>
  <c r="T1359" i="17"/>
  <c r="T1586" i="17"/>
  <c r="T448" i="17"/>
  <c r="T449" i="17"/>
  <c r="T450" i="17"/>
  <c r="T451" i="17"/>
  <c r="T1773" i="17"/>
  <c r="T453" i="17"/>
  <c r="T454" i="17"/>
  <c r="T455" i="17"/>
  <c r="T456" i="17"/>
  <c r="T457" i="17"/>
  <c r="T458" i="17"/>
  <c r="T459" i="17"/>
  <c r="T460" i="17"/>
  <c r="T461" i="17"/>
  <c r="T462" i="17"/>
  <c r="T593" i="17"/>
  <c r="T464" i="17"/>
  <c r="T465" i="17"/>
  <c r="T466" i="17"/>
  <c r="T182" i="17"/>
  <c r="T468" i="17"/>
  <c r="T469" i="17"/>
  <c r="T470" i="17"/>
  <c r="T1389" i="17"/>
  <c r="T1914" i="17"/>
  <c r="T473" i="17"/>
  <c r="T333" i="17"/>
  <c r="T475" i="17"/>
  <c r="T476" i="17"/>
  <c r="T477" i="17"/>
  <c r="T478" i="17"/>
  <c r="T1087" i="17"/>
  <c r="T480" i="17"/>
  <c r="T481" i="17"/>
  <c r="T482" i="17"/>
  <c r="T1158" i="17"/>
  <c r="T484" i="17"/>
  <c r="T646" i="17"/>
  <c r="T486" i="17"/>
  <c r="T1076" i="17"/>
  <c r="T934" i="17"/>
  <c r="T489" i="17"/>
  <c r="T490" i="17"/>
  <c r="T491" i="17"/>
  <c r="T1608" i="17"/>
  <c r="T493" i="17"/>
  <c r="T494" i="17"/>
  <c r="T1795" i="17"/>
  <c r="T508" i="17"/>
  <c r="T497" i="17"/>
  <c r="T498" i="17"/>
  <c r="T499" i="17"/>
  <c r="T500" i="17"/>
  <c r="T501" i="17"/>
  <c r="T502" i="17"/>
  <c r="T503" i="17"/>
  <c r="T1420" i="17"/>
  <c r="T505" i="17"/>
  <c r="T506" i="17"/>
  <c r="T507" i="17"/>
  <c r="T962" i="17"/>
  <c r="T509" i="17"/>
  <c r="T510" i="17"/>
  <c r="T1022" i="17"/>
  <c r="T512" i="17"/>
  <c r="T513" i="17"/>
  <c r="T514" i="17"/>
  <c r="T515" i="17"/>
  <c r="T516" i="17"/>
  <c r="T517" i="17"/>
  <c r="T518" i="17"/>
  <c r="T519" i="17"/>
  <c r="T520" i="17"/>
  <c r="T521" i="17"/>
  <c r="T522" i="17"/>
  <c r="T523" i="17"/>
  <c r="T652" i="17"/>
  <c r="T525" i="17"/>
  <c r="T526" i="17"/>
  <c r="T527" i="17"/>
  <c r="T528" i="17"/>
  <c r="T529" i="17"/>
  <c r="T530" i="17"/>
  <c r="T1804" i="17"/>
  <c r="T1676" i="17"/>
  <c r="T533" i="17"/>
  <c r="T534" i="17"/>
  <c r="T535" i="17"/>
  <c r="T536" i="17"/>
  <c r="T537" i="17"/>
  <c r="T538" i="17"/>
  <c r="T1445" i="17"/>
  <c r="T540" i="17"/>
  <c r="T1368" i="17"/>
  <c r="T542" i="17"/>
  <c r="T543" i="17"/>
  <c r="T544" i="17"/>
  <c r="T1776" i="17"/>
  <c r="T546" i="17"/>
  <c r="T547" i="17"/>
  <c r="T548" i="17"/>
  <c r="T549" i="17"/>
  <c r="T550" i="17"/>
  <c r="T551" i="17"/>
  <c r="T552" i="17"/>
  <c r="T553" i="17"/>
  <c r="T1073" i="17"/>
  <c r="T555" i="17"/>
  <c r="T350" i="17"/>
  <c r="T557" i="17"/>
  <c r="T359" i="17"/>
  <c r="T496" i="17"/>
  <c r="T560" i="17"/>
  <c r="T561" i="17"/>
  <c r="T562" i="17"/>
  <c r="T1320" i="17"/>
  <c r="T564" i="17"/>
  <c r="T1060" i="17"/>
  <c r="T566" i="17"/>
  <c r="T567" i="17"/>
  <c r="T568" i="17"/>
  <c r="T569" i="17"/>
  <c r="T570" i="17"/>
  <c r="T571" i="17"/>
  <c r="T866" i="17"/>
  <c r="T573" i="17"/>
  <c r="T574" i="17"/>
  <c r="T575" i="17"/>
  <c r="T576" i="17"/>
  <c r="T577" i="17"/>
  <c r="T578" i="17"/>
  <c r="T832" i="17"/>
  <c r="T306" i="17"/>
  <c r="T659" i="17"/>
  <c r="T582" i="17"/>
  <c r="T1195" i="17"/>
  <c r="T584" i="17"/>
  <c r="T1890" i="17"/>
  <c r="T586" i="17"/>
  <c r="T587" i="17"/>
  <c r="T588" i="17"/>
  <c r="T589" i="17"/>
  <c r="T479" i="17"/>
  <c r="T1748" i="17"/>
  <c r="T592" i="17"/>
  <c r="T768" i="17"/>
  <c r="T594" i="17"/>
  <c r="T595" i="17"/>
  <c r="T596" i="17"/>
  <c r="T597" i="17"/>
  <c r="T598" i="17"/>
  <c r="T599" i="17"/>
  <c r="T600" i="17"/>
  <c r="T601" i="17"/>
  <c r="T602" i="17"/>
  <c r="T603" i="17"/>
  <c r="T604" i="17"/>
  <c r="T1607" i="17"/>
  <c r="T606" i="17"/>
  <c r="T607" i="17"/>
  <c r="T608" i="17"/>
  <c r="T609" i="17"/>
  <c r="T610" i="17"/>
  <c r="T611" i="17"/>
  <c r="T612" i="17"/>
  <c r="T613" i="17"/>
  <c r="T888" i="17"/>
  <c r="T615" i="17"/>
  <c r="T616" i="17"/>
  <c r="T590" i="17"/>
  <c r="T618" i="17"/>
  <c r="T846" i="17"/>
  <c r="T620" i="17"/>
  <c r="T621" i="17"/>
  <c r="T622" i="17"/>
  <c r="T623" i="17"/>
  <c r="T1286" i="17"/>
  <c r="T625" i="17"/>
  <c r="T626" i="17"/>
  <c r="T627" i="17"/>
  <c r="T628" i="17"/>
  <c r="T629" i="17"/>
  <c r="T630" i="17"/>
  <c r="T631" i="17"/>
  <c r="T368" i="17"/>
  <c r="T1468" i="17"/>
  <c r="T634" i="17"/>
  <c r="T635" i="17"/>
  <c r="T636" i="17"/>
  <c r="T362" i="17"/>
  <c r="T638" i="17"/>
  <c r="T639" i="17"/>
  <c r="T694" i="17"/>
  <c r="T641" i="17"/>
  <c r="T642" i="17"/>
  <c r="T643" i="17"/>
  <c r="T644" i="17"/>
  <c r="T645" i="17"/>
  <c r="T920" i="17"/>
  <c r="T647" i="17"/>
  <c r="T648" i="17"/>
  <c r="T649" i="17"/>
  <c r="T633" i="17"/>
  <c r="T651" i="17"/>
  <c r="T581" i="17"/>
  <c r="T653" i="17"/>
  <c r="T654" i="17"/>
  <c r="T655" i="17"/>
  <c r="T222" i="17"/>
  <c r="T657" i="17"/>
  <c r="T658" i="17"/>
  <c r="T957" i="17"/>
  <c r="T660" i="17"/>
  <c r="T661" i="17"/>
  <c r="T662" i="17"/>
  <c r="T663" i="17"/>
  <c r="T664" i="17"/>
  <c r="T665" i="17"/>
  <c r="T666" i="17"/>
  <c r="T667" i="17"/>
  <c r="T668" i="17"/>
  <c r="T669" i="17"/>
  <c r="T670" i="17"/>
  <c r="T671" i="17"/>
  <c r="T672" i="17"/>
  <c r="T790" i="17"/>
  <c r="T1864" i="17"/>
  <c r="T675" i="17"/>
  <c r="T676" i="17"/>
  <c r="T1084" i="17"/>
  <c r="T678" i="17"/>
  <c r="T679" i="17"/>
  <c r="T680" i="17"/>
  <c r="T681" i="17"/>
  <c r="T682" i="17"/>
  <c r="T683" i="17"/>
  <c r="T830" i="17"/>
  <c r="T685" i="17"/>
  <c r="T686" i="17"/>
  <c r="T687" i="17"/>
  <c r="T47" i="17"/>
  <c r="T689" i="17"/>
  <c r="T690" i="17"/>
  <c r="T691" i="17"/>
  <c r="T721" i="17"/>
  <c r="T693" i="17"/>
  <c r="T640" i="17"/>
  <c r="T695" i="17"/>
  <c r="T696" i="17"/>
  <c r="T697" i="17"/>
  <c r="T698" i="17"/>
  <c r="T699" i="17"/>
  <c r="T700" i="17"/>
  <c r="T701" i="17"/>
  <c r="T702" i="17"/>
  <c r="T703" i="17"/>
  <c r="T704" i="17"/>
  <c r="T705" i="17"/>
  <c r="T706" i="17"/>
  <c r="T1693" i="17"/>
  <c r="T708" i="17"/>
  <c r="T709" i="17"/>
  <c r="T710" i="17"/>
  <c r="T711" i="17"/>
  <c r="T712" i="17"/>
  <c r="T1809" i="17"/>
  <c r="T714" i="17"/>
  <c r="T715" i="17"/>
  <c r="T716" i="17"/>
  <c r="T717" i="17"/>
  <c r="T1675" i="17"/>
  <c r="T719" i="17"/>
  <c r="T720" i="17"/>
  <c r="T68" i="17"/>
  <c r="T722" i="17"/>
  <c r="T723" i="17"/>
  <c r="T1366" i="17"/>
  <c r="T725" i="17"/>
  <c r="T726" i="17"/>
  <c r="T727" i="17"/>
  <c r="T728" i="17"/>
  <c r="T729" i="17"/>
  <c r="T730" i="17"/>
  <c r="T731" i="17"/>
  <c r="T732" i="17"/>
  <c r="T733" i="17"/>
  <c r="T734" i="17"/>
  <c r="T735" i="17"/>
  <c r="T1840" i="17"/>
  <c r="T737" i="17"/>
  <c r="T738" i="17"/>
  <c r="T739" i="17"/>
  <c r="T740" i="17"/>
  <c r="T741" i="17"/>
  <c r="T742" i="17"/>
  <c r="T743" i="17"/>
  <c r="T838" i="17"/>
  <c r="T745" i="17"/>
  <c r="T746" i="17"/>
  <c r="T747" i="17"/>
  <c r="T748" i="17"/>
  <c r="T749" i="17"/>
  <c r="T750" i="17"/>
  <c r="T751" i="17"/>
  <c r="T752" i="17"/>
  <c r="T753" i="17"/>
  <c r="T754" i="17"/>
  <c r="T755" i="17"/>
  <c r="T1915" i="17"/>
  <c r="T757" i="17"/>
  <c r="T758" i="17"/>
  <c r="T759" i="17"/>
  <c r="T760" i="17"/>
  <c r="T761" i="17"/>
  <c r="T762" i="17"/>
  <c r="T763" i="17"/>
  <c r="T764" i="17"/>
  <c r="T765" i="17"/>
  <c r="T1332" i="17"/>
  <c r="T188" i="17"/>
  <c r="T377" i="17"/>
  <c r="T842" i="17"/>
  <c r="T718" i="17"/>
  <c r="T771" i="17"/>
  <c r="T772" i="17"/>
  <c r="T773" i="17"/>
  <c r="T774" i="17"/>
  <c r="T775" i="17"/>
  <c r="T776" i="17"/>
  <c r="T777" i="17"/>
  <c r="T778" i="17"/>
  <c r="T779" i="17"/>
  <c r="T780" i="17"/>
  <c r="T781" i="17"/>
  <c r="T782" i="17"/>
  <c r="T783" i="17"/>
  <c r="T784" i="17"/>
  <c r="T1924" i="17"/>
  <c r="T786" i="17"/>
  <c r="T787" i="17"/>
  <c r="T788" i="17"/>
  <c r="T789" i="17"/>
  <c r="T366" i="17"/>
  <c r="T791" i="17"/>
  <c r="T792" i="17"/>
  <c r="T1300" i="17"/>
  <c r="T794" i="17"/>
  <c r="T795" i="17"/>
  <c r="T796" i="17"/>
  <c r="T797" i="17"/>
  <c r="T798" i="17"/>
  <c r="T1807" i="17"/>
  <c r="T800" i="17"/>
  <c r="T801" i="17"/>
  <c r="T802" i="17"/>
  <c r="T1652" i="17"/>
  <c r="T804" i="17"/>
  <c r="T805" i="17"/>
  <c r="T1101" i="17"/>
  <c r="T327" i="17"/>
  <c r="T556" i="17"/>
  <c r="T809" i="17"/>
  <c r="T810" i="17"/>
  <c r="T650" i="17"/>
  <c r="T812" i="17"/>
  <c r="T1278" i="17"/>
  <c r="T814" i="17"/>
  <c r="T815" i="17"/>
  <c r="T816" i="17"/>
  <c r="T817" i="17"/>
  <c r="T818" i="17"/>
  <c r="T819" i="17"/>
  <c r="T820" i="17"/>
  <c r="T821" i="17"/>
  <c r="T822" i="17"/>
  <c r="T823" i="17"/>
  <c r="T824" i="17"/>
  <c r="T825" i="17"/>
  <c r="T826" i="17"/>
  <c r="T1815" i="17"/>
  <c r="T828" i="17"/>
  <c r="T829" i="17"/>
  <c r="T1352" i="17"/>
  <c r="T303" i="17"/>
  <c r="T891" i="17"/>
  <c r="T585" i="17"/>
  <c r="T834" i="17"/>
  <c r="T835" i="17"/>
  <c r="T836" i="17"/>
  <c r="T837" i="17"/>
  <c r="T624" i="17"/>
  <c r="T839" i="17"/>
  <c r="T840" i="17"/>
  <c r="T841" i="17"/>
  <c r="T300" i="17"/>
  <c r="T843" i="17"/>
  <c r="T441" i="17"/>
  <c r="T845" i="17"/>
  <c r="T1858" i="17"/>
  <c r="T293" i="17"/>
  <c r="T848" i="17"/>
  <c r="T849" i="17"/>
  <c r="T1699" i="17"/>
  <c r="T851" i="17"/>
  <c r="T75" i="17"/>
  <c r="T853" i="17"/>
  <c r="T854" i="17"/>
  <c r="T855" i="17"/>
  <c r="T856" i="17"/>
  <c r="T857" i="17"/>
  <c r="T858" i="17"/>
  <c r="T859" i="17"/>
  <c r="T872" i="17"/>
  <c r="T107" i="17"/>
  <c r="T862" i="17"/>
  <c r="T863" i="17"/>
  <c r="T347" i="17"/>
  <c r="T865" i="17"/>
  <c r="T1702" i="17"/>
  <c r="T867" i="17"/>
  <c r="T1319" i="17"/>
  <c r="T1844" i="17"/>
  <c r="T1716" i="17"/>
  <c r="T871" i="17"/>
  <c r="T492" i="17"/>
  <c r="T736" i="17"/>
  <c r="T874" i="17"/>
  <c r="T875" i="17"/>
  <c r="T876" i="17"/>
  <c r="T877" i="17"/>
  <c r="T878" i="17"/>
  <c r="T879" i="17"/>
  <c r="T880" i="17"/>
  <c r="T881" i="17"/>
  <c r="T882" i="17"/>
  <c r="T883" i="17"/>
  <c r="T1487" i="17"/>
  <c r="T1362" i="17"/>
  <c r="T1721" i="17"/>
  <c r="T887" i="17"/>
  <c r="T217" i="17"/>
  <c r="T889" i="17"/>
  <c r="T890" i="17"/>
  <c r="T228" i="17"/>
  <c r="T892" i="17"/>
  <c r="T893" i="17"/>
  <c r="T894" i="17"/>
  <c r="T895" i="17"/>
  <c r="T896" i="17"/>
  <c r="T897" i="17"/>
  <c r="T898" i="17"/>
  <c r="T899" i="17"/>
  <c r="T242" i="17"/>
  <c r="T901" i="17"/>
  <c r="T1456" i="17"/>
  <c r="T903" i="17"/>
  <c r="T904" i="17"/>
  <c r="T905" i="17"/>
  <c r="T906" i="17"/>
  <c r="T907" i="17"/>
  <c r="T1651" i="17"/>
  <c r="T178" i="17"/>
  <c r="T910" i="17"/>
  <c r="T911" i="17"/>
  <c r="T912" i="17"/>
  <c r="T913" i="17"/>
  <c r="T914" i="17"/>
  <c r="T1405" i="17"/>
  <c r="T916" i="17"/>
  <c r="T1051" i="17"/>
  <c r="T918" i="17"/>
  <c r="T969" i="17"/>
  <c r="T614" i="17"/>
  <c r="T921" i="17"/>
  <c r="T922" i="17"/>
  <c r="T923" i="17"/>
  <c r="T1242" i="17"/>
  <c r="T925" i="17"/>
  <c r="T926" i="17"/>
  <c r="T927" i="17"/>
  <c r="T928" i="17"/>
  <c r="T929" i="17"/>
  <c r="T930" i="17"/>
  <c r="T931" i="17"/>
  <c r="T932" i="17"/>
  <c r="T933" i="17"/>
  <c r="T1040" i="17"/>
  <c r="T935" i="17"/>
  <c r="T936" i="17"/>
  <c r="T937" i="17"/>
  <c r="T938" i="17"/>
  <c r="T939" i="17"/>
  <c r="T940" i="17"/>
  <c r="T941" i="17"/>
  <c r="T942" i="17"/>
  <c r="T943" i="17"/>
  <c r="T944" i="17"/>
  <c r="T945" i="17"/>
  <c r="T946" i="17"/>
  <c r="T947" i="17"/>
  <c r="T948" i="17"/>
  <c r="T949" i="17"/>
  <c r="T950" i="17"/>
  <c r="T951" i="17"/>
  <c r="T952" i="17"/>
  <c r="T953" i="17"/>
  <c r="T954" i="17"/>
  <c r="T955" i="17"/>
  <c r="T956" i="17"/>
  <c r="T1117" i="17"/>
  <c r="T958" i="17"/>
  <c r="T959" i="17"/>
  <c r="T960" i="17"/>
  <c r="T961" i="17"/>
  <c r="T495" i="17"/>
  <c r="T963" i="17"/>
  <c r="T964" i="17"/>
  <c r="T965" i="17"/>
  <c r="T966" i="17"/>
  <c r="T1177" i="17"/>
  <c r="T968" i="17"/>
  <c r="T260" i="17"/>
  <c r="T970" i="17"/>
  <c r="T971" i="17"/>
  <c r="T972" i="17"/>
  <c r="T973" i="17"/>
  <c r="T974" i="17"/>
  <c r="T975" i="17"/>
  <c r="T976" i="17"/>
  <c r="T977" i="17"/>
  <c r="T978" i="17"/>
  <c r="T979" i="17"/>
  <c r="T980" i="17"/>
  <c r="T981" i="17"/>
  <c r="T982" i="17"/>
  <c r="T983" i="17"/>
  <c r="T984" i="17"/>
  <c r="T985" i="17"/>
  <c r="T986" i="17"/>
  <c r="T987" i="17"/>
  <c r="T988" i="17"/>
  <c r="T989" i="17"/>
  <c r="T990" i="17"/>
  <c r="T991" i="17"/>
  <c r="T992" i="17"/>
  <c r="T993" i="17"/>
  <c r="T994" i="17"/>
  <c r="T995" i="17"/>
  <c r="T996" i="17"/>
  <c r="T997" i="17"/>
  <c r="T998" i="17"/>
  <c r="T673" i="17"/>
  <c r="T1000" i="17"/>
  <c r="T1001" i="17"/>
  <c r="T1002" i="17"/>
  <c r="T1003" i="17"/>
  <c r="T1004" i="17"/>
  <c r="T1005" i="17"/>
  <c r="T1006" i="17"/>
  <c r="T1007" i="17"/>
  <c r="T1008" i="17"/>
  <c r="T1009" i="17"/>
  <c r="T1010" i="17"/>
  <c r="T1011" i="17"/>
  <c r="T1012" i="17"/>
  <c r="T1013" i="17"/>
  <c r="T1563" i="17"/>
  <c r="T1015" i="17"/>
  <c r="T1016" i="17"/>
  <c r="T1017" i="17"/>
  <c r="T1018" i="17"/>
  <c r="T1019" i="17"/>
  <c r="T1020" i="17"/>
  <c r="T1021" i="17"/>
  <c r="T531" i="17"/>
  <c r="T1068" i="17"/>
  <c r="T1024" i="17"/>
  <c r="T1025" i="17"/>
  <c r="T1026" i="17"/>
  <c r="T1027" i="17"/>
  <c r="T1028" i="17"/>
  <c r="T1029" i="17"/>
  <c r="T1030" i="17"/>
  <c r="T999" i="17"/>
  <c r="T1032" i="17"/>
  <c r="T1690" i="17"/>
  <c r="T1034" i="17"/>
  <c r="T1035" i="17"/>
  <c r="T1036" i="17"/>
  <c r="T1037" i="17"/>
  <c r="T1038" i="17"/>
  <c r="T1039" i="17"/>
  <c r="T852" i="17"/>
  <c r="T1041" i="17"/>
  <c r="T1042" i="17"/>
  <c r="T1043" i="17"/>
  <c r="T1876" i="17"/>
  <c r="T1045" i="17"/>
  <c r="T1046" i="17"/>
  <c r="T1047" i="17"/>
  <c r="T1048" i="17"/>
  <c r="T1049" i="17"/>
  <c r="T1050" i="17"/>
  <c r="T1911" i="17"/>
  <c r="T1052" i="17"/>
  <c r="T1159" i="17"/>
  <c r="T467" i="17"/>
  <c r="T1055" i="17"/>
  <c r="T1605" i="17"/>
  <c r="T1057" i="17"/>
  <c r="T1058" i="17"/>
  <c r="T1059" i="17"/>
  <c r="T1493" i="17"/>
  <c r="T1061" i="17"/>
  <c r="T1062" i="17"/>
  <c r="T1063" i="17"/>
  <c r="T1064" i="17"/>
  <c r="T1422" i="17"/>
  <c r="T1066" i="17"/>
  <c r="T1449" i="17"/>
  <c r="T452" i="17"/>
  <c r="T1069" i="17"/>
  <c r="T1070" i="17"/>
  <c r="T1071" i="17"/>
  <c r="T1072" i="17"/>
  <c r="T559" i="17"/>
  <c r="T1696" i="17"/>
  <c r="T1075" i="17"/>
  <c r="T902" i="17"/>
  <c r="T1077" i="17"/>
  <c r="T1078" i="17"/>
  <c r="T1079" i="17"/>
  <c r="T1080" i="17"/>
  <c r="T1081" i="17"/>
  <c r="T1082" i="17"/>
  <c r="T1083" i="17"/>
  <c r="T101" i="17"/>
  <c r="T1085" i="17"/>
  <c r="T1086" i="17"/>
  <c r="T868" i="17"/>
  <c r="T1088" i="17"/>
  <c r="T1089" i="17"/>
  <c r="T1054" i="17"/>
  <c r="T1091" i="17"/>
  <c r="T1092" i="17"/>
  <c r="T1093" i="17"/>
  <c r="T1094" i="17"/>
  <c r="T1095" i="17"/>
  <c r="T1096" i="17"/>
  <c r="T1097" i="17"/>
  <c r="T1098" i="17"/>
  <c r="T1303" i="17"/>
  <c r="T1501" i="17"/>
  <c r="T1273" i="17"/>
  <c r="T1102" i="17"/>
  <c r="T591" i="17"/>
  <c r="T1537" i="17"/>
  <c r="T1507" i="17"/>
  <c r="T1106" i="17"/>
  <c r="T1107" i="17"/>
  <c r="T1108" i="17"/>
  <c r="T1109" i="17"/>
  <c r="T1110" i="17"/>
  <c r="T813" i="17"/>
  <c r="T1112" i="17"/>
  <c r="T1113" i="17"/>
  <c r="T1114" i="17"/>
  <c r="T1115" i="17"/>
  <c r="T1116" i="17"/>
  <c r="T769" i="17"/>
  <c r="T967" i="17"/>
  <c r="T1119" i="17"/>
  <c r="T1120" i="17"/>
  <c r="T1121" i="17"/>
  <c r="T1122" i="17"/>
  <c r="T1123" i="17"/>
  <c r="T1124" i="17"/>
  <c r="T1161" i="17"/>
  <c r="T1126" i="17"/>
  <c r="T1363" i="17"/>
  <c r="T1128" i="17"/>
  <c r="T1129" i="17"/>
  <c r="T1130" i="17"/>
  <c r="T1131" i="17"/>
  <c r="T1132" i="17"/>
  <c r="T1133" i="17"/>
  <c r="T1134" i="17"/>
  <c r="T1135" i="17"/>
  <c r="T1136" i="17"/>
  <c r="T1137" i="17"/>
  <c r="T485" i="17"/>
  <c r="T1139" i="17"/>
  <c r="T1140" i="17"/>
  <c r="T1141" i="17"/>
  <c r="T1142" i="17"/>
  <c r="T1143" i="17"/>
  <c r="T1144" i="17"/>
  <c r="T1145" i="17"/>
  <c r="T1146" i="17"/>
  <c r="T1147" i="17"/>
  <c r="T1148" i="17"/>
  <c r="T1149" i="17"/>
  <c r="T1150" i="17"/>
  <c r="T1151" i="17"/>
  <c r="T1152" i="17"/>
  <c r="T1153" i="17"/>
  <c r="T1154" i="17"/>
  <c r="T900" i="17"/>
  <c r="T1156" i="17"/>
  <c r="T1053" i="17"/>
  <c r="T1687" i="17"/>
  <c r="T1833" i="17"/>
  <c r="T807" i="17"/>
  <c r="T162" i="17"/>
  <c r="T1162" i="17"/>
  <c r="T1163" i="17"/>
  <c r="T70" i="17"/>
  <c r="T1165" i="17"/>
  <c r="T1166" i="17"/>
  <c r="T1167" i="17"/>
  <c r="T1168" i="17"/>
  <c r="T1169" i="17"/>
  <c r="T1170" i="17"/>
  <c r="T1171" i="17"/>
  <c r="T1172" i="17"/>
  <c r="T1173" i="17"/>
  <c r="T1174" i="17"/>
  <c r="T1175" i="17"/>
  <c r="T1176" i="17"/>
  <c r="T1539" i="17"/>
  <c r="T1178" i="17"/>
  <c r="T1179" i="17"/>
  <c r="T1180" i="17"/>
  <c r="T850" i="17"/>
  <c r="T1182" i="17"/>
  <c r="T1183" i="17"/>
  <c r="T1184" i="17"/>
  <c r="T1185" i="17"/>
  <c r="T1186" i="17"/>
  <c r="T1187" i="17"/>
  <c r="T1188" i="17"/>
  <c r="T1189" i="17"/>
  <c r="T1190" i="17"/>
  <c r="T1191" i="17"/>
  <c r="T1192" i="17"/>
  <c r="T1193" i="17"/>
  <c r="T1194" i="17"/>
  <c r="T1421" i="17"/>
  <c r="T1196" i="17"/>
  <c r="T1197" i="17"/>
  <c r="T1198" i="17"/>
  <c r="T1199" i="17"/>
  <c r="T1200" i="17"/>
  <c r="T1201" i="17"/>
  <c r="T1202" i="17"/>
  <c r="T1203" i="17"/>
  <c r="T1204" i="17"/>
  <c r="T1205" i="17"/>
  <c r="T1206" i="17"/>
  <c r="T1207" i="17"/>
  <c r="T1208" i="17"/>
  <c r="T1209" i="17"/>
  <c r="T1210" i="17"/>
  <c r="T1211" i="17"/>
  <c r="T199" i="17"/>
  <c r="T632" i="17"/>
  <c r="T1214" i="17"/>
  <c r="T1215" i="17"/>
  <c r="T1216" i="17"/>
  <c r="T1217" i="17"/>
  <c r="T1218" i="17"/>
  <c r="T1219" i="17"/>
  <c r="T1104" i="17"/>
  <c r="T1221" i="17"/>
  <c r="T1222" i="17"/>
  <c r="T1223" i="17"/>
  <c r="T1224" i="17"/>
  <c r="T1225" i="17"/>
  <c r="T1226" i="17"/>
  <c r="T1227" i="17"/>
  <c r="T1044" i="17"/>
  <c r="T1229" i="17"/>
  <c r="T1230" i="17"/>
  <c r="T1231" i="17"/>
  <c r="T1232" i="17"/>
  <c r="T1233" i="17"/>
  <c r="T1234" i="17"/>
  <c r="T1235" i="17"/>
  <c r="T1236" i="17"/>
  <c r="T1237" i="17"/>
  <c r="T1238" i="17"/>
  <c r="T1239" i="17"/>
  <c r="T1240" i="17"/>
  <c r="T1241" i="17"/>
  <c r="T1755" i="17"/>
  <c r="T1243" i="17"/>
  <c r="T1244" i="17"/>
  <c r="T1245" i="17"/>
  <c r="T1246" i="17"/>
  <c r="T1247" i="17"/>
  <c r="T1912" i="17"/>
  <c r="T1249" i="17"/>
  <c r="T305" i="17"/>
  <c r="T1251" i="17"/>
  <c r="T1252" i="17"/>
  <c r="T1253" i="17"/>
  <c r="T1254" i="17"/>
  <c r="T1255" i="17"/>
  <c r="T885" i="17"/>
  <c r="T1257" i="17"/>
  <c r="T232" i="17"/>
  <c r="T1259" i="17"/>
  <c r="T1260" i="17"/>
  <c r="T1261" i="17"/>
  <c r="T1262" i="17"/>
  <c r="T1263" i="17"/>
  <c r="T1264" i="17"/>
  <c r="T1265" i="17"/>
  <c r="T1266" i="17"/>
  <c r="T180" i="17"/>
  <c r="T1268" i="17"/>
  <c r="T1269" i="17"/>
  <c r="T1270" i="17"/>
  <c r="T1271" i="17"/>
  <c r="T1272" i="17"/>
  <c r="T1830" i="17"/>
  <c r="T1274" i="17"/>
  <c r="T1797" i="17"/>
  <c r="T1276" i="17"/>
  <c r="T1277" i="17"/>
  <c r="T355" i="17"/>
  <c r="T1279" i="17"/>
  <c r="T1280" i="17"/>
  <c r="T1281" i="17"/>
  <c r="T1282" i="17"/>
  <c r="T36" i="17"/>
  <c r="T353" i="17"/>
  <c r="T1285" i="17"/>
  <c r="T1331" i="17"/>
  <c r="T1287" i="17"/>
  <c r="T1288" i="17"/>
  <c r="T674" i="17"/>
  <c r="T1290" i="17"/>
  <c r="T1291" i="17"/>
  <c r="T1292" i="17"/>
  <c r="T1293" i="17"/>
  <c r="T1294" i="17"/>
  <c r="T756" i="17"/>
  <c r="T1296" i="17"/>
  <c r="T1297" i="17"/>
  <c r="T1298" i="17"/>
  <c r="T1299" i="17"/>
  <c r="T474" i="17"/>
  <c r="T1301" i="17"/>
  <c r="T707" i="17"/>
  <c r="T1411" i="17"/>
  <c r="T1304" i="17"/>
  <c r="T1305" i="17"/>
  <c r="T1306" i="17"/>
  <c r="T1307" i="17"/>
  <c r="T1308" i="17"/>
  <c r="T1309" i="17"/>
  <c r="T1310" i="17"/>
  <c r="T1311" i="17"/>
  <c r="T131" i="17"/>
  <c r="T1313" i="17"/>
  <c r="T1314" i="17"/>
  <c r="T1315" i="17"/>
  <c r="T1316" i="17"/>
  <c r="T1317" i="17"/>
  <c r="T1318" i="17"/>
  <c r="T1067" i="17"/>
  <c r="T831" i="17"/>
  <c r="T1321" i="17"/>
  <c r="T1322" i="17"/>
  <c r="T1323" i="17"/>
  <c r="T1324" i="17"/>
  <c r="T235" i="17"/>
  <c r="T1326" i="17"/>
  <c r="T1327" i="17"/>
  <c r="T1328" i="17"/>
  <c r="T1329" i="17"/>
  <c r="T1330" i="17"/>
  <c r="T827" i="17"/>
  <c r="T1312" i="17"/>
  <c r="T1333" i="17"/>
  <c r="T1399" i="17"/>
  <c r="T1335" i="17"/>
  <c r="T1336" i="17"/>
  <c r="T1337" i="17"/>
  <c r="T1338" i="17"/>
  <c r="T1339" i="17"/>
  <c r="T1340" i="17"/>
  <c r="T1341" i="17"/>
  <c r="T1626" i="17"/>
  <c r="T1343" i="17"/>
  <c r="T1344" i="17"/>
  <c r="T1345" i="17"/>
  <c r="T1346" i="17"/>
  <c r="T1325" i="17"/>
  <c r="T1348" i="17"/>
  <c r="T1349" i="17"/>
  <c r="T1350" i="17"/>
  <c r="T1351" i="17"/>
  <c r="T283" i="17"/>
  <c r="T1353" i="17"/>
  <c r="T1354" i="17"/>
  <c r="T1355" i="17"/>
  <c r="T1356" i="17"/>
  <c r="T1357" i="17"/>
  <c r="T1358" i="17"/>
  <c r="T132" i="17"/>
  <c r="T1360" i="17"/>
  <c r="T1361" i="17"/>
  <c r="T1103" i="17"/>
  <c r="T803" i="17"/>
  <c r="T1364" i="17"/>
  <c r="T1365" i="17"/>
  <c r="T1220" i="17"/>
  <c r="T1367" i="17"/>
  <c r="T637" i="17"/>
  <c r="T1369" i="17"/>
  <c r="T1370" i="17"/>
  <c r="T1371" i="17"/>
  <c r="T1372" i="17"/>
  <c r="T1373" i="17"/>
  <c r="T1374" i="17"/>
  <c r="T1375" i="17"/>
  <c r="T1376" i="17"/>
  <c r="T1377" i="17"/>
  <c r="T1378" i="17"/>
  <c r="T1379" i="17"/>
  <c r="T1380" i="17"/>
  <c r="T1381" i="17"/>
  <c r="T1382" i="17"/>
  <c r="T1383" i="17"/>
  <c r="T1384" i="17"/>
  <c r="T1385" i="17"/>
  <c r="T244" i="17"/>
  <c r="T312" i="17"/>
  <c r="T1388" i="17"/>
  <c r="T524" i="17"/>
  <c r="T1390" i="17"/>
  <c r="T1391" i="17"/>
  <c r="T1392" i="17"/>
  <c r="T1393" i="17"/>
  <c r="T1394" i="17"/>
  <c r="T1395" i="17"/>
  <c r="T1396" i="17"/>
  <c r="T617" i="17"/>
  <c r="T677" i="17"/>
  <c r="T31" i="17"/>
  <c r="T1400" i="17"/>
  <c r="T1401" i="17"/>
  <c r="T1402" i="17"/>
  <c r="T1403" i="17"/>
  <c r="T1404" i="17"/>
  <c r="T53" i="17"/>
  <c r="T1406" i="17"/>
  <c r="T1407" i="17"/>
  <c r="T1408" i="17"/>
  <c r="T1284" i="17"/>
  <c r="T1410" i="17"/>
  <c r="T18" i="17"/>
  <c r="T1412" i="17"/>
  <c r="T1413" i="17"/>
  <c r="T1414" i="17"/>
  <c r="T1415" i="17"/>
  <c r="T1416" i="17"/>
  <c r="T1417" i="17"/>
  <c r="T1418" i="17"/>
  <c r="T1419" i="17"/>
  <c r="T1157" i="17"/>
  <c r="T102" i="17"/>
  <c r="T688" i="17"/>
  <c r="T1423" i="17"/>
  <c r="T1424" i="17"/>
  <c r="T1425" i="17"/>
  <c r="T1426" i="17"/>
  <c r="T1427" i="17"/>
  <c r="T1428" i="17"/>
  <c r="T1213" i="17"/>
  <c r="T1430" i="17"/>
  <c r="T1431" i="17"/>
  <c r="T1432" i="17"/>
  <c r="T1433" i="17"/>
  <c r="T1434" i="17"/>
  <c r="T1435" i="17"/>
  <c r="T1436" i="17"/>
  <c r="T1437" i="17"/>
  <c r="T1438" i="17"/>
  <c r="T1439" i="17"/>
  <c r="T1440" i="17"/>
  <c r="T1441" i="17"/>
  <c r="T1442" i="17"/>
  <c r="T1443" i="17"/>
  <c r="T1444" i="17"/>
  <c r="T345" i="17"/>
  <c r="T1446" i="17"/>
  <c r="T1447" i="17"/>
  <c r="T1448" i="17"/>
  <c r="T656" i="17"/>
  <c r="T1450" i="17"/>
  <c r="T1451" i="17"/>
  <c r="T1452" i="17"/>
  <c r="T1453" i="17"/>
  <c r="T1454" i="17"/>
  <c r="T1455" i="17"/>
  <c r="T120" i="17"/>
  <c r="T1457" i="17"/>
  <c r="T1458" i="17"/>
  <c r="T1459" i="17"/>
  <c r="T1460" i="17"/>
  <c r="T1461" i="17"/>
  <c r="T1462" i="17"/>
  <c r="T1463" i="17"/>
  <c r="T1464" i="17"/>
  <c r="T1465" i="17"/>
  <c r="T1466" i="17"/>
  <c r="T1467" i="17"/>
  <c r="T1893" i="17"/>
  <c r="T1469" i="17"/>
  <c r="T1470" i="17"/>
  <c r="T1471" i="17"/>
  <c r="T1472" i="17"/>
  <c r="T1473" i="17"/>
  <c r="T1474" i="17"/>
  <c r="T1475" i="17"/>
  <c r="T1476" i="17"/>
  <c r="T1477" i="17"/>
  <c r="T1478" i="17"/>
  <c r="T1479" i="17"/>
  <c r="T1480" i="17"/>
  <c r="T1481" i="17"/>
  <c r="T1482" i="17"/>
  <c r="T1483" i="17"/>
  <c r="T1484" i="17"/>
  <c r="T1485" i="17"/>
  <c r="T1486" i="17"/>
  <c r="T766" i="17"/>
  <c r="T1488" i="17"/>
  <c r="T1489" i="17"/>
  <c r="T1490" i="17"/>
  <c r="T1491" i="17"/>
  <c r="T1492" i="17"/>
  <c r="T1283" i="17"/>
  <c r="T320" i="17"/>
  <c r="T1495" i="17"/>
  <c r="T1496" i="17"/>
  <c r="T1497" i="17"/>
  <c r="T1498" i="17"/>
  <c r="T1499" i="17"/>
  <c r="T1500" i="17"/>
  <c r="T844" i="17"/>
  <c r="T1502" i="17"/>
  <c r="T1503" i="17"/>
  <c r="T1504" i="17"/>
  <c r="T1505" i="17"/>
  <c r="T1506" i="17"/>
  <c r="T1906" i="17"/>
  <c r="T1508" i="17"/>
  <c r="T1509" i="17"/>
  <c r="T1510" i="17"/>
  <c r="T1511" i="17"/>
  <c r="T1512" i="17"/>
  <c r="T1513" i="17"/>
  <c r="T1514" i="17"/>
  <c r="T1515" i="17"/>
  <c r="T1516" i="17"/>
  <c r="T1517" i="17"/>
  <c r="T1518" i="17"/>
  <c r="T1519" i="17"/>
  <c r="T1520" i="17"/>
  <c r="T1521" i="17"/>
  <c r="T1522" i="17"/>
  <c r="T1523" i="17"/>
  <c r="T1524" i="17"/>
  <c r="T1525" i="17"/>
  <c r="T1526" i="17"/>
  <c r="T1527" i="17"/>
  <c r="T1528" i="17"/>
  <c r="T1529" i="17"/>
  <c r="T1530" i="17"/>
  <c r="T1531" i="17"/>
  <c r="T1532" i="17"/>
  <c r="T1533" i="17"/>
  <c r="T1534" i="17"/>
  <c r="T1535" i="17"/>
  <c r="T1536" i="17"/>
  <c r="T149" i="17"/>
  <c r="T1538" i="17"/>
  <c r="T1866" i="17"/>
  <c r="T1540" i="17"/>
  <c r="T1541" i="17"/>
  <c r="T1542" i="17"/>
  <c r="T1543" i="17"/>
  <c r="T1544" i="17"/>
  <c r="T1545" i="17"/>
  <c r="T1546" i="17"/>
  <c r="T1547" i="17"/>
  <c r="T1548" i="17"/>
  <c r="T1549" i="17"/>
  <c r="T1550" i="17"/>
  <c r="T1551" i="17"/>
  <c r="T1552" i="17"/>
  <c r="T1553" i="17"/>
  <c r="T1554" i="17"/>
  <c r="T1555" i="17"/>
  <c r="T1556" i="17"/>
  <c r="T1557" i="17"/>
  <c r="T1125" i="17"/>
  <c r="T1559" i="17"/>
  <c r="T1560" i="17"/>
  <c r="T1561" i="17"/>
  <c r="T1562" i="17"/>
  <c r="T919" i="17"/>
  <c r="T1564" i="17"/>
  <c r="T1565" i="17"/>
  <c r="T1566" i="17"/>
  <c r="T1567" i="17"/>
  <c r="T1568" i="17"/>
  <c r="T1569" i="17"/>
  <c r="T1659" i="17"/>
  <c r="T1571" i="17"/>
  <c r="T1572" i="17"/>
  <c r="T1573" i="17"/>
  <c r="T1574" i="17"/>
  <c r="T1575" i="17"/>
  <c r="T1576" i="17"/>
  <c r="T1577" i="17"/>
  <c r="T1578" i="17"/>
  <c r="T1579" i="17"/>
  <c r="T1580" i="17"/>
  <c r="T1581" i="17"/>
  <c r="T1582" i="17"/>
  <c r="T1583" i="17"/>
  <c r="T1584" i="17"/>
  <c r="T1585" i="17"/>
  <c r="T1090" i="17"/>
  <c r="T1587" i="17"/>
  <c r="T1588" i="17"/>
  <c r="T1824" i="17"/>
  <c r="T1590" i="17"/>
  <c r="T1589" i="17"/>
  <c r="T1592" i="17"/>
  <c r="T1593" i="17"/>
  <c r="T1594" i="17"/>
  <c r="T1595" i="17"/>
  <c r="T619" i="17"/>
  <c r="T1597" i="17"/>
  <c r="T1598" i="17"/>
  <c r="T1599" i="17"/>
  <c r="T1600" i="17"/>
  <c r="T1601" i="17"/>
  <c r="T833" i="17"/>
  <c r="T1603" i="17"/>
  <c r="T1604" i="17"/>
  <c r="T1785" i="17"/>
  <c r="T1606" i="17"/>
  <c r="T1397" i="17"/>
  <c r="T870" i="17"/>
  <c r="T1609" i="17"/>
  <c r="T1610" i="17"/>
  <c r="T1611" i="17"/>
  <c r="T1612" i="17"/>
  <c r="T1613" i="17"/>
  <c r="T1614" i="17"/>
  <c r="T1615" i="17"/>
  <c r="T1616" i="17"/>
  <c r="T1617" i="17"/>
  <c r="T1618" i="17"/>
  <c r="T1619" i="17"/>
  <c r="T1620" i="17"/>
  <c r="T1621" i="17"/>
  <c r="T1622" i="17"/>
  <c r="T1623" i="17"/>
  <c r="T1624" i="17"/>
  <c r="T1625" i="17"/>
  <c r="T206" i="17"/>
  <c r="T1627" i="17"/>
  <c r="T1628" i="17"/>
  <c r="T1629" i="17"/>
  <c r="T1074" i="17"/>
  <c r="T1631" i="17"/>
  <c r="T1632" i="17"/>
  <c r="T1633" i="17"/>
  <c r="T1634" i="17"/>
  <c r="T1635" i="17"/>
  <c r="T1636" i="17"/>
  <c r="T1637" i="17"/>
  <c r="T1638" i="17"/>
  <c r="T1639" i="17"/>
  <c r="T1640" i="17"/>
  <c r="T1641" i="17"/>
  <c r="T1642" i="17"/>
  <c r="T1643" i="17"/>
  <c r="T1644" i="17"/>
  <c r="T1645" i="17"/>
  <c r="T1646" i="17"/>
  <c r="T1647" i="17"/>
  <c r="T1648" i="17"/>
  <c r="T1649" i="17"/>
  <c r="T1650" i="17"/>
  <c r="T157" i="17"/>
  <c r="T806" i="17"/>
  <c r="T488" i="17"/>
  <c r="T381" i="17"/>
  <c r="T1655" i="17"/>
  <c r="T1656" i="17"/>
  <c r="T1657" i="17"/>
  <c r="T1658" i="17"/>
  <c r="T767" i="17"/>
  <c r="T1660" i="17"/>
  <c r="T1661" i="17"/>
  <c r="T1662" i="17"/>
  <c r="T1663" i="17"/>
  <c r="T1664" i="17"/>
  <c r="T1665" i="17"/>
  <c r="T1666" i="17"/>
  <c r="T1667" i="17"/>
  <c r="T1668" i="17"/>
  <c r="T1669" i="17"/>
  <c r="T1670" i="17"/>
  <c r="T1671" i="17"/>
  <c r="T1672" i="17"/>
  <c r="T1673" i="17"/>
  <c r="T1674" i="17"/>
  <c r="T134" i="17"/>
  <c r="T12" i="17"/>
  <c r="T1677" i="17"/>
  <c r="T1678" i="17"/>
  <c r="T1679" i="17"/>
  <c r="T1680" i="17"/>
  <c r="T1681" i="17"/>
  <c r="T1682" i="17"/>
  <c r="T1683" i="17"/>
  <c r="T1684" i="17"/>
  <c r="T1685" i="17"/>
  <c r="T1686" i="17"/>
  <c r="T545" i="17"/>
  <c r="T1688" i="17"/>
  <c r="T1689" i="17"/>
  <c r="T770" i="17"/>
  <c r="T1691" i="17"/>
  <c r="T1692" i="17"/>
  <c r="T85" i="17"/>
  <c r="T1694" i="17"/>
  <c r="T1695" i="17"/>
  <c r="T1843" i="17"/>
  <c r="T1697" i="17"/>
  <c r="T1698" i="17"/>
  <c r="T1155" i="17"/>
  <c r="T1700" i="17"/>
  <c r="T1701" i="17"/>
  <c r="T1014" i="17"/>
  <c r="T1630" i="17"/>
  <c r="T1704" i="17"/>
  <c r="T1705" i="17"/>
  <c r="T1706" i="17"/>
  <c r="T1790" i="17"/>
  <c r="T1708" i="17"/>
  <c r="T1709" i="17"/>
  <c r="T1710" i="17"/>
  <c r="T1711" i="17"/>
  <c r="T1712" i="17"/>
  <c r="T1713" i="17"/>
  <c r="T1714" i="17"/>
  <c r="T32" i="17"/>
  <c r="T917" i="17"/>
  <c r="T1717" i="17"/>
  <c r="T1718" i="17"/>
  <c r="T109" i="17"/>
  <c r="T351" i="17"/>
  <c r="T924" i="17"/>
  <c r="T1722" i="17"/>
  <c r="T1723" i="17"/>
  <c r="T1724" i="17"/>
  <c r="T1725" i="17"/>
  <c r="T1726" i="17"/>
  <c r="T1727" i="17"/>
  <c r="T1728" i="17"/>
  <c r="T1729" i="17"/>
  <c r="T1730" i="17"/>
  <c r="T1731" i="17"/>
  <c r="T1732" i="17"/>
  <c r="T1733" i="17"/>
  <c r="T1734" i="17"/>
  <c r="T1735" i="17"/>
  <c r="T1736" i="17"/>
  <c r="T1737" i="17"/>
  <c r="T1738" i="17"/>
  <c r="T1739" i="17"/>
  <c r="T1740" i="17"/>
  <c r="T1741" i="17"/>
  <c r="T1742" i="17"/>
  <c r="T1743" i="17"/>
  <c r="T1744" i="17"/>
  <c r="T1745" i="17"/>
  <c r="T1746" i="17"/>
  <c r="T1747" i="17"/>
  <c r="T1347" i="17"/>
  <c r="T1749" i="17"/>
  <c r="T1750" i="17"/>
  <c r="T1751" i="17"/>
  <c r="T1752" i="17"/>
  <c r="T1753" i="17"/>
  <c r="T1754" i="17"/>
  <c r="T1494" i="17"/>
  <c r="T1756" i="17"/>
  <c r="T909" i="17"/>
  <c r="T1758" i="17"/>
  <c r="T1759" i="17"/>
  <c r="T1760" i="17"/>
  <c r="T1761" i="17"/>
  <c r="T1762" i="17"/>
  <c r="T1763" i="17"/>
  <c r="T1764" i="17"/>
  <c r="T1765" i="17"/>
  <c r="T1766" i="17"/>
  <c r="T1127" i="17"/>
  <c r="T1768" i="17"/>
  <c r="T413" i="17"/>
  <c r="T1770" i="17"/>
  <c r="T811" i="17"/>
  <c r="T1772" i="17"/>
  <c r="T861" i="17"/>
  <c r="T1774" i="17"/>
  <c r="T1775" i="17"/>
  <c r="T1602" i="17"/>
  <c r="T1777" i="17"/>
  <c r="T1778" i="17"/>
  <c r="T1779" i="17"/>
  <c r="T1780" i="17"/>
  <c r="T1781" i="17"/>
  <c r="T1782" i="17"/>
  <c r="T1783" i="17"/>
  <c r="T1784" i="17"/>
  <c r="T873" i="17"/>
  <c r="T1099" i="17"/>
  <c r="T1787" i="17"/>
  <c r="T1788" i="17"/>
  <c r="T1789" i="17"/>
  <c r="T419" i="17"/>
  <c r="T1791" i="17"/>
  <c r="T1792" i="17"/>
  <c r="T1793" i="17"/>
  <c r="T1794" i="17"/>
  <c r="T915" i="17"/>
  <c r="T1796" i="17"/>
  <c r="T326" i="17"/>
  <c r="T1798" i="17"/>
  <c r="T1799" i="17"/>
  <c r="T472" i="17"/>
  <c r="T1801" i="17"/>
  <c r="T1802" i="17"/>
  <c r="T1803" i="17"/>
  <c r="T1409" i="17"/>
  <c r="T1805" i="17"/>
  <c r="T1806" i="17"/>
  <c r="T338" i="17"/>
  <c r="T1808" i="17"/>
  <c r="T401" i="17"/>
  <c r="T1810" i="17"/>
  <c r="T1811" i="17"/>
  <c r="T1812" i="17"/>
  <c r="T1813" i="17"/>
  <c r="T1814" i="17"/>
  <c r="T66" i="17"/>
  <c r="T1816" i="17"/>
  <c r="T1817" i="17"/>
  <c r="T1818" i="17"/>
  <c r="T1819" i="17"/>
  <c r="T1820" i="17"/>
  <c r="T1821" i="17"/>
  <c r="T1822" i="17"/>
  <c r="T1823" i="17"/>
  <c r="T1703" i="17"/>
  <c r="T1825" i="17"/>
  <c r="T1826" i="17"/>
  <c r="T1827" i="17"/>
  <c r="T1828" i="17"/>
  <c r="T1829" i="17"/>
  <c r="T294" i="17"/>
  <c r="T1831" i="17"/>
  <c r="T1832" i="17"/>
  <c r="T558" i="17"/>
  <c r="T1834" i="17"/>
  <c r="T1835" i="17"/>
  <c r="T1769" i="17"/>
  <c r="T1837" i="17"/>
  <c r="T1838" i="17"/>
  <c r="T1839" i="17"/>
  <c r="T1591" i="17"/>
  <c r="T1841" i="17"/>
  <c r="T886" i="17"/>
  <c r="T504" i="17"/>
  <c r="T435" i="17"/>
  <c r="T1845" i="17"/>
  <c r="T1846" i="17"/>
  <c r="T1847" i="17"/>
  <c r="T1848" i="17"/>
  <c r="T1849" i="17"/>
  <c r="T1850" i="17"/>
  <c r="T1851" i="17"/>
  <c r="T1852" i="17"/>
  <c r="T1853" i="17"/>
  <c r="T1854" i="17"/>
  <c r="T1855" i="17"/>
  <c r="T1856" i="17"/>
  <c r="T1857" i="17"/>
  <c r="T1786" i="17"/>
  <c r="T1859" i="17"/>
  <c r="T1860" i="17"/>
  <c r="T1861" i="17"/>
  <c r="T1862" i="17"/>
  <c r="T1863" i="17"/>
  <c r="T605" i="17"/>
  <c r="T1865" i="17"/>
  <c r="T371" i="17"/>
  <c r="T1867" i="17"/>
  <c r="T1868" i="17"/>
  <c r="T1869" i="17"/>
  <c r="T1870" i="17"/>
  <c r="T1871" i="17"/>
  <c r="T1872" i="17"/>
  <c r="T1873" i="17"/>
  <c r="T1874" i="17"/>
  <c r="T1875" i="17"/>
  <c r="T1258" i="17"/>
  <c r="T1877" i="17"/>
  <c r="T1878" i="17"/>
  <c r="T1879" i="17"/>
  <c r="T1880" i="17"/>
  <c r="T1881" i="17"/>
  <c r="T1882" i="17"/>
  <c r="T1883" i="17"/>
  <c r="T1884" i="17"/>
  <c r="T1885" i="17"/>
  <c r="T1886" i="17"/>
  <c r="T1887" i="17"/>
  <c r="T1888" i="17"/>
  <c r="T1889" i="17"/>
  <c r="T1100" i="17"/>
  <c r="T860" i="17"/>
  <c r="T1892" i="17"/>
  <c r="T1570" i="17"/>
  <c r="T1894" i="17"/>
  <c r="T1895" i="17"/>
  <c r="T1896" i="17"/>
  <c r="T1897" i="17"/>
  <c r="T1898" i="17"/>
  <c r="T1899" i="17"/>
  <c r="T1900" i="17"/>
  <c r="T1901" i="17"/>
  <c r="T1902" i="17"/>
  <c r="T221" i="17"/>
  <c r="T1904" i="17"/>
  <c r="T1905" i="17"/>
  <c r="T744" i="17"/>
  <c r="T1907" i="17"/>
  <c r="T1908" i="17"/>
  <c r="T1909" i="17"/>
  <c r="T1910" i="17"/>
  <c r="T35" i="17"/>
  <c r="T532" i="17"/>
  <c r="T1913" i="17"/>
  <c r="T1256" i="17"/>
  <c r="T1164" i="17"/>
  <c r="T1916" i="17"/>
  <c r="T1917" i="17"/>
  <c r="T1918" i="17"/>
  <c r="T1919" i="17"/>
  <c r="T1920" i="17"/>
  <c r="T1921" i="17"/>
  <c r="T1922" i="17"/>
  <c r="T1923" i="17"/>
  <c r="T1295" i="17"/>
  <c r="T1925" i="17"/>
  <c r="T1926" i="17"/>
  <c r="R2" i="17"/>
  <c r="S2" i="17" s="1"/>
  <c r="R3" i="17"/>
  <c r="S3" i="17" s="1"/>
  <c r="R4" i="17"/>
  <c r="S4" i="17" s="1"/>
  <c r="R5" i="17"/>
  <c r="S5" i="17" s="1"/>
  <c r="R6" i="17"/>
  <c r="S6" i="17" s="1"/>
  <c r="R7" i="17"/>
  <c r="S7" i="17" s="1"/>
  <c r="R8" i="17"/>
  <c r="S8" i="17" s="1"/>
  <c r="R9" i="17"/>
  <c r="S9" i="17" s="1"/>
  <c r="R10" i="17"/>
  <c r="S10" i="17" s="1"/>
  <c r="R11" i="17"/>
  <c r="S11" i="17" s="1"/>
  <c r="R1056" i="17"/>
  <c r="S1056" i="17" s="1"/>
  <c r="R13" i="17"/>
  <c r="S13" i="17" s="1"/>
  <c r="R14" i="17"/>
  <c r="S14" i="17" s="1"/>
  <c r="R15" i="17"/>
  <c r="S15" i="17" s="1"/>
  <c r="R16" i="17"/>
  <c r="S16" i="17" s="1"/>
  <c r="R17" i="17"/>
  <c r="S17" i="17" s="1"/>
  <c r="R1342" i="17"/>
  <c r="S1342" i="17" s="1"/>
  <c r="R19" i="17"/>
  <c r="S19" i="17" s="1"/>
  <c r="R20" i="17"/>
  <c r="S20" i="17" s="1"/>
  <c r="R869" i="17"/>
  <c r="S869" i="17" s="1"/>
  <c r="R864" i="17"/>
  <c r="S864" i="17" s="1"/>
  <c r="R23" i="17"/>
  <c r="S23" i="17" s="1"/>
  <c r="R24" i="17"/>
  <c r="S24" i="17" s="1"/>
  <c r="R25" i="17"/>
  <c r="S25" i="17" s="1"/>
  <c r="R26" i="17"/>
  <c r="S26" i="17" s="1"/>
  <c r="R27" i="17"/>
  <c r="S27" i="17" s="1"/>
  <c r="R28" i="17"/>
  <c r="S28" i="17" s="1"/>
  <c r="R365" i="17"/>
  <c r="S365" i="17" s="1"/>
  <c r="R30" i="17"/>
  <c r="S30" i="17" s="1"/>
  <c r="R22" i="17"/>
  <c r="S22" i="17" s="1"/>
  <c r="R1250" i="17"/>
  <c r="S1250" i="17" s="1"/>
  <c r="R572" i="17"/>
  <c r="S572" i="17" s="1"/>
  <c r="R34" i="17"/>
  <c r="S34" i="17" s="1"/>
  <c r="R21" i="17"/>
  <c r="S21" i="17" s="1"/>
  <c r="R243" i="17"/>
  <c r="S243" i="17" s="1"/>
  <c r="R37" i="17"/>
  <c r="S37" i="17" s="1"/>
  <c r="R38" i="17"/>
  <c r="S38" i="17" s="1"/>
  <c r="R39" i="17"/>
  <c r="S39" i="17" s="1"/>
  <c r="R40" i="17"/>
  <c r="S40" i="17" s="1"/>
  <c r="R41" i="17"/>
  <c r="S41" i="17" s="1"/>
  <c r="R42" i="17"/>
  <c r="S42" i="17" s="1"/>
  <c r="R43" i="17"/>
  <c r="S43" i="17" s="1"/>
  <c r="R44" i="17"/>
  <c r="S44" i="17" s="1"/>
  <c r="R45" i="17"/>
  <c r="S45" i="17" s="1"/>
  <c r="R46" i="17"/>
  <c r="S46" i="17" s="1"/>
  <c r="R511" i="17"/>
  <c r="S511" i="17" s="1"/>
  <c r="R48" i="17"/>
  <c r="S48" i="17" s="1"/>
  <c r="R49" i="17"/>
  <c r="S49" i="17" s="1"/>
  <c r="R50" i="17"/>
  <c r="S50" i="17" s="1"/>
  <c r="R51" i="17"/>
  <c r="S51" i="17" s="1"/>
  <c r="R52" i="17"/>
  <c r="S52" i="17" s="1"/>
  <c r="R1903" i="17"/>
  <c r="S1903" i="17" s="1"/>
  <c r="R54" i="17"/>
  <c r="S54" i="17" s="1"/>
  <c r="R55" i="17"/>
  <c r="S55" i="17" s="1"/>
  <c r="R56" i="17"/>
  <c r="S56" i="17" s="1"/>
  <c r="R57" i="17"/>
  <c r="S57" i="17" s="1"/>
  <c r="R58" i="17"/>
  <c r="S58" i="17" s="1"/>
  <c r="R59" i="17"/>
  <c r="S59" i="17" s="1"/>
  <c r="R60" i="17"/>
  <c r="S60" i="17" s="1"/>
  <c r="R61" i="17"/>
  <c r="S61" i="17" s="1"/>
  <c r="R62" i="17"/>
  <c r="S62" i="17" s="1"/>
  <c r="R63" i="17"/>
  <c r="S63" i="17" s="1"/>
  <c r="R64" i="17"/>
  <c r="S64" i="17" s="1"/>
  <c r="R65" i="17"/>
  <c r="S65" i="17" s="1"/>
  <c r="R463" i="17"/>
  <c r="S463" i="17" s="1"/>
  <c r="R67" i="17"/>
  <c r="S67" i="17" s="1"/>
  <c r="R1181" i="17"/>
  <c r="S1181" i="17" s="1"/>
  <c r="R69" i="17"/>
  <c r="S69" i="17" s="1"/>
  <c r="R1654" i="17"/>
  <c r="S1654" i="17" s="1"/>
  <c r="R71" i="17"/>
  <c r="S71" i="17" s="1"/>
  <c r="R72" i="17"/>
  <c r="S72" i="17" s="1"/>
  <c r="R73" i="17"/>
  <c r="S73" i="17" s="1"/>
  <c r="R74" i="17"/>
  <c r="S74" i="17" s="1"/>
  <c r="R444" i="17"/>
  <c r="S444" i="17" s="1"/>
  <c r="R76" i="17"/>
  <c r="S76" i="17" s="1"/>
  <c r="R77" i="17"/>
  <c r="S77" i="17" s="1"/>
  <c r="R78" i="17"/>
  <c r="S78" i="17" s="1"/>
  <c r="R79" i="17"/>
  <c r="S79" i="17" s="1"/>
  <c r="R80" i="17"/>
  <c r="S80" i="17" s="1"/>
  <c r="R81" i="17"/>
  <c r="S81" i="17" s="1"/>
  <c r="R82" i="17"/>
  <c r="S82" i="17" s="1"/>
  <c r="R83" i="17"/>
  <c r="S83" i="17" s="1"/>
  <c r="R84" i="17"/>
  <c r="S84" i="17" s="1"/>
  <c r="R1275" i="17"/>
  <c r="S1275" i="17" s="1"/>
  <c r="R86" i="17"/>
  <c r="S86" i="17" s="1"/>
  <c r="R87" i="17"/>
  <c r="S87" i="17" s="1"/>
  <c r="R88" i="17"/>
  <c r="S88" i="17" s="1"/>
  <c r="R1715" i="17"/>
  <c r="S1715" i="17" s="1"/>
  <c r="R90" i="17"/>
  <c r="S90" i="17" s="1"/>
  <c r="R91" i="17"/>
  <c r="S91" i="17" s="1"/>
  <c r="R92" i="17"/>
  <c r="S92" i="17" s="1"/>
  <c r="R93" i="17"/>
  <c r="S93" i="17" s="1"/>
  <c r="R94" i="17"/>
  <c r="S94" i="17" s="1"/>
  <c r="R95" i="17"/>
  <c r="S95" i="17" s="1"/>
  <c r="R96" i="17"/>
  <c r="S96" i="17" s="1"/>
  <c r="R97" i="17"/>
  <c r="S97" i="17" s="1"/>
  <c r="R1891" i="17"/>
  <c r="S1891" i="17" s="1"/>
  <c r="R99" i="17"/>
  <c r="S99" i="17" s="1"/>
  <c r="R100" i="17"/>
  <c r="S100" i="17" s="1"/>
  <c r="R554" i="17"/>
  <c r="S554" i="17" s="1"/>
  <c r="R684" i="17"/>
  <c r="S684" i="17" s="1"/>
  <c r="R103" i="17"/>
  <c r="S103" i="17" s="1"/>
  <c r="R104" i="17"/>
  <c r="S104" i="17" s="1"/>
  <c r="R105" i="17"/>
  <c r="S105" i="17" s="1"/>
  <c r="R106" i="17"/>
  <c r="S106" i="17" s="1"/>
  <c r="R793" i="17"/>
  <c r="S793" i="17" s="1"/>
  <c r="R108" i="17"/>
  <c r="S108" i="17" s="1"/>
  <c r="R563" i="17"/>
  <c r="S563" i="17" s="1"/>
  <c r="R110" i="17"/>
  <c r="S110" i="17" s="1"/>
  <c r="R111" i="17"/>
  <c r="S111" i="17" s="1"/>
  <c r="R112" i="17"/>
  <c r="S112" i="17" s="1"/>
  <c r="R113" i="17"/>
  <c r="S113" i="17" s="1"/>
  <c r="R114" i="17"/>
  <c r="S114" i="17" s="1"/>
  <c r="R115" i="17"/>
  <c r="S115" i="17" s="1"/>
  <c r="R116" i="17"/>
  <c r="S116" i="17" s="1"/>
  <c r="R117" i="17"/>
  <c r="S117" i="17" s="1"/>
  <c r="R118" i="17"/>
  <c r="S118" i="17" s="1"/>
  <c r="R119" i="17"/>
  <c r="S119" i="17" s="1"/>
  <c r="R1707" i="17"/>
  <c r="S1707" i="17" s="1"/>
  <c r="R121" i="17"/>
  <c r="S121" i="17" s="1"/>
  <c r="R210" i="17"/>
  <c r="S210" i="17" s="1"/>
  <c r="R123" i="17"/>
  <c r="S123" i="17" s="1"/>
  <c r="R124" i="17"/>
  <c r="S124" i="17" s="1"/>
  <c r="R125" i="17"/>
  <c r="S125" i="17" s="1"/>
  <c r="R126" i="17"/>
  <c r="S126" i="17" s="1"/>
  <c r="R127" i="17"/>
  <c r="S127" i="17" s="1"/>
  <c r="R128" i="17"/>
  <c r="S128" i="17" s="1"/>
  <c r="R129" i="17"/>
  <c r="S129" i="17" s="1"/>
  <c r="R130" i="17"/>
  <c r="S130" i="17" s="1"/>
  <c r="R799" i="17"/>
  <c r="S799" i="17" s="1"/>
  <c r="R398" i="17"/>
  <c r="S398" i="17" s="1"/>
  <c r="R133" i="17"/>
  <c r="S133" i="17" s="1"/>
  <c r="R1105" i="17"/>
  <c r="S1105" i="17" s="1"/>
  <c r="R135" i="17"/>
  <c r="S135" i="17" s="1"/>
  <c r="R136" i="17"/>
  <c r="S136" i="17" s="1"/>
  <c r="R137" i="17"/>
  <c r="S137" i="17" s="1"/>
  <c r="R138" i="17"/>
  <c r="S138" i="17" s="1"/>
  <c r="R1031" i="17"/>
  <c r="S1031" i="17" s="1"/>
  <c r="R140" i="17"/>
  <c r="S140" i="17" s="1"/>
  <c r="R141" i="17"/>
  <c r="S141" i="17" s="1"/>
  <c r="R142" i="17"/>
  <c r="S142" i="17" s="1"/>
  <c r="R1558" i="17"/>
  <c r="S1558" i="17" s="1"/>
  <c r="R144" i="17"/>
  <c r="S144" i="17" s="1"/>
  <c r="R145" i="17"/>
  <c r="S145" i="17" s="1"/>
  <c r="R146" i="17"/>
  <c r="S146" i="17" s="1"/>
  <c r="R147" i="17"/>
  <c r="S147" i="17" s="1"/>
  <c r="R148" i="17"/>
  <c r="S148" i="17" s="1"/>
  <c r="R1429" i="17"/>
  <c r="S1429" i="17" s="1"/>
  <c r="R150" i="17"/>
  <c r="S150" i="17" s="1"/>
  <c r="R151" i="17"/>
  <c r="S151" i="17" s="1"/>
  <c r="R89" i="17"/>
  <c r="S89" i="17" s="1"/>
  <c r="R153" i="17"/>
  <c r="S153" i="17" s="1"/>
  <c r="R154" i="17"/>
  <c r="S154" i="17" s="1"/>
  <c r="R155" i="17"/>
  <c r="S155" i="17" s="1"/>
  <c r="R156" i="17"/>
  <c r="S156" i="17" s="1"/>
  <c r="R298" i="17"/>
  <c r="S298" i="17" s="1"/>
  <c r="R583" i="17"/>
  <c r="S583" i="17" s="1"/>
  <c r="R159" i="17"/>
  <c r="S159" i="17" s="1"/>
  <c r="R160" i="17"/>
  <c r="S160" i="17" s="1"/>
  <c r="R161" i="17"/>
  <c r="S161" i="17" s="1"/>
  <c r="R1757" i="17"/>
  <c r="S1757" i="17" s="1"/>
  <c r="R163" i="17"/>
  <c r="S163" i="17" s="1"/>
  <c r="R164" i="17"/>
  <c r="S164" i="17" s="1"/>
  <c r="R165" i="17"/>
  <c r="S165" i="17" s="1"/>
  <c r="R166" i="17"/>
  <c r="S166" i="17" s="1"/>
  <c r="R167" i="17"/>
  <c r="S167" i="17" s="1"/>
  <c r="R168" i="17"/>
  <c r="S168" i="17" s="1"/>
  <c r="R169" i="17"/>
  <c r="S169" i="17" s="1"/>
  <c r="R170" i="17"/>
  <c r="S170" i="17" s="1"/>
  <c r="R171" i="17"/>
  <c r="S171" i="17" s="1"/>
  <c r="R172" i="17"/>
  <c r="S172" i="17" s="1"/>
  <c r="R173" i="17"/>
  <c r="S173" i="17" s="1"/>
  <c r="R174" i="17"/>
  <c r="S174" i="17" s="1"/>
  <c r="R175" i="17"/>
  <c r="S175" i="17" s="1"/>
  <c r="R176" i="17"/>
  <c r="S176" i="17" s="1"/>
  <c r="R177" i="17"/>
  <c r="S177" i="17" s="1"/>
  <c r="R271" i="17"/>
  <c r="S271" i="17" s="1"/>
  <c r="R179" i="17"/>
  <c r="S179" i="17" s="1"/>
  <c r="R1653" i="17"/>
  <c r="S1653" i="17" s="1"/>
  <c r="R181" i="17"/>
  <c r="S181" i="17" s="1"/>
  <c r="R403" i="17"/>
  <c r="S403" i="17" s="1"/>
  <c r="R183" i="17"/>
  <c r="S183" i="17" s="1"/>
  <c r="R184" i="17"/>
  <c r="S184" i="17" s="1"/>
  <c r="R185" i="17"/>
  <c r="S185" i="17" s="1"/>
  <c r="R1138" i="17"/>
  <c r="S1138" i="17" s="1"/>
  <c r="R187" i="17"/>
  <c r="S187" i="17" s="1"/>
  <c r="R143" i="17"/>
  <c r="S143" i="17" s="1"/>
  <c r="R189" i="17"/>
  <c r="S189" i="17" s="1"/>
  <c r="R301" i="17"/>
  <c r="S301" i="17" s="1"/>
  <c r="R191" i="17"/>
  <c r="S191" i="17" s="1"/>
  <c r="R192" i="17"/>
  <c r="S192" i="17" s="1"/>
  <c r="R193" i="17"/>
  <c r="S193" i="17" s="1"/>
  <c r="R194" i="17"/>
  <c r="S194" i="17" s="1"/>
  <c r="R195" i="17"/>
  <c r="S195" i="17" s="1"/>
  <c r="R196" i="17"/>
  <c r="S196" i="17" s="1"/>
  <c r="R197" i="17"/>
  <c r="S197" i="17" s="1"/>
  <c r="R198" i="17"/>
  <c r="S198" i="17" s="1"/>
  <c r="R158" i="17"/>
  <c r="S158" i="17" s="1"/>
  <c r="R200" i="17"/>
  <c r="S200" i="17" s="1"/>
  <c r="R201" i="17"/>
  <c r="S201" i="17" s="1"/>
  <c r="R202" i="17"/>
  <c r="S202" i="17" s="1"/>
  <c r="R203" i="17"/>
  <c r="S203" i="17" s="1"/>
  <c r="R204" i="17"/>
  <c r="S204" i="17" s="1"/>
  <c r="R447" i="17"/>
  <c r="S447" i="17" s="1"/>
  <c r="R205" i="17"/>
  <c r="S205" i="17" s="1"/>
  <c r="R446" i="17"/>
  <c r="S446" i="17" s="1"/>
  <c r="R208" i="17"/>
  <c r="S208" i="17" s="1"/>
  <c r="R209" i="17"/>
  <c r="S209" i="17" s="1"/>
  <c r="R487" i="17"/>
  <c r="S487" i="17" s="1"/>
  <c r="R211" i="17"/>
  <c r="S211" i="17" s="1"/>
  <c r="R212" i="17"/>
  <c r="S212" i="17" s="1"/>
  <c r="R213" i="17"/>
  <c r="S213" i="17" s="1"/>
  <c r="R214" i="17"/>
  <c r="S214" i="17" s="1"/>
  <c r="R215" i="17"/>
  <c r="S215" i="17" s="1"/>
  <c r="R216" i="17"/>
  <c r="S216" i="17" s="1"/>
  <c r="R847" i="17"/>
  <c r="S847" i="17" s="1"/>
  <c r="R218" i="17"/>
  <c r="S218" i="17" s="1"/>
  <c r="R219" i="17"/>
  <c r="S219" i="17" s="1"/>
  <c r="R220" i="17"/>
  <c r="S220" i="17" s="1"/>
  <c r="R1118" i="17"/>
  <c r="S1118" i="17" s="1"/>
  <c r="R1212" i="17"/>
  <c r="S1212" i="17" s="1"/>
  <c r="R223" i="17"/>
  <c r="S223" i="17" s="1"/>
  <c r="R224" i="17"/>
  <c r="S224" i="17" s="1"/>
  <c r="R225" i="17"/>
  <c r="S225" i="17" s="1"/>
  <c r="R226" i="17"/>
  <c r="S226" i="17" s="1"/>
  <c r="R227" i="17"/>
  <c r="S227" i="17" s="1"/>
  <c r="R1387" i="17"/>
  <c r="S1387" i="17" s="1"/>
  <c r="R229" i="17"/>
  <c r="S229" i="17" s="1"/>
  <c r="R230" i="17"/>
  <c r="S230" i="17" s="1"/>
  <c r="R231" i="17"/>
  <c r="S231" i="17" s="1"/>
  <c r="R808" i="17"/>
  <c r="S808" i="17" s="1"/>
  <c r="R233" i="17"/>
  <c r="S233" i="17" s="1"/>
  <c r="R234" i="17"/>
  <c r="S234" i="17" s="1"/>
  <c r="R471" i="17"/>
  <c r="S471" i="17" s="1"/>
  <c r="R236" i="17"/>
  <c r="S236" i="17" s="1"/>
  <c r="R237" i="17"/>
  <c r="S237" i="17" s="1"/>
  <c r="R238" i="17"/>
  <c r="S238" i="17" s="1"/>
  <c r="R239" i="17"/>
  <c r="S239" i="17" s="1"/>
  <c r="R240" i="17"/>
  <c r="S240" i="17" s="1"/>
  <c r="R241" i="17"/>
  <c r="S241" i="17" s="1"/>
  <c r="R1289" i="17"/>
  <c r="S1289" i="17" s="1"/>
  <c r="R269" i="17"/>
  <c r="S269" i="17" s="1"/>
  <c r="R1033" i="17"/>
  <c r="S1033" i="17" s="1"/>
  <c r="R245" i="17"/>
  <c r="S245" i="17" s="1"/>
  <c r="R190" i="17"/>
  <c r="S190" i="17" s="1"/>
  <c r="R247" i="17"/>
  <c r="S247" i="17" s="1"/>
  <c r="R248" i="17"/>
  <c r="S248" i="17" s="1"/>
  <c r="R249" i="17"/>
  <c r="S249" i="17" s="1"/>
  <c r="R250" i="17"/>
  <c r="S250" i="17" s="1"/>
  <c r="R251" i="17"/>
  <c r="S251" i="17" s="1"/>
  <c r="R252" i="17"/>
  <c r="S252" i="17" s="1"/>
  <c r="R253" i="17"/>
  <c r="S253" i="17" s="1"/>
  <c r="R254" i="17"/>
  <c r="S254" i="17" s="1"/>
  <c r="R255" i="17"/>
  <c r="S255" i="17" s="1"/>
  <c r="R256" i="17"/>
  <c r="S256" i="17" s="1"/>
  <c r="R257" i="17"/>
  <c r="S257" i="17" s="1"/>
  <c r="R258" i="17"/>
  <c r="S258" i="17" s="1"/>
  <c r="R259" i="17"/>
  <c r="S259" i="17" s="1"/>
  <c r="R785" i="17"/>
  <c r="S785" i="17" s="1"/>
  <c r="R261" i="17"/>
  <c r="S261" i="17" s="1"/>
  <c r="R262" i="17"/>
  <c r="S262" i="17" s="1"/>
  <c r="R263" i="17"/>
  <c r="S263" i="17" s="1"/>
  <c r="R264" i="17"/>
  <c r="S264" i="17" s="1"/>
  <c r="R265" i="17"/>
  <c r="S265" i="17" s="1"/>
  <c r="R266" i="17"/>
  <c r="S266" i="17" s="1"/>
  <c r="R267" i="17"/>
  <c r="S267" i="17" s="1"/>
  <c r="R268" i="17"/>
  <c r="S268" i="17" s="1"/>
  <c r="R33" i="17"/>
  <c r="S33" i="17" s="1"/>
  <c r="R270" i="17"/>
  <c r="S270" i="17" s="1"/>
  <c r="R579" i="17"/>
  <c r="S579" i="17" s="1"/>
  <c r="R272" i="17"/>
  <c r="S272" i="17" s="1"/>
  <c r="R273" i="17"/>
  <c r="S273" i="17" s="1"/>
  <c r="R274" i="17"/>
  <c r="S274" i="17" s="1"/>
  <c r="R275" i="17"/>
  <c r="S275" i="17" s="1"/>
  <c r="R276" i="17"/>
  <c r="S276" i="17" s="1"/>
  <c r="R277" i="17"/>
  <c r="S277" i="17" s="1"/>
  <c r="R278" i="17"/>
  <c r="S278" i="17" s="1"/>
  <c r="R279" i="17"/>
  <c r="S279" i="17" s="1"/>
  <c r="R280" i="17"/>
  <c r="S280" i="17" s="1"/>
  <c r="R281" i="17"/>
  <c r="S281" i="17" s="1"/>
  <c r="R282" i="17"/>
  <c r="S282" i="17" s="1"/>
  <c r="R1248" i="17"/>
  <c r="S1248" i="17" s="1"/>
  <c r="R284" i="17"/>
  <c r="S284" i="17" s="1"/>
  <c r="R285" i="17"/>
  <c r="S285" i="17" s="1"/>
  <c r="R286" i="17"/>
  <c r="S286" i="17" s="1"/>
  <c r="R287" i="17"/>
  <c r="S287" i="17" s="1"/>
  <c r="R288" i="17"/>
  <c r="S288" i="17" s="1"/>
  <c r="R289" i="17"/>
  <c r="S289" i="17" s="1"/>
  <c r="R290" i="17"/>
  <c r="S290" i="17" s="1"/>
  <c r="R291" i="17"/>
  <c r="S291" i="17" s="1"/>
  <c r="R292" i="17"/>
  <c r="S292" i="17" s="1"/>
  <c r="R1719" i="17"/>
  <c r="S1719" i="17" s="1"/>
  <c r="R332" i="17"/>
  <c r="S332" i="17" s="1"/>
  <c r="R295" i="17"/>
  <c r="S295" i="17" s="1"/>
  <c r="R1842" i="17"/>
  <c r="S1842" i="17" s="1"/>
  <c r="R297" i="17"/>
  <c r="S297" i="17" s="1"/>
  <c r="R539" i="17"/>
  <c r="S539" i="17" s="1"/>
  <c r="R299" i="17"/>
  <c r="S299" i="17" s="1"/>
  <c r="R207" i="17"/>
  <c r="S207" i="17" s="1"/>
  <c r="R1023" i="17"/>
  <c r="S1023" i="17" s="1"/>
  <c r="R302" i="17"/>
  <c r="S302" i="17" s="1"/>
  <c r="R908" i="17"/>
  <c r="S908" i="17" s="1"/>
  <c r="R304" i="17"/>
  <c r="S304" i="17" s="1"/>
  <c r="R1160" i="17"/>
  <c r="S1160" i="17" s="1"/>
  <c r="R1334" i="17"/>
  <c r="S1334" i="17" s="1"/>
  <c r="R307" i="17"/>
  <c r="S307" i="17" s="1"/>
  <c r="R308" i="17"/>
  <c r="S308" i="17" s="1"/>
  <c r="R309" i="17"/>
  <c r="S309" i="17" s="1"/>
  <c r="R310" i="17"/>
  <c r="S310" i="17" s="1"/>
  <c r="R311" i="17"/>
  <c r="S311" i="17" s="1"/>
  <c r="R884" i="17"/>
  <c r="S884" i="17" s="1"/>
  <c r="R313" i="17"/>
  <c r="S313" i="17" s="1"/>
  <c r="R314" i="17"/>
  <c r="S314" i="17" s="1"/>
  <c r="R315" i="17"/>
  <c r="S315" i="17" s="1"/>
  <c r="R316" i="17"/>
  <c r="S316" i="17" s="1"/>
  <c r="R317" i="17"/>
  <c r="S317" i="17" s="1"/>
  <c r="R318" i="17"/>
  <c r="S318" i="17" s="1"/>
  <c r="R319" i="17"/>
  <c r="S319" i="17" s="1"/>
  <c r="R713" i="17"/>
  <c r="S713" i="17" s="1"/>
  <c r="R321" i="17"/>
  <c r="S321" i="17" s="1"/>
  <c r="R322" i="17"/>
  <c r="S322" i="17" s="1"/>
  <c r="R323" i="17"/>
  <c r="S323" i="17" s="1"/>
  <c r="R324" i="17"/>
  <c r="S324" i="17" s="1"/>
  <c r="R325" i="17"/>
  <c r="S325" i="17" s="1"/>
  <c r="R565" i="17"/>
  <c r="S565" i="17" s="1"/>
  <c r="R1836" i="17"/>
  <c r="S1836" i="17" s="1"/>
  <c r="R328" i="17"/>
  <c r="S328" i="17" s="1"/>
  <c r="R329" i="17"/>
  <c r="S329" i="17" s="1"/>
  <c r="R330" i="17"/>
  <c r="S330" i="17" s="1"/>
  <c r="R331" i="17"/>
  <c r="S331" i="17" s="1"/>
  <c r="R1111" i="17"/>
  <c r="S1111" i="17" s="1"/>
  <c r="R1398" i="17"/>
  <c r="S1398" i="17" s="1"/>
  <c r="R334" i="17"/>
  <c r="S334" i="17" s="1"/>
  <c r="R335" i="17"/>
  <c r="S335" i="17" s="1"/>
  <c r="R336" i="17"/>
  <c r="S336" i="17" s="1"/>
  <c r="R337" i="17"/>
  <c r="S337" i="17" s="1"/>
  <c r="R1767" i="17"/>
  <c r="S1767" i="17" s="1"/>
  <c r="R339" i="17"/>
  <c r="S339" i="17" s="1"/>
  <c r="R340" i="17"/>
  <c r="S340" i="17" s="1"/>
  <c r="R341" i="17"/>
  <c r="S341" i="17" s="1"/>
  <c r="R342" i="17"/>
  <c r="S342" i="17" s="1"/>
  <c r="R343" i="17"/>
  <c r="S343" i="17" s="1"/>
  <c r="R344" i="17"/>
  <c r="S344" i="17" s="1"/>
  <c r="R1386" i="17"/>
  <c r="S1386" i="17" s="1"/>
  <c r="R346" i="17"/>
  <c r="S346" i="17" s="1"/>
  <c r="R1596" i="17"/>
  <c r="S1596" i="17" s="1"/>
  <c r="R348" i="17"/>
  <c r="S348" i="17" s="1"/>
  <c r="R349" i="17"/>
  <c r="S349" i="17" s="1"/>
  <c r="R152" i="17"/>
  <c r="S152" i="17" s="1"/>
  <c r="R1065" i="17"/>
  <c r="S1065" i="17" s="1"/>
  <c r="R352" i="17"/>
  <c r="S352" i="17" s="1"/>
  <c r="R1771" i="17"/>
  <c r="S1771" i="17" s="1"/>
  <c r="R440" i="17"/>
  <c r="S440" i="17" s="1"/>
  <c r="R1800" i="17"/>
  <c r="S1800" i="17" s="1"/>
  <c r="R356" i="17"/>
  <c r="S356" i="17" s="1"/>
  <c r="R357" i="17"/>
  <c r="S357" i="17" s="1"/>
  <c r="R358" i="17"/>
  <c r="S358" i="17" s="1"/>
  <c r="R122" i="17"/>
  <c r="S122" i="17" s="1"/>
  <c r="R360" i="17"/>
  <c r="S360" i="17" s="1"/>
  <c r="R361" i="17"/>
  <c r="S361" i="17" s="1"/>
  <c r="R1302" i="17"/>
  <c r="S1302" i="17" s="1"/>
  <c r="R363" i="17"/>
  <c r="S363" i="17" s="1"/>
  <c r="R364" i="17"/>
  <c r="S364" i="17" s="1"/>
  <c r="R541" i="17"/>
  <c r="S541" i="17" s="1"/>
  <c r="R1228" i="17"/>
  <c r="S1228" i="17" s="1"/>
  <c r="R367" i="17"/>
  <c r="S367" i="17" s="1"/>
  <c r="R354" i="17"/>
  <c r="S354" i="17" s="1"/>
  <c r="R369" i="17"/>
  <c r="S369" i="17" s="1"/>
  <c r="R370" i="17"/>
  <c r="S370" i="17" s="1"/>
  <c r="R580" i="17"/>
  <c r="S580" i="17" s="1"/>
  <c r="R372" i="17"/>
  <c r="S372" i="17" s="1"/>
  <c r="R373" i="17"/>
  <c r="S373" i="17" s="1"/>
  <c r="R374" i="17"/>
  <c r="S374" i="17" s="1"/>
  <c r="R375" i="17"/>
  <c r="S375" i="17" s="1"/>
  <c r="R376" i="17"/>
  <c r="S376" i="17" s="1"/>
  <c r="R186" i="17"/>
  <c r="S186" i="17" s="1"/>
  <c r="R378" i="17"/>
  <c r="S378" i="17" s="1"/>
  <c r="R379" i="17"/>
  <c r="S379" i="17" s="1"/>
  <c r="R380" i="17"/>
  <c r="S380" i="17" s="1"/>
  <c r="R29" i="17"/>
  <c r="S29" i="17" s="1"/>
  <c r="R382" i="17"/>
  <c r="S382" i="17" s="1"/>
  <c r="R383" i="17"/>
  <c r="S383" i="17" s="1"/>
  <c r="R384" i="17"/>
  <c r="S384" i="17" s="1"/>
  <c r="R385" i="17"/>
  <c r="S385" i="17" s="1"/>
  <c r="R386" i="17"/>
  <c r="S386" i="17" s="1"/>
  <c r="R387" i="17"/>
  <c r="S387" i="17" s="1"/>
  <c r="R388" i="17"/>
  <c r="S388" i="17" s="1"/>
  <c r="R389" i="17"/>
  <c r="S389" i="17" s="1"/>
  <c r="R390" i="17"/>
  <c r="S390" i="17" s="1"/>
  <c r="R391" i="17"/>
  <c r="S391" i="17" s="1"/>
  <c r="R392" i="17"/>
  <c r="S392" i="17" s="1"/>
  <c r="R393" i="17"/>
  <c r="S393" i="17" s="1"/>
  <c r="R394" i="17"/>
  <c r="S394" i="17" s="1"/>
  <c r="R395" i="17"/>
  <c r="S395" i="17" s="1"/>
  <c r="R396" i="17"/>
  <c r="S396" i="17" s="1"/>
  <c r="R397" i="17"/>
  <c r="S397" i="17" s="1"/>
  <c r="R139" i="17"/>
  <c r="S139" i="17" s="1"/>
  <c r="R399" i="17"/>
  <c r="S399" i="17" s="1"/>
  <c r="R400" i="17"/>
  <c r="S400" i="17" s="1"/>
  <c r="R246" i="17"/>
  <c r="S246" i="17" s="1"/>
  <c r="R402" i="17"/>
  <c r="S402" i="17" s="1"/>
  <c r="R483" i="17"/>
  <c r="S483" i="17" s="1"/>
  <c r="R404" i="17"/>
  <c r="S404" i="17" s="1"/>
  <c r="R405" i="17"/>
  <c r="S405" i="17" s="1"/>
  <c r="R406" i="17"/>
  <c r="S406" i="17" s="1"/>
  <c r="R407" i="17"/>
  <c r="S407" i="17" s="1"/>
  <c r="R408" i="17"/>
  <c r="S408" i="17" s="1"/>
  <c r="R409" i="17"/>
  <c r="S409" i="17" s="1"/>
  <c r="R410" i="17"/>
  <c r="S410" i="17" s="1"/>
  <c r="R411" i="17"/>
  <c r="S411" i="17" s="1"/>
  <c r="R412" i="17"/>
  <c r="S412" i="17" s="1"/>
  <c r="R296" i="17"/>
  <c r="S296" i="17" s="1"/>
  <c r="R414" i="17"/>
  <c r="S414" i="17" s="1"/>
  <c r="R415" i="17"/>
  <c r="S415" i="17" s="1"/>
  <c r="R416" i="17"/>
  <c r="S416" i="17" s="1"/>
  <c r="R417" i="17"/>
  <c r="S417" i="17" s="1"/>
  <c r="R418" i="17"/>
  <c r="S418" i="17" s="1"/>
  <c r="R724" i="17"/>
  <c r="S724" i="17" s="1"/>
  <c r="R420" i="17"/>
  <c r="S420" i="17" s="1"/>
  <c r="R421" i="17"/>
  <c r="S421" i="17" s="1"/>
  <c r="R422" i="17"/>
  <c r="S422" i="17" s="1"/>
  <c r="R423" i="17"/>
  <c r="S423" i="17" s="1"/>
  <c r="R424" i="17"/>
  <c r="S424" i="17" s="1"/>
  <c r="R425" i="17"/>
  <c r="S425" i="17" s="1"/>
  <c r="R426" i="17"/>
  <c r="S426" i="17" s="1"/>
  <c r="R427" i="17"/>
  <c r="S427" i="17" s="1"/>
  <c r="R428" i="17"/>
  <c r="S428" i="17" s="1"/>
  <c r="R429" i="17"/>
  <c r="S429" i="17" s="1"/>
  <c r="R430" i="17"/>
  <c r="S430" i="17" s="1"/>
  <c r="R431" i="17"/>
  <c r="S431" i="17" s="1"/>
  <c r="R432" i="17"/>
  <c r="S432" i="17" s="1"/>
  <c r="R433" i="17"/>
  <c r="S433" i="17" s="1"/>
  <c r="R434" i="17"/>
  <c r="S434" i="17" s="1"/>
  <c r="R692" i="17"/>
  <c r="S692" i="17" s="1"/>
  <c r="R436" i="17"/>
  <c r="S436" i="17" s="1"/>
  <c r="R437" i="17"/>
  <c r="S437" i="17" s="1"/>
  <c r="R438" i="17"/>
  <c r="S438" i="17" s="1"/>
  <c r="R439" i="17"/>
  <c r="S439" i="17" s="1"/>
  <c r="R98" i="17"/>
  <c r="S98" i="17" s="1"/>
  <c r="R1720" i="17"/>
  <c r="S1720" i="17" s="1"/>
  <c r="R442" i="17"/>
  <c r="S442" i="17" s="1"/>
  <c r="R443" i="17"/>
  <c r="S443" i="17" s="1"/>
  <c r="R1267" i="17"/>
  <c r="S1267" i="17" s="1"/>
  <c r="R445" i="17"/>
  <c r="S445" i="17" s="1"/>
  <c r="R1359" i="17"/>
  <c r="S1359" i="17" s="1"/>
  <c r="R1586" i="17"/>
  <c r="S1586" i="17" s="1"/>
  <c r="R448" i="17"/>
  <c r="S448" i="17" s="1"/>
  <c r="R449" i="17"/>
  <c r="S449" i="17" s="1"/>
  <c r="R450" i="17"/>
  <c r="S450" i="17" s="1"/>
  <c r="R451" i="17"/>
  <c r="S451" i="17" s="1"/>
  <c r="R1773" i="17"/>
  <c r="S1773" i="17" s="1"/>
  <c r="R453" i="17"/>
  <c r="S453" i="17" s="1"/>
  <c r="R454" i="17"/>
  <c r="S454" i="17" s="1"/>
  <c r="R455" i="17"/>
  <c r="S455" i="17" s="1"/>
  <c r="R456" i="17"/>
  <c r="S456" i="17" s="1"/>
  <c r="R457" i="17"/>
  <c r="S457" i="17" s="1"/>
  <c r="R458" i="17"/>
  <c r="S458" i="17" s="1"/>
  <c r="R459" i="17"/>
  <c r="S459" i="17" s="1"/>
  <c r="R460" i="17"/>
  <c r="S460" i="17" s="1"/>
  <c r="R461" i="17"/>
  <c r="S461" i="17" s="1"/>
  <c r="R462" i="17"/>
  <c r="S462" i="17" s="1"/>
  <c r="R593" i="17"/>
  <c r="S593" i="17" s="1"/>
  <c r="R464" i="17"/>
  <c r="S464" i="17" s="1"/>
  <c r="R465" i="17"/>
  <c r="S465" i="17" s="1"/>
  <c r="R466" i="17"/>
  <c r="S466" i="17" s="1"/>
  <c r="R182" i="17"/>
  <c r="S182" i="17" s="1"/>
  <c r="R468" i="17"/>
  <c r="S468" i="17" s="1"/>
  <c r="R469" i="17"/>
  <c r="S469" i="17" s="1"/>
  <c r="R470" i="17"/>
  <c r="S470" i="17" s="1"/>
  <c r="R1389" i="17"/>
  <c r="S1389" i="17" s="1"/>
  <c r="R1914" i="17"/>
  <c r="S1914" i="17" s="1"/>
  <c r="R473" i="17"/>
  <c r="S473" i="17" s="1"/>
  <c r="R333" i="17"/>
  <c r="S333" i="17" s="1"/>
  <c r="R475" i="17"/>
  <c r="S475" i="17" s="1"/>
  <c r="R476" i="17"/>
  <c r="S476" i="17" s="1"/>
  <c r="R477" i="17"/>
  <c r="S477" i="17" s="1"/>
  <c r="R478" i="17"/>
  <c r="S478" i="17" s="1"/>
  <c r="R1087" i="17"/>
  <c r="S1087" i="17" s="1"/>
  <c r="R480" i="17"/>
  <c r="S480" i="17" s="1"/>
  <c r="R481" i="17"/>
  <c r="S481" i="17" s="1"/>
  <c r="R482" i="17"/>
  <c r="S482" i="17" s="1"/>
  <c r="R1158" i="17"/>
  <c r="S1158" i="17" s="1"/>
  <c r="R484" i="17"/>
  <c r="S484" i="17" s="1"/>
  <c r="R646" i="17"/>
  <c r="S646" i="17" s="1"/>
  <c r="R486" i="17"/>
  <c r="S486" i="17" s="1"/>
  <c r="R1076" i="17"/>
  <c r="S1076" i="17" s="1"/>
  <c r="R934" i="17"/>
  <c r="S934" i="17" s="1"/>
  <c r="R489" i="17"/>
  <c r="S489" i="17" s="1"/>
  <c r="R490" i="17"/>
  <c r="S490" i="17" s="1"/>
  <c r="R491" i="17"/>
  <c r="S491" i="17" s="1"/>
  <c r="R1608" i="17"/>
  <c r="S1608" i="17" s="1"/>
  <c r="R493" i="17"/>
  <c r="S493" i="17" s="1"/>
  <c r="R494" i="17"/>
  <c r="S494" i="17" s="1"/>
  <c r="R1795" i="17"/>
  <c r="S1795" i="17" s="1"/>
  <c r="R508" i="17"/>
  <c r="S508" i="17" s="1"/>
  <c r="R497" i="17"/>
  <c r="S497" i="17" s="1"/>
  <c r="R498" i="17"/>
  <c r="S498" i="17" s="1"/>
  <c r="R499" i="17"/>
  <c r="S499" i="17" s="1"/>
  <c r="R500" i="17"/>
  <c r="S500" i="17" s="1"/>
  <c r="R501" i="17"/>
  <c r="S501" i="17" s="1"/>
  <c r="R502" i="17"/>
  <c r="S502" i="17" s="1"/>
  <c r="R503" i="17"/>
  <c r="S503" i="17" s="1"/>
  <c r="R1420" i="17"/>
  <c r="S1420" i="17" s="1"/>
  <c r="R505" i="17"/>
  <c r="S505" i="17" s="1"/>
  <c r="R506" i="17"/>
  <c r="S506" i="17" s="1"/>
  <c r="R507" i="17"/>
  <c r="S507" i="17" s="1"/>
  <c r="R962" i="17"/>
  <c r="S962" i="17" s="1"/>
  <c r="R509" i="17"/>
  <c r="S509" i="17" s="1"/>
  <c r="R510" i="17"/>
  <c r="S510" i="17" s="1"/>
  <c r="R1022" i="17"/>
  <c r="S1022" i="17" s="1"/>
  <c r="R512" i="17"/>
  <c r="S512" i="17" s="1"/>
  <c r="R513" i="17"/>
  <c r="S513" i="17" s="1"/>
  <c r="R514" i="17"/>
  <c r="S514" i="17" s="1"/>
  <c r="R515" i="17"/>
  <c r="S515" i="17" s="1"/>
  <c r="R516" i="17"/>
  <c r="S516" i="17" s="1"/>
  <c r="R517" i="17"/>
  <c r="S517" i="17" s="1"/>
  <c r="R518" i="17"/>
  <c r="S518" i="17" s="1"/>
  <c r="R519" i="17"/>
  <c r="S519" i="17" s="1"/>
  <c r="R520" i="17"/>
  <c r="S520" i="17" s="1"/>
  <c r="R521" i="17"/>
  <c r="S521" i="17" s="1"/>
  <c r="R522" i="17"/>
  <c r="S522" i="17" s="1"/>
  <c r="R523" i="17"/>
  <c r="S523" i="17" s="1"/>
  <c r="R652" i="17"/>
  <c r="S652" i="17" s="1"/>
  <c r="R525" i="17"/>
  <c r="S525" i="17" s="1"/>
  <c r="R526" i="17"/>
  <c r="S526" i="17" s="1"/>
  <c r="R527" i="17"/>
  <c r="S527" i="17" s="1"/>
  <c r="R528" i="17"/>
  <c r="S528" i="17" s="1"/>
  <c r="R529" i="17"/>
  <c r="S529" i="17" s="1"/>
  <c r="R530" i="17"/>
  <c r="S530" i="17" s="1"/>
  <c r="R1804" i="17"/>
  <c r="S1804" i="17" s="1"/>
  <c r="R1676" i="17"/>
  <c r="S1676" i="17" s="1"/>
  <c r="R533" i="17"/>
  <c r="S533" i="17" s="1"/>
  <c r="R534" i="17"/>
  <c r="S534" i="17" s="1"/>
  <c r="R535" i="17"/>
  <c r="S535" i="17" s="1"/>
  <c r="R536" i="17"/>
  <c r="S536" i="17" s="1"/>
  <c r="R537" i="17"/>
  <c r="S537" i="17" s="1"/>
  <c r="R538" i="17"/>
  <c r="S538" i="17" s="1"/>
  <c r="R1445" i="17"/>
  <c r="S1445" i="17" s="1"/>
  <c r="R540" i="17"/>
  <c r="S540" i="17" s="1"/>
  <c r="R1368" i="17"/>
  <c r="S1368" i="17" s="1"/>
  <c r="R542" i="17"/>
  <c r="S542" i="17" s="1"/>
  <c r="R543" i="17"/>
  <c r="S543" i="17" s="1"/>
  <c r="R544" i="17"/>
  <c r="S544" i="17" s="1"/>
  <c r="R1776" i="17"/>
  <c r="S1776" i="17" s="1"/>
  <c r="R546" i="17"/>
  <c r="S546" i="17" s="1"/>
  <c r="R547" i="17"/>
  <c r="S547" i="17" s="1"/>
  <c r="R548" i="17"/>
  <c r="S548" i="17" s="1"/>
  <c r="R549" i="17"/>
  <c r="S549" i="17" s="1"/>
  <c r="R550" i="17"/>
  <c r="S550" i="17" s="1"/>
  <c r="R551" i="17"/>
  <c r="S551" i="17" s="1"/>
  <c r="R552" i="17"/>
  <c r="S552" i="17" s="1"/>
  <c r="R553" i="17"/>
  <c r="S553" i="17" s="1"/>
  <c r="R1073" i="17"/>
  <c r="S1073" i="17" s="1"/>
  <c r="R555" i="17"/>
  <c r="S555" i="17" s="1"/>
  <c r="R350" i="17"/>
  <c r="S350" i="17" s="1"/>
  <c r="R557" i="17"/>
  <c r="S557" i="17" s="1"/>
  <c r="R359" i="17"/>
  <c r="S359" i="17" s="1"/>
  <c r="R496" i="17"/>
  <c r="S496" i="17" s="1"/>
  <c r="R560" i="17"/>
  <c r="S560" i="17" s="1"/>
  <c r="R561" i="17"/>
  <c r="S561" i="17" s="1"/>
  <c r="R562" i="17"/>
  <c r="S562" i="17" s="1"/>
  <c r="R1320" i="17"/>
  <c r="S1320" i="17" s="1"/>
  <c r="R564" i="17"/>
  <c r="S564" i="17" s="1"/>
  <c r="R1060" i="17"/>
  <c r="S1060" i="17" s="1"/>
  <c r="R566" i="17"/>
  <c r="S566" i="17" s="1"/>
  <c r="R567" i="17"/>
  <c r="S567" i="17" s="1"/>
  <c r="R568" i="17"/>
  <c r="S568" i="17" s="1"/>
  <c r="R569" i="17"/>
  <c r="S569" i="17" s="1"/>
  <c r="R570" i="17"/>
  <c r="S570" i="17" s="1"/>
  <c r="R571" i="17"/>
  <c r="S571" i="17" s="1"/>
  <c r="R866" i="17"/>
  <c r="S866" i="17" s="1"/>
  <c r="R573" i="17"/>
  <c r="S573" i="17" s="1"/>
  <c r="R574" i="17"/>
  <c r="S574" i="17" s="1"/>
  <c r="R575" i="17"/>
  <c r="S575" i="17" s="1"/>
  <c r="R576" i="17"/>
  <c r="S576" i="17" s="1"/>
  <c r="R577" i="17"/>
  <c r="S577" i="17" s="1"/>
  <c r="R578" i="17"/>
  <c r="S578" i="17" s="1"/>
  <c r="R832" i="17"/>
  <c r="S832" i="17" s="1"/>
  <c r="R306" i="17"/>
  <c r="S306" i="17" s="1"/>
  <c r="R659" i="17"/>
  <c r="S659" i="17" s="1"/>
  <c r="R582" i="17"/>
  <c r="S582" i="17" s="1"/>
  <c r="R1195" i="17"/>
  <c r="S1195" i="17" s="1"/>
  <c r="R584" i="17"/>
  <c r="S584" i="17" s="1"/>
  <c r="R1890" i="17"/>
  <c r="S1890" i="17" s="1"/>
  <c r="R586" i="17"/>
  <c r="S586" i="17" s="1"/>
  <c r="R587" i="17"/>
  <c r="S587" i="17" s="1"/>
  <c r="R588" i="17"/>
  <c r="S588" i="17" s="1"/>
  <c r="R589" i="17"/>
  <c r="S589" i="17" s="1"/>
  <c r="R479" i="17"/>
  <c r="S479" i="17" s="1"/>
  <c r="R1748" i="17"/>
  <c r="S1748" i="17" s="1"/>
  <c r="R592" i="17"/>
  <c r="S592" i="17" s="1"/>
  <c r="R768" i="17"/>
  <c r="S768" i="17" s="1"/>
  <c r="R594" i="17"/>
  <c r="S594" i="17" s="1"/>
  <c r="R595" i="17"/>
  <c r="S595" i="17" s="1"/>
  <c r="R596" i="17"/>
  <c r="S596" i="17" s="1"/>
  <c r="R597" i="17"/>
  <c r="S597" i="17" s="1"/>
  <c r="R598" i="17"/>
  <c r="S598" i="17" s="1"/>
  <c r="R599" i="17"/>
  <c r="S599" i="17" s="1"/>
  <c r="R600" i="17"/>
  <c r="S600" i="17" s="1"/>
  <c r="R601" i="17"/>
  <c r="S601" i="17" s="1"/>
  <c r="R602" i="17"/>
  <c r="S602" i="17" s="1"/>
  <c r="R603" i="17"/>
  <c r="S603" i="17" s="1"/>
  <c r="R604" i="17"/>
  <c r="S604" i="17" s="1"/>
  <c r="R1607" i="17"/>
  <c r="S1607" i="17" s="1"/>
  <c r="R606" i="17"/>
  <c r="S606" i="17" s="1"/>
  <c r="R607" i="17"/>
  <c r="S607" i="17" s="1"/>
  <c r="R608" i="17"/>
  <c r="S608" i="17" s="1"/>
  <c r="R609" i="17"/>
  <c r="S609" i="17" s="1"/>
  <c r="R610" i="17"/>
  <c r="S610" i="17" s="1"/>
  <c r="R611" i="17"/>
  <c r="S611" i="17" s="1"/>
  <c r="R612" i="17"/>
  <c r="S612" i="17" s="1"/>
  <c r="R613" i="17"/>
  <c r="S613" i="17" s="1"/>
  <c r="R888" i="17"/>
  <c r="S888" i="17" s="1"/>
  <c r="R615" i="17"/>
  <c r="S615" i="17" s="1"/>
  <c r="R616" i="17"/>
  <c r="S616" i="17" s="1"/>
  <c r="R590" i="17"/>
  <c r="S590" i="17" s="1"/>
  <c r="R618" i="17"/>
  <c r="S618" i="17" s="1"/>
  <c r="R846" i="17"/>
  <c r="S846" i="17" s="1"/>
  <c r="R620" i="17"/>
  <c r="S620" i="17" s="1"/>
  <c r="R621" i="17"/>
  <c r="S621" i="17" s="1"/>
  <c r="R622" i="17"/>
  <c r="S622" i="17" s="1"/>
  <c r="R623" i="17"/>
  <c r="S623" i="17" s="1"/>
  <c r="R1286" i="17"/>
  <c r="S1286" i="17" s="1"/>
  <c r="R625" i="17"/>
  <c r="S625" i="17" s="1"/>
  <c r="R626" i="17"/>
  <c r="S626" i="17" s="1"/>
  <c r="R627" i="17"/>
  <c r="S627" i="17" s="1"/>
  <c r="R628" i="17"/>
  <c r="S628" i="17" s="1"/>
  <c r="R629" i="17"/>
  <c r="S629" i="17" s="1"/>
  <c r="R630" i="17"/>
  <c r="S630" i="17" s="1"/>
  <c r="R631" i="17"/>
  <c r="S631" i="17" s="1"/>
  <c r="R368" i="17"/>
  <c r="S368" i="17" s="1"/>
  <c r="R1468" i="17"/>
  <c r="S1468" i="17" s="1"/>
  <c r="R634" i="17"/>
  <c r="S634" i="17" s="1"/>
  <c r="R635" i="17"/>
  <c r="S635" i="17" s="1"/>
  <c r="R636" i="17"/>
  <c r="S636" i="17" s="1"/>
  <c r="R362" i="17"/>
  <c r="S362" i="17" s="1"/>
  <c r="R638" i="17"/>
  <c r="S638" i="17" s="1"/>
  <c r="R639" i="17"/>
  <c r="S639" i="17" s="1"/>
  <c r="R694" i="17"/>
  <c r="S694" i="17" s="1"/>
  <c r="R641" i="17"/>
  <c r="S641" i="17" s="1"/>
  <c r="R642" i="17"/>
  <c r="S642" i="17" s="1"/>
  <c r="R643" i="17"/>
  <c r="S643" i="17" s="1"/>
  <c r="R644" i="17"/>
  <c r="S644" i="17" s="1"/>
  <c r="R645" i="17"/>
  <c r="S645" i="17" s="1"/>
  <c r="R920" i="17"/>
  <c r="S920" i="17" s="1"/>
  <c r="R647" i="17"/>
  <c r="S647" i="17" s="1"/>
  <c r="R648" i="17"/>
  <c r="S648" i="17" s="1"/>
  <c r="R649" i="17"/>
  <c r="S649" i="17" s="1"/>
  <c r="R633" i="17"/>
  <c r="S633" i="17" s="1"/>
  <c r="R651" i="17"/>
  <c r="S651" i="17" s="1"/>
  <c r="R581" i="17"/>
  <c r="S581" i="17" s="1"/>
  <c r="R653" i="17"/>
  <c r="S653" i="17" s="1"/>
  <c r="R654" i="17"/>
  <c r="S654" i="17" s="1"/>
  <c r="R655" i="17"/>
  <c r="S655" i="17" s="1"/>
  <c r="R222" i="17"/>
  <c r="S222" i="17" s="1"/>
  <c r="R657" i="17"/>
  <c r="S657" i="17" s="1"/>
  <c r="R658" i="17"/>
  <c r="S658" i="17" s="1"/>
  <c r="R957" i="17"/>
  <c r="S957" i="17" s="1"/>
  <c r="R660" i="17"/>
  <c r="S660" i="17" s="1"/>
  <c r="R661" i="17"/>
  <c r="S661" i="17" s="1"/>
  <c r="R662" i="17"/>
  <c r="S662" i="17" s="1"/>
  <c r="R663" i="17"/>
  <c r="S663" i="17" s="1"/>
  <c r="R664" i="17"/>
  <c r="S664" i="17" s="1"/>
  <c r="R665" i="17"/>
  <c r="S665" i="17" s="1"/>
  <c r="R666" i="17"/>
  <c r="S666" i="17" s="1"/>
  <c r="R667" i="17"/>
  <c r="S667" i="17" s="1"/>
  <c r="R668" i="17"/>
  <c r="S668" i="17" s="1"/>
  <c r="R669" i="17"/>
  <c r="S669" i="17" s="1"/>
  <c r="R670" i="17"/>
  <c r="S670" i="17" s="1"/>
  <c r="R671" i="17"/>
  <c r="S671" i="17" s="1"/>
  <c r="R672" i="17"/>
  <c r="S672" i="17" s="1"/>
  <c r="R790" i="17"/>
  <c r="S790" i="17" s="1"/>
  <c r="R1864" i="17"/>
  <c r="S1864" i="17" s="1"/>
  <c r="R675" i="17"/>
  <c r="S675" i="17" s="1"/>
  <c r="R676" i="17"/>
  <c r="S676" i="17" s="1"/>
  <c r="R1084" i="17"/>
  <c r="S1084" i="17" s="1"/>
  <c r="R678" i="17"/>
  <c r="S678" i="17" s="1"/>
  <c r="R679" i="17"/>
  <c r="S679" i="17" s="1"/>
  <c r="R680" i="17"/>
  <c r="S680" i="17" s="1"/>
  <c r="R681" i="17"/>
  <c r="S681" i="17" s="1"/>
  <c r="R682" i="17"/>
  <c r="S682" i="17" s="1"/>
  <c r="R683" i="17"/>
  <c r="S683" i="17" s="1"/>
  <c r="R830" i="17"/>
  <c r="S830" i="17" s="1"/>
  <c r="R685" i="17"/>
  <c r="S685" i="17" s="1"/>
  <c r="R686" i="17"/>
  <c r="S686" i="17" s="1"/>
  <c r="R687" i="17"/>
  <c r="S687" i="17" s="1"/>
  <c r="R47" i="17"/>
  <c r="S47" i="17" s="1"/>
  <c r="R689" i="17"/>
  <c r="S689" i="17" s="1"/>
  <c r="R690" i="17"/>
  <c r="S690" i="17" s="1"/>
  <c r="R691" i="17"/>
  <c r="S691" i="17" s="1"/>
  <c r="R721" i="17"/>
  <c r="S721" i="17" s="1"/>
  <c r="R693" i="17"/>
  <c r="S693" i="17" s="1"/>
  <c r="R640" i="17"/>
  <c r="S640" i="17" s="1"/>
  <c r="R695" i="17"/>
  <c r="S695" i="17" s="1"/>
  <c r="R696" i="17"/>
  <c r="S696" i="17" s="1"/>
  <c r="R697" i="17"/>
  <c r="S697" i="17" s="1"/>
  <c r="R698" i="17"/>
  <c r="S698" i="17" s="1"/>
  <c r="R699" i="17"/>
  <c r="S699" i="17" s="1"/>
  <c r="R700" i="17"/>
  <c r="S700" i="17" s="1"/>
  <c r="R701" i="17"/>
  <c r="S701" i="17" s="1"/>
  <c r="R702" i="17"/>
  <c r="S702" i="17" s="1"/>
  <c r="R703" i="17"/>
  <c r="S703" i="17" s="1"/>
  <c r="R704" i="17"/>
  <c r="S704" i="17" s="1"/>
  <c r="R705" i="17"/>
  <c r="S705" i="17" s="1"/>
  <c r="R706" i="17"/>
  <c r="S706" i="17" s="1"/>
  <c r="R1693" i="17"/>
  <c r="S1693" i="17" s="1"/>
  <c r="R708" i="17"/>
  <c r="S708" i="17" s="1"/>
  <c r="R709" i="17"/>
  <c r="S709" i="17" s="1"/>
  <c r="R710" i="17"/>
  <c r="S710" i="17" s="1"/>
  <c r="R711" i="17"/>
  <c r="S711" i="17" s="1"/>
  <c r="R712" i="17"/>
  <c r="S712" i="17" s="1"/>
  <c r="R1809" i="17"/>
  <c r="S1809" i="17" s="1"/>
  <c r="R714" i="17"/>
  <c r="S714" i="17" s="1"/>
  <c r="R715" i="17"/>
  <c r="S715" i="17" s="1"/>
  <c r="R716" i="17"/>
  <c r="S716" i="17" s="1"/>
  <c r="R717" i="17"/>
  <c r="S717" i="17" s="1"/>
  <c r="R1675" i="17"/>
  <c r="S1675" i="17" s="1"/>
  <c r="R719" i="17"/>
  <c r="S719" i="17" s="1"/>
  <c r="R720" i="17"/>
  <c r="S720" i="17" s="1"/>
  <c r="R68" i="17"/>
  <c r="S68" i="17" s="1"/>
  <c r="R722" i="17"/>
  <c r="S722" i="17" s="1"/>
  <c r="R723" i="17"/>
  <c r="S723" i="17" s="1"/>
  <c r="R1366" i="17"/>
  <c r="S1366" i="17" s="1"/>
  <c r="R725" i="17"/>
  <c r="S725" i="17" s="1"/>
  <c r="R726" i="17"/>
  <c r="S726" i="17" s="1"/>
  <c r="R727" i="17"/>
  <c r="S727" i="17" s="1"/>
  <c r="R728" i="17"/>
  <c r="S728" i="17" s="1"/>
  <c r="R729" i="17"/>
  <c r="S729" i="17" s="1"/>
  <c r="R730" i="17"/>
  <c r="S730" i="17" s="1"/>
  <c r="R731" i="17"/>
  <c r="S731" i="17" s="1"/>
  <c r="R732" i="17"/>
  <c r="S732" i="17" s="1"/>
  <c r="R733" i="17"/>
  <c r="S733" i="17" s="1"/>
  <c r="R734" i="17"/>
  <c r="S734" i="17" s="1"/>
  <c r="R735" i="17"/>
  <c r="S735" i="17" s="1"/>
  <c r="R1840" i="17"/>
  <c r="S1840" i="17" s="1"/>
  <c r="R737" i="17"/>
  <c r="S737" i="17" s="1"/>
  <c r="R738" i="17"/>
  <c r="S738" i="17" s="1"/>
  <c r="R739" i="17"/>
  <c r="S739" i="17" s="1"/>
  <c r="R740" i="17"/>
  <c r="S740" i="17" s="1"/>
  <c r="R741" i="17"/>
  <c r="S741" i="17" s="1"/>
  <c r="R742" i="17"/>
  <c r="S742" i="17" s="1"/>
  <c r="R743" i="17"/>
  <c r="S743" i="17" s="1"/>
  <c r="R838" i="17"/>
  <c r="S838" i="17" s="1"/>
  <c r="R745" i="17"/>
  <c r="S745" i="17" s="1"/>
  <c r="R746" i="17"/>
  <c r="S746" i="17" s="1"/>
  <c r="R747" i="17"/>
  <c r="S747" i="17" s="1"/>
  <c r="R748" i="17"/>
  <c r="S748" i="17" s="1"/>
  <c r="R749" i="17"/>
  <c r="S749" i="17" s="1"/>
  <c r="R750" i="17"/>
  <c r="S750" i="17" s="1"/>
  <c r="R751" i="17"/>
  <c r="S751" i="17" s="1"/>
  <c r="R752" i="17"/>
  <c r="S752" i="17" s="1"/>
  <c r="R753" i="17"/>
  <c r="S753" i="17" s="1"/>
  <c r="R754" i="17"/>
  <c r="S754" i="17" s="1"/>
  <c r="R755" i="17"/>
  <c r="S755" i="17" s="1"/>
  <c r="R1915" i="17"/>
  <c r="S1915" i="17" s="1"/>
  <c r="R757" i="17"/>
  <c r="S757" i="17" s="1"/>
  <c r="R758" i="17"/>
  <c r="S758" i="17" s="1"/>
  <c r="R759" i="17"/>
  <c r="S759" i="17" s="1"/>
  <c r="R760" i="17"/>
  <c r="S760" i="17" s="1"/>
  <c r="R761" i="17"/>
  <c r="S761" i="17" s="1"/>
  <c r="R762" i="17"/>
  <c r="S762" i="17" s="1"/>
  <c r="R763" i="17"/>
  <c r="S763" i="17" s="1"/>
  <c r="R764" i="17"/>
  <c r="S764" i="17" s="1"/>
  <c r="R765" i="17"/>
  <c r="S765" i="17" s="1"/>
  <c r="R1332" i="17"/>
  <c r="S1332" i="17" s="1"/>
  <c r="R188" i="17"/>
  <c r="S188" i="17" s="1"/>
  <c r="R377" i="17"/>
  <c r="S377" i="17" s="1"/>
  <c r="R842" i="17"/>
  <c r="S842" i="17" s="1"/>
  <c r="R718" i="17"/>
  <c r="S718" i="17" s="1"/>
  <c r="R771" i="17"/>
  <c r="S771" i="17" s="1"/>
  <c r="R772" i="17"/>
  <c r="S772" i="17" s="1"/>
  <c r="R773" i="17"/>
  <c r="S773" i="17" s="1"/>
  <c r="R774" i="17"/>
  <c r="S774" i="17" s="1"/>
  <c r="R775" i="17"/>
  <c r="S775" i="17" s="1"/>
  <c r="R776" i="17"/>
  <c r="S776" i="17" s="1"/>
  <c r="R777" i="17"/>
  <c r="S777" i="17" s="1"/>
  <c r="R778" i="17"/>
  <c r="S778" i="17" s="1"/>
  <c r="R779" i="17"/>
  <c r="S779" i="17" s="1"/>
  <c r="R780" i="17"/>
  <c r="S780" i="17" s="1"/>
  <c r="R781" i="17"/>
  <c r="S781" i="17" s="1"/>
  <c r="R782" i="17"/>
  <c r="S782" i="17" s="1"/>
  <c r="R783" i="17"/>
  <c r="S783" i="17" s="1"/>
  <c r="R784" i="17"/>
  <c r="S784" i="17" s="1"/>
  <c r="R1924" i="17"/>
  <c r="S1924" i="17" s="1"/>
  <c r="R786" i="17"/>
  <c r="S786" i="17" s="1"/>
  <c r="R787" i="17"/>
  <c r="S787" i="17" s="1"/>
  <c r="R788" i="17"/>
  <c r="S788" i="17" s="1"/>
  <c r="R789" i="17"/>
  <c r="S789" i="17" s="1"/>
  <c r="R366" i="17"/>
  <c r="S366" i="17" s="1"/>
  <c r="R791" i="17"/>
  <c r="S791" i="17" s="1"/>
  <c r="R792" i="17"/>
  <c r="S792" i="17" s="1"/>
  <c r="R1300" i="17"/>
  <c r="S1300" i="17" s="1"/>
  <c r="R794" i="17"/>
  <c r="S794" i="17" s="1"/>
  <c r="R795" i="17"/>
  <c r="S795" i="17" s="1"/>
  <c r="R796" i="17"/>
  <c r="S796" i="17" s="1"/>
  <c r="R797" i="17"/>
  <c r="S797" i="17" s="1"/>
  <c r="R798" i="17"/>
  <c r="S798" i="17" s="1"/>
  <c r="R1807" i="17"/>
  <c r="S1807" i="17" s="1"/>
  <c r="R800" i="17"/>
  <c r="S800" i="17" s="1"/>
  <c r="R801" i="17"/>
  <c r="S801" i="17" s="1"/>
  <c r="R802" i="17"/>
  <c r="S802" i="17" s="1"/>
  <c r="R1652" i="17"/>
  <c r="S1652" i="17" s="1"/>
  <c r="R804" i="17"/>
  <c r="S804" i="17" s="1"/>
  <c r="R805" i="17"/>
  <c r="S805" i="17" s="1"/>
  <c r="R1101" i="17"/>
  <c r="S1101" i="17" s="1"/>
  <c r="R327" i="17"/>
  <c r="S327" i="17" s="1"/>
  <c r="R556" i="17"/>
  <c r="S556" i="17" s="1"/>
  <c r="R809" i="17"/>
  <c r="S809" i="17" s="1"/>
  <c r="R810" i="17"/>
  <c r="S810" i="17" s="1"/>
  <c r="R650" i="17"/>
  <c r="S650" i="17" s="1"/>
  <c r="R812" i="17"/>
  <c r="S812" i="17" s="1"/>
  <c r="R1278" i="17"/>
  <c r="S1278" i="17" s="1"/>
  <c r="R814" i="17"/>
  <c r="S814" i="17" s="1"/>
  <c r="R815" i="17"/>
  <c r="S815" i="17" s="1"/>
  <c r="R816" i="17"/>
  <c r="S816" i="17" s="1"/>
  <c r="R817" i="17"/>
  <c r="S817" i="17" s="1"/>
  <c r="R818" i="17"/>
  <c r="S818" i="17" s="1"/>
  <c r="R819" i="17"/>
  <c r="S819" i="17" s="1"/>
  <c r="R820" i="17"/>
  <c r="S820" i="17" s="1"/>
  <c r="R821" i="17"/>
  <c r="S821" i="17" s="1"/>
  <c r="R822" i="17"/>
  <c r="S822" i="17" s="1"/>
  <c r="R823" i="17"/>
  <c r="S823" i="17" s="1"/>
  <c r="R824" i="17"/>
  <c r="S824" i="17" s="1"/>
  <c r="R825" i="17"/>
  <c r="S825" i="17" s="1"/>
  <c r="R826" i="17"/>
  <c r="S826" i="17" s="1"/>
  <c r="R1815" i="17"/>
  <c r="S1815" i="17" s="1"/>
  <c r="R828" i="17"/>
  <c r="S828" i="17" s="1"/>
  <c r="R829" i="17"/>
  <c r="S829" i="17" s="1"/>
  <c r="R1352" i="17"/>
  <c r="S1352" i="17" s="1"/>
  <c r="R303" i="17"/>
  <c r="S303" i="17" s="1"/>
  <c r="R891" i="17"/>
  <c r="S891" i="17" s="1"/>
  <c r="R585" i="17"/>
  <c r="S585" i="17" s="1"/>
  <c r="R834" i="17"/>
  <c r="S834" i="17" s="1"/>
  <c r="R835" i="17"/>
  <c r="S835" i="17" s="1"/>
  <c r="R836" i="17"/>
  <c r="S836" i="17" s="1"/>
  <c r="R837" i="17"/>
  <c r="S837" i="17" s="1"/>
  <c r="R624" i="17"/>
  <c r="S624" i="17" s="1"/>
  <c r="R839" i="17"/>
  <c r="S839" i="17" s="1"/>
  <c r="R840" i="17"/>
  <c r="S840" i="17" s="1"/>
  <c r="R841" i="17"/>
  <c r="S841" i="17" s="1"/>
  <c r="R300" i="17"/>
  <c r="S300" i="17" s="1"/>
  <c r="R843" i="17"/>
  <c r="S843" i="17" s="1"/>
  <c r="R441" i="17"/>
  <c r="S441" i="17" s="1"/>
  <c r="R845" i="17"/>
  <c r="S845" i="17" s="1"/>
  <c r="R1858" i="17"/>
  <c r="S1858" i="17" s="1"/>
  <c r="R293" i="17"/>
  <c r="S293" i="17" s="1"/>
  <c r="R848" i="17"/>
  <c r="S848" i="17" s="1"/>
  <c r="R849" i="17"/>
  <c r="S849" i="17" s="1"/>
  <c r="R1699" i="17"/>
  <c r="S1699" i="17" s="1"/>
  <c r="R851" i="17"/>
  <c r="S851" i="17" s="1"/>
  <c r="R75" i="17"/>
  <c r="S75" i="17" s="1"/>
  <c r="R853" i="17"/>
  <c r="S853" i="17" s="1"/>
  <c r="R854" i="17"/>
  <c r="S854" i="17" s="1"/>
  <c r="R855" i="17"/>
  <c r="S855" i="17" s="1"/>
  <c r="R856" i="17"/>
  <c r="S856" i="17" s="1"/>
  <c r="R857" i="17"/>
  <c r="S857" i="17" s="1"/>
  <c r="R858" i="17"/>
  <c r="S858" i="17" s="1"/>
  <c r="R859" i="17"/>
  <c r="S859" i="17" s="1"/>
  <c r="R872" i="17"/>
  <c r="S872" i="17" s="1"/>
  <c r="R107" i="17"/>
  <c r="S107" i="17" s="1"/>
  <c r="R862" i="17"/>
  <c r="S862" i="17" s="1"/>
  <c r="R863" i="17"/>
  <c r="S863" i="17" s="1"/>
  <c r="R347" i="17"/>
  <c r="S347" i="17" s="1"/>
  <c r="R865" i="17"/>
  <c r="S865" i="17" s="1"/>
  <c r="R1702" i="17"/>
  <c r="S1702" i="17" s="1"/>
  <c r="R867" i="17"/>
  <c r="S867" i="17" s="1"/>
  <c r="R1319" i="17"/>
  <c r="S1319" i="17" s="1"/>
  <c r="R1844" i="17"/>
  <c r="S1844" i="17" s="1"/>
  <c r="R1716" i="17"/>
  <c r="S1716" i="17" s="1"/>
  <c r="R871" i="17"/>
  <c r="S871" i="17" s="1"/>
  <c r="R492" i="17"/>
  <c r="S492" i="17" s="1"/>
  <c r="R736" i="17"/>
  <c r="S736" i="17" s="1"/>
  <c r="R874" i="17"/>
  <c r="S874" i="17" s="1"/>
  <c r="R875" i="17"/>
  <c r="S875" i="17" s="1"/>
  <c r="R876" i="17"/>
  <c r="S876" i="17" s="1"/>
  <c r="R877" i="17"/>
  <c r="S877" i="17" s="1"/>
  <c r="R878" i="17"/>
  <c r="S878" i="17" s="1"/>
  <c r="R879" i="17"/>
  <c r="S879" i="17" s="1"/>
  <c r="R880" i="17"/>
  <c r="S880" i="17" s="1"/>
  <c r="R881" i="17"/>
  <c r="S881" i="17" s="1"/>
  <c r="R882" i="17"/>
  <c r="S882" i="17" s="1"/>
  <c r="R883" i="17"/>
  <c r="S883" i="17" s="1"/>
  <c r="R1487" i="17"/>
  <c r="S1487" i="17" s="1"/>
  <c r="R1362" i="17"/>
  <c r="S1362" i="17" s="1"/>
  <c r="R1721" i="17"/>
  <c r="S1721" i="17" s="1"/>
  <c r="R887" i="17"/>
  <c r="S887" i="17" s="1"/>
  <c r="R217" i="17"/>
  <c r="S217" i="17" s="1"/>
  <c r="R889" i="17"/>
  <c r="S889" i="17" s="1"/>
  <c r="R890" i="17"/>
  <c r="S890" i="17" s="1"/>
  <c r="R228" i="17"/>
  <c r="S228" i="17" s="1"/>
  <c r="R892" i="17"/>
  <c r="S892" i="17" s="1"/>
  <c r="R893" i="17"/>
  <c r="S893" i="17" s="1"/>
  <c r="R894" i="17"/>
  <c r="S894" i="17" s="1"/>
  <c r="R895" i="17"/>
  <c r="S895" i="17" s="1"/>
  <c r="R896" i="17"/>
  <c r="S896" i="17" s="1"/>
  <c r="R897" i="17"/>
  <c r="S897" i="17" s="1"/>
  <c r="R898" i="17"/>
  <c r="S898" i="17" s="1"/>
  <c r="R899" i="17"/>
  <c r="S899" i="17" s="1"/>
  <c r="R242" i="17"/>
  <c r="S242" i="17" s="1"/>
  <c r="R901" i="17"/>
  <c r="S901" i="17" s="1"/>
  <c r="R1456" i="17"/>
  <c r="S1456" i="17" s="1"/>
  <c r="R903" i="17"/>
  <c r="S903" i="17" s="1"/>
  <c r="R904" i="17"/>
  <c r="S904" i="17" s="1"/>
  <c r="R905" i="17"/>
  <c r="S905" i="17" s="1"/>
  <c r="R906" i="17"/>
  <c r="S906" i="17" s="1"/>
  <c r="R907" i="17"/>
  <c r="S907" i="17" s="1"/>
  <c r="R1651" i="17"/>
  <c r="S1651" i="17" s="1"/>
  <c r="R178" i="17"/>
  <c r="S178" i="17" s="1"/>
  <c r="R910" i="17"/>
  <c r="S910" i="17" s="1"/>
  <c r="R911" i="17"/>
  <c r="S911" i="17" s="1"/>
  <c r="R912" i="17"/>
  <c r="S912" i="17" s="1"/>
  <c r="R913" i="17"/>
  <c r="S913" i="17" s="1"/>
  <c r="R914" i="17"/>
  <c r="S914" i="17" s="1"/>
  <c r="R1405" i="17"/>
  <c r="S1405" i="17" s="1"/>
  <c r="R916" i="17"/>
  <c r="S916" i="17" s="1"/>
  <c r="R1051" i="17"/>
  <c r="S1051" i="17" s="1"/>
  <c r="R918" i="17"/>
  <c r="S918" i="17" s="1"/>
  <c r="R969" i="17"/>
  <c r="S969" i="17" s="1"/>
  <c r="R614" i="17"/>
  <c r="S614" i="17" s="1"/>
  <c r="R921" i="17"/>
  <c r="S921" i="17" s="1"/>
  <c r="R922" i="17"/>
  <c r="S922" i="17" s="1"/>
  <c r="R923" i="17"/>
  <c r="S923" i="17" s="1"/>
  <c r="R1242" i="17"/>
  <c r="S1242" i="17" s="1"/>
  <c r="R925" i="17"/>
  <c r="S925" i="17" s="1"/>
  <c r="R926" i="17"/>
  <c r="S926" i="17" s="1"/>
  <c r="R927" i="17"/>
  <c r="S927" i="17" s="1"/>
  <c r="R928" i="17"/>
  <c r="S928" i="17" s="1"/>
  <c r="R929" i="17"/>
  <c r="S929" i="17" s="1"/>
  <c r="R930" i="17"/>
  <c r="S930" i="17" s="1"/>
  <c r="R931" i="17"/>
  <c r="S931" i="17" s="1"/>
  <c r="R932" i="17"/>
  <c r="S932" i="17" s="1"/>
  <c r="R933" i="17"/>
  <c r="S933" i="17" s="1"/>
  <c r="R1040" i="17"/>
  <c r="S1040" i="17" s="1"/>
  <c r="R935" i="17"/>
  <c r="S935" i="17" s="1"/>
  <c r="R936" i="17"/>
  <c r="S936" i="17" s="1"/>
  <c r="R937" i="17"/>
  <c r="S937" i="17" s="1"/>
  <c r="R938" i="17"/>
  <c r="S938" i="17" s="1"/>
  <c r="R939" i="17"/>
  <c r="S939" i="17" s="1"/>
  <c r="R940" i="17"/>
  <c r="S940" i="17" s="1"/>
  <c r="R941" i="17"/>
  <c r="S941" i="17" s="1"/>
  <c r="R942" i="17"/>
  <c r="S942" i="17" s="1"/>
  <c r="R943" i="17"/>
  <c r="S943" i="17" s="1"/>
  <c r="R944" i="17"/>
  <c r="S944" i="17" s="1"/>
  <c r="R945" i="17"/>
  <c r="S945" i="17" s="1"/>
  <c r="R946" i="17"/>
  <c r="S946" i="17" s="1"/>
  <c r="R947" i="17"/>
  <c r="S947" i="17" s="1"/>
  <c r="R948" i="17"/>
  <c r="S948" i="17" s="1"/>
  <c r="R949" i="17"/>
  <c r="S949" i="17" s="1"/>
  <c r="R950" i="17"/>
  <c r="S950" i="17" s="1"/>
  <c r="R951" i="17"/>
  <c r="S951" i="17" s="1"/>
  <c r="R952" i="17"/>
  <c r="S952" i="17" s="1"/>
  <c r="R953" i="17"/>
  <c r="S953" i="17" s="1"/>
  <c r="R954" i="17"/>
  <c r="S954" i="17" s="1"/>
  <c r="R955" i="17"/>
  <c r="S955" i="17" s="1"/>
  <c r="R956" i="17"/>
  <c r="S956" i="17" s="1"/>
  <c r="R1117" i="17"/>
  <c r="S1117" i="17" s="1"/>
  <c r="R958" i="17"/>
  <c r="S958" i="17" s="1"/>
  <c r="R959" i="17"/>
  <c r="S959" i="17" s="1"/>
  <c r="R960" i="17"/>
  <c r="S960" i="17" s="1"/>
  <c r="R961" i="17"/>
  <c r="S961" i="17" s="1"/>
  <c r="R495" i="17"/>
  <c r="S495" i="17" s="1"/>
  <c r="R963" i="17"/>
  <c r="S963" i="17" s="1"/>
  <c r="R964" i="17"/>
  <c r="S964" i="17" s="1"/>
  <c r="R965" i="17"/>
  <c r="S965" i="17" s="1"/>
  <c r="R966" i="17"/>
  <c r="S966" i="17" s="1"/>
  <c r="R1177" i="17"/>
  <c r="S1177" i="17" s="1"/>
  <c r="R968" i="17"/>
  <c r="S968" i="17" s="1"/>
  <c r="R260" i="17"/>
  <c r="S260" i="17" s="1"/>
  <c r="R970" i="17"/>
  <c r="S970" i="17" s="1"/>
  <c r="R971" i="17"/>
  <c r="S971" i="17" s="1"/>
  <c r="R972" i="17"/>
  <c r="S972" i="17" s="1"/>
  <c r="R973" i="17"/>
  <c r="S973" i="17" s="1"/>
  <c r="R974" i="17"/>
  <c r="S974" i="17" s="1"/>
  <c r="R975" i="17"/>
  <c r="S975" i="17" s="1"/>
  <c r="R976" i="17"/>
  <c r="S976" i="17" s="1"/>
  <c r="R977" i="17"/>
  <c r="S977" i="17" s="1"/>
  <c r="R978" i="17"/>
  <c r="S978" i="17" s="1"/>
  <c r="R979" i="17"/>
  <c r="S979" i="17" s="1"/>
  <c r="R980" i="17"/>
  <c r="S980" i="17" s="1"/>
  <c r="R981" i="17"/>
  <c r="S981" i="17" s="1"/>
  <c r="R982" i="17"/>
  <c r="S982" i="17" s="1"/>
  <c r="R983" i="17"/>
  <c r="S983" i="17" s="1"/>
  <c r="R984" i="17"/>
  <c r="S984" i="17" s="1"/>
  <c r="R985" i="17"/>
  <c r="S985" i="17" s="1"/>
  <c r="R986" i="17"/>
  <c r="S986" i="17" s="1"/>
  <c r="R987" i="17"/>
  <c r="S987" i="17" s="1"/>
  <c r="R988" i="17"/>
  <c r="S988" i="17" s="1"/>
  <c r="R989" i="17"/>
  <c r="S989" i="17" s="1"/>
  <c r="R990" i="17"/>
  <c r="S990" i="17" s="1"/>
  <c r="R991" i="17"/>
  <c r="S991" i="17" s="1"/>
  <c r="R992" i="17"/>
  <c r="S992" i="17" s="1"/>
  <c r="R993" i="17"/>
  <c r="S993" i="17" s="1"/>
  <c r="R994" i="17"/>
  <c r="S994" i="17" s="1"/>
  <c r="R995" i="17"/>
  <c r="S995" i="17" s="1"/>
  <c r="R996" i="17"/>
  <c r="S996" i="17" s="1"/>
  <c r="R997" i="17"/>
  <c r="S997" i="17" s="1"/>
  <c r="R998" i="17"/>
  <c r="S998" i="17" s="1"/>
  <c r="R673" i="17"/>
  <c r="S673" i="17" s="1"/>
  <c r="R1000" i="17"/>
  <c r="S1000" i="17" s="1"/>
  <c r="R1001" i="17"/>
  <c r="S1001" i="17" s="1"/>
  <c r="R1002" i="17"/>
  <c r="S1002" i="17" s="1"/>
  <c r="R1003" i="17"/>
  <c r="S1003" i="17" s="1"/>
  <c r="R1004" i="17"/>
  <c r="S1004" i="17" s="1"/>
  <c r="R1005" i="17"/>
  <c r="S1005" i="17" s="1"/>
  <c r="R1006" i="17"/>
  <c r="S1006" i="17" s="1"/>
  <c r="R1007" i="17"/>
  <c r="S1007" i="17" s="1"/>
  <c r="R1008" i="17"/>
  <c r="S1008" i="17" s="1"/>
  <c r="R1009" i="17"/>
  <c r="S1009" i="17" s="1"/>
  <c r="R1010" i="17"/>
  <c r="S1010" i="17" s="1"/>
  <c r="R1011" i="17"/>
  <c r="S1011" i="17" s="1"/>
  <c r="R1012" i="17"/>
  <c r="S1012" i="17" s="1"/>
  <c r="R1013" i="17"/>
  <c r="S1013" i="17" s="1"/>
  <c r="R1563" i="17"/>
  <c r="S1563" i="17" s="1"/>
  <c r="R1015" i="17"/>
  <c r="S1015" i="17" s="1"/>
  <c r="R1016" i="17"/>
  <c r="S1016" i="17" s="1"/>
  <c r="R1017" i="17"/>
  <c r="S1017" i="17" s="1"/>
  <c r="R1018" i="17"/>
  <c r="S1018" i="17" s="1"/>
  <c r="R1019" i="17"/>
  <c r="S1019" i="17" s="1"/>
  <c r="R1020" i="17"/>
  <c r="S1020" i="17" s="1"/>
  <c r="R1021" i="17"/>
  <c r="S1021" i="17" s="1"/>
  <c r="R531" i="17"/>
  <c r="S531" i="17" s="1"/>
  <c r="R1068" i="17"/>
  <c r="S1068" i="17" s="1"/>
  <c r="R1024" i="17"/>
  <c r="S1024" i="17" s="1"/>
  <c r="R1025" i="17"/>
  <c r="S1025" i="17" s="1"/>
  <c r="R1026" i="17"/>
  <c r="S1026" i="17" s="1"/>
  <c r="R1027" i="17"/>
  <c r="S1027" i="17" s="1"/>
  <c r="R1028" i="17"/>
  <c r="S1028" i="17" s="1"/>
  <c r="R1029" i="17"/>
  <c r="S1029" i="17" s="1"/>
  <c r="R1030" i="17"/>
  <c r="S1030" i="17" s="1"/>
  <c r="R999" i="17"/>
  <c r="S999" i="17" s="1"/>
  <c r="R1032" i="17"/>
  <c r="S1032" i="17" s="1"/>
  <c r="R1690" i="17"/>
  <c r="S1690" i="17" s="1"/>
  <c r="R1034" i="17"/>
  <c r="S1034" i="17" s="1"/>
  <c r="R1035" i="17"/>
  <c r="S1035" i="17" s="1"/>
  <c r="R1036" i="17"/>
  <c r="S1036" i="17" s="1"/>
  <c r="R1037" i="17"/>
  <c r="S1037" i="17" s="1"/>
  <c r="R1038" i="17"/>
  <c r="S1038" i="17" s="1"/>
  <c r="R1039" i="17"/>
  <c r="S1039" i="17" s="1"/>
  <c r="R852" i="17"/>
  <c r="S852" i="17" s="1"/>
  <c r="R1041" i="17"/>
  <c r="S1041" i="17" s="1"/>
  <c r="R1042" i="17"/>
  <c r="S1042" i="17" s="1"/>
  <c r="R1043" i="17"/>
  <c r="S1043" i="17" s="1"/>
  <c r="R1876" i="17"/>
  <c r="S1876" i="17" s="1"/>
  <c r="R1045" i="17"/>
  <c r="S1045" i="17" s="1"/>
  <c r="R1046" i="17"/>
  <c r="S1046" i="17" s="1"/>
  <c r="R1047" i="17"/>
  <c r="S1047" i="17" s="1"/>
  <c r="R1048" i="17"/>
  <c r="S1048" i="17" s="1"/>
  <c r="R1049" i="17"/>
  <c r="S1049" i="17" s="1"/>
  <c r="R1050" i="17"/>
  <c r="S1050" i="17" s="1"/>
  <c r="R1911" i="17"/>
  <c r="S1911" i="17" s="1"/>
  <c r="R1052" i="17"/>
  <c r="S1052" i="17" s="1"/>
  <c r="R1159" i="17"/>
  <c r="S1159" i="17" s="1"/>
  <c r="R467" i="17"/>
  <c r="S467" i="17" s="1"/>
  <c r="R1055" i="17"/>
  <c r="S1055" i="17" s="1"/>
  <c r="R1605" i="17"/>
  <c r="S1605" i="17" s="1"/>
  <c r="R1057" i="17"/>
  <c r="S1057" i="17" s="1"/>
  <c r="R1058" i="17"/>
  <c r="S1058" i="17" s="1"/>
  <c r="R1059" i="17"/>
  <c r="S1059" i="17" s="1"/>
  <c r="R1493" i="17"/>
  <c r="S1493" i="17" s="1"/>
  <c r="R1061" i="17"/>
  <c r="S1061" i="17" s="1"/>
  <c r="R1062" i="17"/>
  <c r="S1062" i="17" s="1"/>
  <c r="R1063" i="17"/>
  <c r="S1063" i="17" s="1"/>
  <c r="R1064" i="17"/>
  <c r="S1064" i="17" s="1"/>
  <c r="R1422" i="17"/>
  <c r="S1422" i="17" s="1"/>
  <c r="R1066" i="17"/>
  <c r="S1066" i="17" s="1"/>
  <c r="R1449" i="17"/>
  <c r="S1449" i="17" s="1"/>
  <c r="R452" i="17"/>
  <c r="S452" i="17" s="1"/>
  <c r="R1069" i="17"/>
  <c r="S1069" i="17" s="1"/>
  <c r="R1070" i="17"/>
  <c r="S1070" i="17" s="1"/>
  <c r="R1071" i="17"/>
  <c r="S1071" i="17" s="1"/>
  <c r="R1072" i="17"/>
  <c r="S1072" i="17" s="1"/>
  <c r="R559" i="17"/>
  <c r="S559" i="17" s="1"/>
  <c r="R1696" i="17"/>
  <c r="S1696" i="17" s="1"/>
  <c r="R1075" i="17"/>
  <c r="S1075" i="17" s="1"/>
  <c r="R902" i="17"/>
  <c r="S902" i="17" s="1"/>
  <c r="R1077" i="17"/>
  <c r="S1077" i="17" s="1"/>
  <c r="R1078" i="17"/>
  <c r="S1078" i="17" s="1"/>
  <c r="R1079" i="17"/>
  <c r="S1079" i="17" s="1"/>
  <c r="R1080" i="17"/>
  <c r="S1080" i="17" s="1"/>
  <c r="R1081" i="17"/>
  <c r="S1081" i="17" s="1"/>
  <c r="R1082" i="17"/>
  <c r="S1082" i="17" s="1"/>
  <c r="R1083" i="17"/>
  <c r="S1083" i="17" s="1"/>
  <c r="R101" i="17"/>
  <c r="S101" i="17" s="1"/>
  <c r="R1085" i="17"/>
  <c r="S1085" i="17" s="1"/>
  <c r="R1086" i="17"/>
  <c r="S1086" i="17" s="1"/>
  <c r="R868" i="17"/>
  <c r="S868" i="17" s="1"/>
  <c r="R1088" i="17"/>
  <c r="S1088" i="17" s="1"/>
  <c r="R1089" i="17"/>
  <c r="S1089" i="17" s="1"/>
  <c r="R1054" i="17"/>
  <c r="S1054" i="17" s="1"/>
  <c r="R1091" i="17"/>
  <c r="S1091" i="17" s="1"/>
  <c r="R1092" i="17"/>
  <c r="S1092" i="17" s="1"/>
  <c r="R1093" i="17"/>
  <c r="S1093" i="17" s="1"/>
  <c r="R1094" i="17"/>
  <c r="S1094" i="17" s="1"/>
  <c r="R1095" i="17"/>
  <c r="S1095" i="17" s="1"/>
  <c r="R1096" i="17"/>
  <c r="S1096" i="17" s="1"/>
  <c r="R1097" i="17"/>
  <c r="S1097" i="17" s="1"/>
  <c r="R1098" i="17"/>
  <c r="S1098" i="17" s="1"/>
  <c r="R1303" i="17"/>
  <c r="S1303" i="17" s="1"/>
  <c r="R1501" i="17"/>
  <c r="S1501" i="17" s="1"/>
  <c r="R1273" i="17"/>
  <c r="S1273" i="17" s="1"/>
  <c r="R1102" i="17"/>
  <c r="S1102" i="17" s="1"/>
  <c r="R591" i="17"/>
  <c r="S591" i="17" s="1"/>
  <c r="R1537" i="17"/>
  <c r="S1537" i="17" s="1"/>
  <c r="R1507" i="17"/>
  <c r="S1507" i="17" s="1"/>
  <c r="R1106" i="17"/>
  <c r="S1106" i="17" s="1"/>
  <c r="R1107" i="17"/>
  <c r="S1107" i="17" s="1"/>
  <c r="R1108" i="17"/>
  <c r="S1108" i="17" s="1"/>
  <c r="R1109" i="17"/>
  <c r="S1109" i="17" s="1"/>
  <c r="R1110" i="17"/>
  <c r="S1110" i="17" s="1"/>
  <c r="R813" i="17"/>
  <c r="S813" i="17" s="1"/>
  <c r="R1112" i="17"/>
  <c r="S1112" i="17" s="1"/>
  <c r="R1113" i="17"/>
  <c r="S1113" i="17" s="1"/>
  <c r="R1114" i="17"/>
  <c r="S1114" i="17" s="1"/>
  <c r="R1115" i="17"/>
  <c r="S1115" i="17" s="1"/>
  <c r="R1116" i="17"/>
  <c r="S1116" i="17" s="1"/>
  <c r="R769" i="17"/>
  <c r="S769" i="17" s="1"/>
  <c r="R967" i="17"/>
  <c r="S967" i="17" s="1"/>
  <c r="R1119" i="17"/>
  <c r="S1119" i="17" s="1"/>
  <c r="R1120" i="17"/>
  <c r="S1120" i="17" s="1"/>
  <c r="R1121" i="17"/>
  <c r="S1121" i="17" s="1"/>
  <c r="R1122" i="17"/>
  <c r="S1122" i="17" s="1"/>
  <c r="R1123" i="17"/>
  <c r="S1123" i="17" s="1"/>
  <c r="R1124" i="17"/>
  <c r="S1124" i="17" s="1"/>
  <c r="R1161" i="17"/>
  <c r="S1161" i="17" s="1"/>
  <c r="R1126" i="17"/>
  <c r="S1126" i="17" s="1"/>
  <c r="R1363" i="17"/>
  <c r="S1363" i="17" s="1"/>
  <c r="R1128" i="17"/>
  <c r="S1128" i="17" s="1"/>
  <c r="R1129" i="17"/>
  <c r="S1129" i="17" s="1"/>
  <c r="R1130" i="17"/>
  <c r="S1130" i="17" s="1"/>
  <c r="R1131" i="17"/>
  <c r="S1131" i="17" s="1"/>
  <c r="R1132" i="17"/>
  <c r="S1132" i="17" s="1"/>
  <c r="R1133" i="17"/>
  <c r="S1133" i="17" s="1"/>
  <c r="R1134" i="17"/>
  <c r="S1134" i="17" s="1"/>
  <c r="R1135" i="17"/>
  <c r="S1135" i="17" s="1"/>
  <c r="R1136" i="17"/>
  <c r="S1136" i="17" s="1"/>
  <c r="R1137" i="17"/>
  <c r="S1137" i="17" s="1"/>
  <c r="R485" i="17"/>
  <c r="S485" i="17" s="1"/>
  <c r="R1139" i="17"/>
  <c r="S1139" i="17" s="1"/>
  <c r="R1140" i="17"/>
  <c r="S1140" i="17" s="1"/>
  <c r="R1141" i="17"/>
  <c r="S1141" i="17" s="1"/>
  <c r="R1142" i="17"/>
  <c r="S1142" i="17" s="1"/>
  <c r="R1143" i="17"/>
  <c r="S1143" i="17" s="1"/>
  <c r="R1144" i="17"/>
  <c r="S1144" i="17" s="1"/>
  <c r="R1145" i="17"/>
  <c r="S1145" i="17" s="1"/>
  <c r="R1146" i="17"/>
  <c r="S1146" i="17" s="1"/>
  <c r="R1147" i="17"/>
  <c r="S1147" i="17" s="1"/>
  <c r="R1148" i="17"/>
  <c r="S1148" i="17" s="1"/>
  <c r="R1149" i="17"/>
  <c r="S1149" i="17" s="1"/>
  <c r="R1150" i="17"/>
  <c r="S1150" i="17" s="1"/>
  <c r="R1151" i="17"/>
  <c r="S1151" i="17" s="1"/>
  <c r="R1152" i="17"/>
  <c r="S1152" i="17" s="1"/>
  <c r="R1153" i="17"/>
  <c r="S1153" i="17" s="1"/>
  <c r="R1154" i="17"/>
  <c r="S1154" i="17" s="1"/>
  <c r="R900" i="17"/>
  <c r="S900" i="17" s="1"/>
  <c r="R1156" i="17"/>
  <c r="S1156" i="17" s="1"/>
  <c r="R1053" i="17"/>
  <c r="S1053" i="17" s="1"/>
  <c r="R1687" i="17"/>
  <c r="S1687" i="17" s="1"/>
  <c r="R1833" i="17"/>
  <c r="S1833" i="17" s="1"/>
  <c r="R807" i="17"/>
  <c r="S807" i="17" s="1"/>
  <c r="R162" i="17"/>
  <c r="S162" i="17" s="1"/>
  <c r="R1162" i="17"/>
  <c r="S1162" i="17" s="1"/>
  <c r="R1163" i="17"/>
  <c r="S1163" i="17" s="1"/>
  <c r="R70" i="17"/>
  <c r="S70" i="17" s="1"/>
  <c r="R1165" i="17"/>
  <c r="S1165" i="17" s="1"/>
  <c r="R1166" i="17"/>
  <c r="S1166" i="17" s="1"/>
  <c r="R1167" i="17"/>
  <c r="S1167" i="17" s="1"/>
  <c r="R1168" i="17"/>
  <c r="S1168" i="17" s="1"/>
  <c r="R1169" i="17"/>
  <c r="S1169" i="17" s="1"/>
  <c r="R1170" i="17"/>
  <c r="S1170" i="17" s="1"/>
  <c r="R1171" i="17"/>
  <c r="S1171" i="17" s="1"/>
  <c r="R1172" i="17"/>
  <c r="S1172" i="17" s="1"/>
  <c r="R1173" i="17"/>
  <c r="S1173" i="17" s="1"/>
  <c r="R1174" i="17"/>
  <c r="S1174" i="17" s="1"/>
  <c r="R1175" i="17"/>
  <c r="S1175" i="17" s="1"/>
  <c r="R1176" i="17"/>
  <c r="S1176" i="17" s="1"/>
  <c r="R1539" i="17"/>
  <c r="S1539" i="17" s="1"/>
  <c r="R1178" i="17"/>
  <c r="S1178" i="17" s="1"/>
  <c r="R1179" i="17"/>
  <c r="S1179" i="17" s="1"/>
  <c r="R1180" i="17"/>
  <c r="S1180" i="17" s="1"/>
  <c r="R850" i="17"/>
  <c r="S850" i="17" s="1"/>
  <c r="R1182" i="17"/>
  <c r="S1182" i="17" s="1"/>
  <c r="R1183" i="17"/>
  <c r="S1183" i="17" s="1"/>
  <c r="R1184" i="17"/>
  <c r="S1184" i="17" s="1"/>
  <c r="R1185" i="17"/>
  <c r="S1185" i="17" s="1"/>
  <c r="R1186" i="17"/>
  <c r="S1186" i="17" s="1"/>
  <c r="R1187" i="17"/>
  <c r="S1187" i="17" s="1"/>
  <c r="R1188" i="17"/>
  <c r="S1188" i="17" s="1"/>
  <c r="R1189" i="17"/>
  <c r="S1189" i="17" s="1"/>
  <c r="R1190" i="17"/>
  <c r="S1190" i="17" s="1"/>
  <c r="R1191" i="17"/>
  <c r="S1191" i="17" s="1"/>
  <c r="R1192" i="17"/>
  <c r="S1192" i="17" s="1"/>
  <c r="R1193" i="17"/>
  <c r="S1193" i="17" s="1"/>
  <c r="R1194" i="17"/>
  <c r="S1194" i="17" s="1"/>
  <c r="R1421" i="17"/>
  <c r="S1421" i="17" s="1"/>
  <c r="R1196" i="17"/>
  <c r="S1196" i="17" s="1"/>
  <c r="R1197" i="17"/>
  <c r="S1197" i="17" s="1"/>
  <c r="R1198" i="17"/>
  <c r="S1198" i="17" s="1"/>
  <c r="R1199" i="17"/>
  <c r="S1199" i="17" s="1"/>
  <c r="R1200" i="17"/>
  <c r="S1200" i="17" s="1"/>
  <c r="R1201" i="17"/>
  <c r="S1201" i="17" s="1"/>
  <c r="R1202" i="17"/>
  <c r="S1202" i="17" s="1"/>
  <c r="R1203" i="17"/>
  <c r="S1203" i="17" s="1"/>
  <c r="R1204" i="17"/>
  <c r="S1204" i="17" s="1"/>
  <c r="R1205" i="17"/>
  <c r="S1205" i="17" s="1"/>
  <c r="R1206" i="17"/>
  <c r="S1206" i="17" s="1"/>
  <c r="R1207" i="17"/>
  <c r="S1207" i="17" s="1"/>
  <c r="R1208" i="17"/>
  <c r="S1208" i="17" s="1"/>
  <c r="R1209" i="17"/>
  <c r="S1209" i="17" s="1"/>
  <c r="R1210" i="17"/>
  <c r="S1210" i="17" s="1"/>
  <c r="R1211" i="17"/>
  <c r="S1211" i="17" s="1"/>
  <c r="R199" i="17"/>
  <c r="S199" i="17" s="1"/>
  <c r="R632" i="17"/>
  <c r="S632" i="17" s="1"/>
  <c r="R1214" i="17"/>
  <c r="S1214" i="17" s="1"/>
  <c r="R1215" i="17"/>
  <c r="S1215" i="17" s="1"/>
  <c r="R1216" i="17"/>
  <c r="S1216" i="17" s="1"/>
  <c r="R1217" i="17"/>
  <c r="S1217" i="17" s="1"/>
  <c r="R1218" i="17"/>
  <c r="S1218" i="17" s="1"/>
  <c r="R1219" i="17"/>
  <c r="S1219" i="17" s="1"/>
  <c r="R1104" i="17"/>
  <c r="S1104" i="17" s="1"/>
  <c r="R1221" i="17"/>
  <c r="S1221" i="17" s="1"/>
  <c r="R1222" i="17"/>
  <c r="S1222" i="17" s="1"/>
  <c r="R1223" i="17"/>
  <c r="S1223" i="17" s="1"/>
  <c r="R1224" i="17"/>
  <c r="S1224" i="17" s="1"/>
  <c r="R1225" i="17"/>
  <c r="S1225" i="17" s="1"/>
  <c r="R1226" i="17"/>
  <c r="S1226" i="17" s="1"/>
  <c r="R1227" i="17"/>
  <c r="S1227" i="17" s="1"/>
  <c r="R1044" i="17"/>
  <c r="S1044" i="17" s="1"/>
  <c r="R1229" i="17"/>
  <c r="S1229" i="17" s="1"/>
  <c r="R1230" i="17"/>
  <c r="S1230" i="17" s="1"/>
  <c r="R1231" i="17"/>
  <c r="S1231" i="17" s="1"/>
  <c r="R1232" i="17"/>
  <c r="S1232" i="17" s="1"/>
  <c r="R1233" i="17"/>
  <c r="S1233" i="17" s="1"/>
  <c r="R1234" i="17"/>
  <c r="S1234" i="17" s="1"/>
  <c r="R1235" i="17"/>
  <c r="S1235" i="17" s="1"/>
  <c r="R1236" i="17"/>
  <c r="S1236" i="17" s="1"/>
  <c r="R1237" i="17"/>
  <c r="S1237" i="17" s="1"/>
  <c r="R1238" i="17"/>
  <c r="S1238" i="17" s="1"/>
  <c r="R1239" i="17"/>
  <c r="S1239" i="17" s="1"/>
  <c r="R1240" i="17"/>
  <c r="S1240" i="17" s="1"/>
  <c r="R1241" i="17"/>
  <c r="S1241" i="17" s="1"/>
  <c r="R1755" i="17"/>
  <c r="S1755" i="17" s="1"/>
  <c r="R1243" i="17"/>
  <c r="S1243" i="17" s="1"/>
  <c r="R1244" i="17"/>
  <c r="S1244" i="17" s="1"/>
  <c r="R1245" i="17"/>
  <c r="S1245" i="17" s="1"/>
  <c r="R1246" i="17"/>
  <c r="S1246" i="17" s="1"/>
  <c r="R1247" i="17"/>
  <c r="S1247" i="17" s="1"/>
  <c r="R1912" i="17"/>
  <c r="S1912" i="17" s="1"/>
  <c r="R1249" i="17"/>
  <c r="S1249" i="17" s="1"/>
  <c r="R305" i="17"/>
  <c r="S305" i="17" s="1"/>
  <c r="R1251" i="17"/>
  <c r="S1251" i="17" s="1"/>
  <c r="R1252" i="17"/>
  <c r="S1252" i="17" s="1"/>
  <c r="R1253" i="17"/>
  <c r="S1253" i="17" s="1"/>
  <c r="R1254" i="17"/>
  <c r="S1254" i="17" s="1"/>
  <c r="R1255" i="17"/>
  <c r="S1255" i="17" s="1"/>
  <c r="R885" i="17"/>
  <c r="S885" i="17" s="1"/>
  <c r="R1257" i="17"/>
  <c r="S1257" i="17" s="1"/>
  <c r="R232" i="17"/>
  <c r="S232" i="17" s="1"/>
  <c r="R1259" i="17"/>
  <c r="S1259" i="17" s="1"/>
  <c r="R1260" i="17"/>
  <c r="S1260" i="17" s="1"/>
  <c r="R1261" i="17"/>
  <c r="S1261" i="17" s="1"/>
  <c r="R1262" i="17"/>
  <c r="S1262" i="17" s="1"/>
  <c r="R1263" i="17"/>
  <c r="S1263" i="17" s="1"/>
  <c r="R1264" i="17"/>
  <c r="S1264" i="17" s="1"/>
  <c r="R1265" i="17"/>
  <c r="S1265" i="17" s="1"/>
  <c r="R1266" i="17"/>
  <c r="S1266" i="17" s="1"/>
  <c r="R180" i="17"/>
  <c r="S180" i="17" s="1"/>
  <c r="R1268" i="17"/>
  <c r="S1268" i="17" s="1"/>
  <c r="R1269" i="17"/>
  <c r="S1269" i="17" s="1"/>
  <c r="R1270" i="17"/>
  <c r="S1270" i="17" s="1"/>
  <c r="R1271" i="17"/>
  <c r="S1271" i="17" s="1"/>
  <c r="R1272" i="17"/>
  <c r="S1272" i="17" s="1"/>
  <c r="R1830" i="17"/>
  <c r="S1830" i="17" s="1"/>
  <c r="R1274" i="17"/>
  <c r="S1274" i="17" s="1"/>
  <c r="R1797" i="17"/>
  <c r="S1797" i="17" s="1"/>
  <c r="R1276" i="17"/>
  <c r="S1276" i="17" s="1"/>
  <c r="R1277" i="17"/>
  <c r="S1277" i="17" s="1"/>
  <c r="R355" i="17"/>
  <c r="S355" i="17" s="1"/>
  <c r="R1279" i="17"/>
  <c r="S1279" i="17" s="1"/>
  <c r="R1280" i="17"/>
  <c r="S1280" i="17" s="1"/>
  <c r="R1281" i="17"/>
  <c r="S1281" i="17" s="1"/>
  <c r="R1282" i="17"/>
  <c r="S1282" i="17" s="1"/>
  <c r="R36" i="17"/>
  <c r="S36" i="17" s="1"/>
  <c r="R353" i="17"/>
  <c r="S353" i="17" s="1"/>
  <c r="R1285" i="17"/>
  <c r="S1285" i="17" s="1"/>
  <c r="R1331" i="17"/>
  <c r="S1331" i="17" s="1"/>
  <c r="R1287" i="17"/>
  <c r="S1287" i="17" s="1"/>
  <c r="R1288" i="17"/>
  <c r="S1288" i="17" s="1"/>
  <c r="R674" i="17"/>
  <c r="S674" i="17" s="1"/>
  <c r="R1290" i="17"/>
  <c r="S1290" i="17" s="1"/>
  <c r="R1291" i="17"/>
  <c r="S1291" i="17" s="1"/>
  <c r="R1292" i="17"/>
  <c r="S1292" i="17" s="1"/>
  <c r="R1293" i="17"/>
  <c r="S1293" i="17" s="1"/>
  <c r="R1294" i="17"/>
  <c r="S1294" i="17" s="1"/>
  <c r="R756" i="17"/>
  <c r="S756" i="17" s="1"/>
  <c r="R1296" i="17"/>
  <c r="S1296" i="17" s="1"/>
  <c r="R1297" i="17"/>
  <c r="S1297" i="17" s="1"/>
  <c r="R1298" i="17"/>
  <c r="S1298" i="17" s="1"/>
  <c r="R1299" i="17"/>
  <c r="S1299" i="17" s="1"/>
  <c r="R474" i="17"/>
  <c r="S474" i="17" s="1"/>
  <c r="R1301" i="17"/>
  <c r="S1301" i="17" s="1"/>
  <c r="R707" i="17"/>
  <c r="S707" i="17" s="1"/>
  <c r="R1411" i="17"/>
  <c r="S1411" i="17" s="1"/>
  <c r="R1304" i="17"/>
  <c r="S1304" i="17" s="1"/>
  <c r="R1305" i="17"/>
  <c r="S1305" i="17" s="1"/>
  <c r="R1306" i="17"/>
  <c r="S1306" i="17" s="1"/>
  <c r="R1307" i="17"/>
  <c r="S1307" i="17" s="1"/>
  <c r="R1308" i="17"/>
  <c r="S1308" i="17" s="1"/>
  <c r="R1309" i="17"/>
  <c r="S1309" i="17" s="1"/>
  <c r="R1310" i="17"/>
  <c r="S1310" i="17" s="1"/>
  <c r="R1311" i="17"/>
  <c r="S1311" i="17" s="1"/>
  <c r="R131" i="17"/>
  <c r="S131" i="17" s="1"/>
  <c r="R1313" i="17"/>
  <c r="S1313" i="17" s="1"/>
  <c r="R1314" i="17"/>
  <c r="S1314" i="17" s="1"/>
  <c r="R1315" i="17"/>
  <c r="S1315" i="17" s="1"/>
  <c r="R1316" i="17"/>
  <c r="S1316" i="17" s="1"/>
  <c r="R1317" i="17"/>
  <c r="S1317" i="17" s="1"/>
  <c r="R1318" i="17"/>
  <c r="S1318" i="17" s="1"/>
  <c r="R1067" i="17"/>
  <c r="S1067" i="17" s="1"/>
  <c r="R831" i="17"/>
  <c r="S831" i="17" s="1"/>
  <c r="R1321" i="17"/>
  <c r="S1321" i="17" s="1"/>
  <c r="R1322" i="17"/>
  <c r="S1322" i="17" s="1"/>
  <c r="R1323" i="17"/>
  <c r="S1323" i="17" s="1"/>
  <c r="R1324" i="17"/>
  <c r="S1324" i="17" s="1"/>
  <c r="R235" i="17"/>
  <c r="S235" i="17" s="1"/>
  <c r="R1326" i="17"/>
  <c r="S1326" i="17" s="1"/>
  <c r="R1327" i="17"/>
  <c r="S1327" i="17" s="1"/>
  <c r="R1328" i="17"/>
  <c r="S1328" i="17" s="1"/>
  <c r="R1329" i="17"/>
  <c r="S1329" i="17" s="1"/>
  <c r="R1330" i="17"/>
  <c r="S1330" i="17" s="1"/>
  <c r="R827" i="17"/>
  <c r="S827" i="17" s="1"/>
  <c r="R1312" i="17"/>
  <c r="S1312" i="17" s="1"/>
  <c r="R1333" i="17"/>
  <c r="S1333" i="17" s="1"/>
  <c r="R1399" i="17"/>
  <c r="S1399" i="17" s="1"/>
  <c r="R1335" i="17"/>
  <c r="S1335" i="17" s="1"/>
  <c r="R1336" i="17"/>
  <c r="S1336" i="17" s="1"/>
  <c r="R1337" i="17"/>
  <c r="S1337" i="17" s="1"/>
  <c r="R1338" i="17"/>
  <c r="S1338" i="17" s="1"/>
  <c r="R1339" i="17"/>
  <c r="S1339" i="17" s="1"/>
  <c r="R1340" i="17"/>
  <c r="S1340" i="17" s="1"/>
  <c r="R1341" i="17"/>
  <c r="S1341" i="17" s="1"/>
  <c r="R1626" i="17"/>
  <c r="S1626" i="17" s="1"/>
  <c r="R1343" i="17"/>
  <c r="S1343" i="17" s="1"/>
  <c r="R1344" i="17"/>
  <c r="S1344" i="17" s="1"/>
  <c r="R1345" i="17"/>
  <c r="S1345" i="17" s="1"/>
  <c r="R1346" i="17"/>
  <c r="S1346" i="17" s="1"/>
  <c r="R1325" i="17"/>
  <c r="S1325" i="17" s="1"/>
  <c r="R1348" i="17"/>
  <c r="S1348" i="17" s="1"/>
  <c r="R1349" i="17"/>
  <c r="S1349" i="17" s="1"/>
  <c r="R1350" i="17"/>
  <c r="S1350" i="17" s="1"/>
  <c r="R1351" i="17"/>
  <c r="S1351" i="17" s="1"/>
  <c r="R283" i="17"/>
  <c r="S283" i="17" s="1"/>
  <c r="R1353" i="17"/>
  <c r="S1353" i="17" s="1"/>
  <c r="R1354" i="17"/>
  <c r="S1354" i="17" s="1"/>
  <c r="R1355" i="17"/>
  <c r="S1355" i="17" s="1"/>
  <c r="R1356" i="17"/>
  <c r="S1356" i="17" s="1"/>
  <c r="R1357" i="17"/>
  <c r="S1357" i="17" s="1"/>
  <c r="R1358" i="17"/>
  <c r="S1358" i="17" s="1"/>
  <c r="R132" i="17"/>
  <c r="S132" i="17" s="1"/>
  <c r="R1360" i="17"/>
  <c r="S1360" i="17" s="1"/>
  <c r="R1361" i="17"/>
  <c r="S1361" i="17" s="1"/>
  <c r="R1103" i="17"/>
  <c r="S1103" i="17" s="1"/>
  <c r="R803" i="17"/>
  <c r="S803" i="17" s="1"/>
  <c r="R1364" i="17"/>
  <c r="S1364" i="17" s="1"/>
  <c r="R1365" i="17"/>
  <c r="S1365" i="17" s="1"/>
  <c r="R1220" i="17"/>
  <c r="S1220" i="17" s="1"/>
  <c r="R1367" i="17"/>
  <c r="S1367" i="17" s="1"/>
  <c r="R637" i="17"/>
  <c r="S637" i="17" s="1"/>
  <c r="R1369" i="17"/>
  <c r="S1369" i="17" s="1"/>
  <c r="R1370" i="17"/>
  <c r="S1370" i="17" s="1"/>
  <c r="R1371" i="17"/>
  <c r="S1371" i="17" s="1"/>
  <c r="R1372" i="17"/>
  <c r="S1372" i="17" s="1"/>
  <c r="R1373" i="17"/>
  <c r="S1373" i="17" s="1"/>
  <c r="R1374" i="17"/>
  <c r="S1374" i="17" s="1"/>
  <c r="R1375" i="17"/>
  <c r="S1375" i="17" s="1"/>
  <c r="R1376" i="17"/>
  <c r="S1376" i="17" s="1"/>
  <c r="R1377" i="17"/>
  <c r="S1377" i="17" s="1"/>
  <c r="R1378" i="17"/>
  <c r="S1378" i="17" s="1"/>
  <c r="R1379" i="17"/>
  <c r="S1379" i="17" s="1"/>
  <c r="R1380" i="17"/>
  <c r="S1380" i="17" s="1"/>
  <c r="R1381" i="17"/>
  <c r="S1381" i="17" s="1"/>
  <c r="R1382" i="17"/>
  <c r="S1382" i="17" s="1"/>
  <c r="R1383" i="17"/>
  <c r="S1383" i="17" s="1"/>
  <c r="R1384" i="17"/>
  <c r="S1384" i="17" s="1"/>
  <c r="R1385" i="17"/>
  <c r="S1385" i="17" s="1"/>
  <c r="R244" i="17"/>
  <c r="S244" i="17" s="1"/>
  <c r="R312" i="17"/>
  <c r="S312" i="17" s="1"/>
  <c r="R1388" i="17"/>
  <c r="S1388" i="17" s="1"/>
  <c r="R524" i="17"/>
  <c r="S524" i="17" s="1"/>
  <c r="R1390" i="17"/>
  <c r="S1390" i="17" s="1"/>
  <c r="R1391" i="17"/>
  <c r="S1391" i="17" s="1"/>
  <c r="R1392" i="17"/>
  <c r="S1392" i="17" s="1"/>
  <c r="R1393" i="17"/>
  <c r="S1393" i="17" s="1"/>
  <c r="R1394" i="17"/>
  <c r="S1394" i="17" s="1"/>
  <c r="R1395" i="17"/>
  <c r="S1395" i="17" s="1"/>
  <c r="R1396" i="17"/>
  <c r="S1396" i="17" s="1"/>
  <c r="R617" i="17"/>
  <c r="S617" i="17" s="1"/>
  <c r="R677" i="17"/>
  <c r="S677" i="17" s="1"/>
  <c r="R31" i="17"/>
  <c r="S31" i="17" s="1"/>
  <c r="R1400" i="17"/>
  <c r="S1400" i="17" s="1"/>
  <c r="R1401" i="17"/>
  <c r="S1401" i="17" s="1"/>
  <c r="R1402" i="17"/>
  <c r="S1402" i="17" s="1"/>
  <c r="R1403" i="17"/>
  <c r="S1403" i="17" s="1"/>
  <c r="R1404" i="17"/>
  <c r="S1404" i="17" s="1"/>
  <c r="R53" i="17"/>
  <c r="S53" i="17" s="1"/>
  <c r="R1406" i="17"/>
  <c r="S1406" i="17" s="1"/>
  <c r="R1407" i="17"/>
  <c r="S1407" i="17" s="1"/>
  <c r="R1408" i="17"/>
  <c r="S1408" i="17" s="1"/>
  <c r="R1284" i="17"/>
  <c r="S1284" i="17" s="1"/>
  <c r="R1410" i="17"/>
  <c r="S1410" i="17" s="1"/>
  <c r="R18" i="17"/>
  <c r="S18" i="17" s="1"/>
  <c r="R1412" i="17"/>
  <c r="S1412" i="17" s="1"/>
  <c r="R1413" i="17"/>
  <c r="S1413" i="17" s="1"/>
  <c r="R1414" i="17"/>
  <c r="S1414" i="17" s="1"/>
  <c r="R1415" i="17"/>
  <c r="S1415" i="17" s="1"/>
  <c r="R1416" i="17"/>
  <c r="S1416" i="17" s="1"/>
  <c r="R1417" i="17"/>
  <c r="S1417" i="17" s="1"/>
  <c r="R1418" i="17"/>
  <c r="S1418" i="17" s="1"/>
  <c r="R1419" i="17"/>
  <c r="S1419" i="17" s="1"/>
  <c r="R1157" i="17"/>
  <c r="S1157" i="17" s="1"/>
  <c r="R102" i="17"/>
  <c r="S102" i="17" s="1"/>
  <c r="R688" i="17"/>
  <c r="S688" i="17" s="1"/>
  <c r="R1423" i="17"/>
  <c r="S1423" i="17" s="1"/>
  <c r="R1424" i="17"/>
  <c r="S1424" i="17" s="1"/>
  <c r="R1425" i="17"/>
  <c r="S1425" i="17" s="1"/>
  <c r="R1426" i="17"/>
  <c r="S1426" i="17" s="1"/>
  <c r="R1427" i="17"/>
  <c r="S1427" i="17" s="1"/>
  <c r="R1428" i="17"/>
  <c r="S1428" i="17" s="1"/>
  <c r="R1213" i="17"/>
  <c r="S1213" i="17" s="1"/>
  <c r="R1430" i="17"/>
  <c r="S1430" i="17" s="1"/>
  <c r="R1431" i="17"/>
  <c r="S1431" i="17" s="1"/>
  <c r="R1432" i="17"/>
  <c r="S1432" i="17" s="1"/>
  <c r="R1433" i="17"/>
  <c r="S1433" i="17" s="1"/>
  <c r="R1434" i="17"/>
  <c r="S1434" i="17" s="1"/>
  <c r="R1435" i="17"/>
  <c r="S1435" i="17" s="1"/>
  <c r="R1436" i="17"/>
  <c r="S1436" i="17" s="1"/>
  <c r="R1437" i="17"/>
  <c r="S1437" i="17" s="1"/>
  <c r="R1438" i="17"/>
  <c r="S1438" i="17" s="1"/>
  <c r="R1439" i="17"/>
  <c r="S1439" i="17" s="1"/>
  <c r="R1440" i="17"/>
  <c r="S1440" i="17" s="1"/>
  <c r="R1441" i="17"/>
  <c r="S1441" i="17" s="1"/>
  <c r="R1442" i="17"/>
  <c r="S1442" i="17" s="1"/>
  <c r="R1443" i="17"/>
  <c r="S1443" i="17" s="1"/>
  <c r="R1444" i="17"/>
  <c r="S1444" i="17" s="1"/>
  <c r="R345" i="17"/>
  <c r="S345" i="17" s="1"/>
  <c r="R1446" i="17"/>
  <c r="S1446" i="17" s="1"/>
  <c r="R1447" i="17"/>
  <c r="S1447" i="17" s="1"/>
  <c r="R1448" i="17"/>
  <c r="S1448" i="17" s="1"/>
  <c r="R656" i="17"/>
  <c r="S656" i="17" s="1"/>
  <c r="R1450" i="17"/>
  <c r="S1450" i="17" s="1"/>
  <c r="R1451" i="17"/>
  <c r="S1451" i="17" s="1"/>
  <c r="R1452" i="17"/>
  <c r="S1452" i="17" s="1"/>
  <c r="R1453" i="17"/>
  <c r="S1453" i="17" s="1"/>
  <c r="R1454" i="17"/>
  <c r="S1454" i="17" s="1"/>
  <c r="R1455" i="17"/>
  <c r="S1455" i="17" s="1"/>
  <c r="R120" i="17"/>
  <c r="S120" i="17" s="1"/>
  <c r="R1457" i="17"/>
  <c r="S1457" i="17" s="1"/>
  <c r="R1458" i="17"/>
  <c r="S1458" i="17" s="1"/>
  <c r="R1459" i="17"/>
  <c r="S1459" i="17" s="1"/>
  <c r="R1460" i="17"/>
  <c r="S1460" i="17" s="1"/>
  <c r="R1461" i="17"/>
  <c r="S1461" i="17" s="1"/>
  <c r="R1462" i="17"/>
  <c r="S1462" i="17" s="1"/>
  <c r="R1463" i="17"/>
  <c r="S1463" i="17" s="1"/>
  <c r="R1464" i="17"/>
  <c r="S1464" i="17" s="1"/>
  <c r="R1465" i="17"/>
  <c r="S1465" i="17" s="1"/>
  <c r="R1466" i="17"/>
  <c r="S1466" i="17" s="1"/>
  <c r="R1467" i="17"/>
  <c r="S1467" i="17" s="1"/>
  <c r="R1893" i="17"/>
  <c r="S1893" i="17" s="1"/>
  <c r="R1469" i="17"/>
  <c r="S1469" i="17" s="1"/>
  <c r="R1470" i="17"/>
  <c r="S1470" i="17" s="1"/>
  <c r="R1471" i="17"/>
  <c r="S1471" i="17" s="1"/>
  <c r="R1472" i="17"/>
  <c r="S1472" i="17" s="1"/>
  <c r="R1473" i="17"/>
  <c r="S1473" i="17" s="1"/>
  <c r="R1474" i="17"/>
  <c r="S1474" i="17" s="1"/>
  <c r="R1475" i="17"/>
  <c r="S1475" i="17" s="1"/>
  <c r="R1476" i="17"/>
  <c r="S1476" i="17" s="1"/>
  <c r="R1477" i="17"/>
  <c r="S1477" i="17" s="1"/>
  <c r="R1478" i="17"/>
  <c r="S1478" i="17" s="1"/>
  <c r="R1479" i="17"/>
  <c r="S1479" i="17" s="1"/>
  <c r="R1480" i="17"/>
  <c r="S1480" i="17" s="1"/>
  <c r="R1481" i="17"/>
  <c r="S1481" i="17" s="1"/>
  <c r="R1482" i="17"/>
  <c r="S1482" i="17" s="1"/>
  <c r="R1483" i="17"/>
  <c r="S1483" i="17" s="1"/>
  <c r="R1484" i="17"/>
  <c r="S1484" i="17" s="1"/>
  <c r="R1485" i="17"/>
  <c r="S1485" i="17" s="1"/>
  <c r="R1486" i="17"/>
  <c r="S1486" i="17" s="1"/>
  <c r="R766" i="17"/>
  <c r="S766" i="17" s="1"/>
  <c r="R1488" i="17"/>
  <c r="S1488" i="17" s="1"/>
  <c r="R1489" i="17"/>
  <c r="S1489" i="17" s="1"/>
  <c r="R1490" i="17"/>
  <c r="S1490" i="17" s="1"/>
  <c r="R1491" i="17"/>
  <c r="S1491" i="17" s="1"/>
  <c r="R1492" i="17"/>
  <c r="S1492" i="17" s="1"/>
  <c r="R1283" i="17"/>
  <c r="S1283" i="17" s="1"/>
  <c r="R320" i="17"/>
  <c r="S320" i="17" s="1"/>
  <c r="R1495" i="17"/>
  <c r="S1495" i="17" s="1"/>
  <c r="R1496" i="17"/>
  <c r="S1496" i="17" s="1"/>
  <c r="R1497" i="17"/>
  <c r="S1497" i="17" s="1"/>
  <c r="R1498" i="17"/>
  <c r="S1498" i="17" s="1"/>
  <c r="R1499" i="17"/>
  <c r="S1499" i="17" s="1"/>
  <c r="R1500" i="17"/>
  <c r="S1500" i="17" s="1"/>
  <c r="R844" i="17"/>
  <c r="S844" i="17" s="1"/>
  <c r="R1502" i="17"/>
  <c r="S1502" i="17" s="1"/>
  <c r="R1503" i="17"/>
  <c r="S1503" i="17" s="1"/>
  <c r="R1504" i="17"/>
  <c r="S1504" i="17" s="1"/>
  <c r="R1505" i="17"/>
  <c r="S1505" i="17" s="1"/>
  <c r="R1506" i="17"/>
  <c r="S1506" i="17" s="1"/>
  <c r="R1906" i="17"/>
  <c r="S1906" i="17" s="1"/>
  <c r="R1508" i="17"/>
  <c r="S1508" i="17" s="1"/>
  <c r="R1509" i="17"/>
  <c r="S1509" i="17" s="1"/>
  <c r="R1510" i="17"/>
  <c r="S1510" i="17" s="1"/>
  <c r="R1511" i="17"/>
  <c r="S1511" i="17" s="1"/>
  <c r="R1512" i="17"/>
  <c r="S1512" i="17" s="1"/>
  <c r="R1513" i="17"/>
  <c r="S1513" i="17" s="1"/>
  <c r="R1514" i="17"/>
  <c r="S1514" i="17" s="1"/>
  <c r="R1515" i="17"/>
  <c r="S1515" i="17" s="1"/>
  <c r="R1516" i="17"/>
  <c r="S1516" i="17" s="1"/>
  <c r="R1517" i="17"/>
  <c r="S1517" i="17" s="1"/>
  <c r="R1518" i="17"/>
  <c r="S1518" i="17" s="1"/>
  <c r="R1519" i="17"/>
  <c r="S1519" i="17" s="1"/>
  <c r="R1520" i="17"/>
  <c r="S1520" i="17" s="1"/>
  <c r="R1521" i="17"/>
  <c r="S1521" i="17" s="1"/>
  <c r="R1522" i="17"/>
  <c r="S1522" i="17" s="1"/>
  <c r="R1523" i="17"/>
  <c r="S1523" i="17" s="1"/>
  <c r="R1524" i="17"/>
  <c r="S1524" i="17" s="1"/>
  <c r="R1525" i="17"/>
  <c r="S1525" i="17" s="1"/>
  <c r="R1526" i="17"/>
  <c r="S1526" i="17" s="1"/>
  <c r="R1527" i="17"/>
  <c r="S1527" i="17" s="1"/>
  <c r="R1528" i="17"/>
  <c r="S1528" i="17" s="1"/>
  <c r="R1529" i="17"/>
  <c r="S1529" i="17" s="1"/>
  <c r="R1530" i="17"/>
  <c r="S1530" i="17" s="1"/>
  <c r="R1531" i="17"/>
  <c r="S1531" i="17" s="1"/>
  <c r="R1532" i="17"/>
  <c r="S1532" i="17" s="1"/>
  <c r="R1533" i="17"/>
  <c r="S1533" i="17" s="1"/>
  <c r="R1534" i="17"/>
  <c r="S1534" i="17" s="1"/>
  <c r="R1535" i="17"/>
  <c r="S1535" i="17" s="1"/>
  <c r="R1536" i="17"/>
  <c r="S1536" i="17" s="1"/>
  <c r="R149" i="17"/>
  <c r="S149" i="17" s="1"/>
  <c r="R1538" i="17"/>
  <c r="S1538" i="17" s="1"/>
  <c r="R1866" i="17"/>
  <c r="S1866" i="17" s="1"/>
  <c r="R1540" i="17"/>
  <c r="S1540" i="17" s="1"/>
  <c r="R1541" i="17"/>
  <c r="S1541" i="17" s="1"/>
  <c r="R1542" i="17"/>
  <c r="S1542" i="17" s="1"/>
  <c r="R1543" i="17"/>
  <c r="S1543" i="17" s="1"/>
  <c r="R1544" i="17"/>
  <c r="S1544" i="17" s="1"/>
  <c r="R1545" i="17"/>
  <c r="S1545" i="17" s="1"/>
  <c r="R1546" i="17"/>
  <c r="S1546" i="17" s="1"/>
  <c r="R1547" i="17"/>
  <c r="S1547" i="17" s="1"/>
  <c r="R1548" i="17"/>
  <c r="S1548" i="17" s="1"/>
  <c r="R1549" i="17"/>
  <c r="S1549" i="17" s="1"/>
  <c r="R1550" i="17"/>
  <c r="S1550" i="17" s="1"/>
  <c r="R1551" i="17"/>
  <c r="S1551" i="17" s="1"/>
  <c r="R1552" i="17"/>
  <c r="S1552" i="17" s="1"/>
  <c r="R1553" i="17"/>
  <c r="S1553" i="17" s="1"/>
  <c r="R1554" i="17"/>
  <c r="S1554" i="17" s="1"/>
  <c r="R1555" i="17"/>
  <c r="S1555" i="17" s="1"/>
  <c r="R1556" i="17"/>
  <c r="S1556" i="17" s="1"/>
  <c r="R1557" i="17"/>
  <c r="S1557" i="17" s="1"/>
  <c r="R1125" i="17"/>
  <c r="S1125" i="17" s="1"/>
  <c r="R1559" i="17"/>
  <c r="S1559" i="17" s="1"/>
  <c r="R1560" i="17"/>
  <c r="S1560" i="17" s="1"/>
  <c r="R1561" i="17"/>
  <c r="S1561" i="17" s="1"/>
  <c r="R1562" i="17"/>
  <c r="S1562" i="17" s="1"/>
  <c r="R919" i="17"/>
  <c r="S919" i="17" s="1"/>
  <c r="R1564" i="17"/>
  <c r="S1564" i="17" s="1"/>
  <c r="R1565" i="17"/>
  <c r="S1565" i="17" s="1"/>
  <c r="R1566" i="17"/>
  <c r="S1566" i="17" s="1"/>
  <c r="R1567" i="17"/>
  <c r="S1567" i="17" s="1"/>
  <c r="R1568" i="17"/>
  <c r="S1568" i="17" s="1"/>
  <c r="R1569" i="17"/>
  <c r="S1569" i="17" s="1"/>
  <c r="R1659" i="17"/>
  <c r="S1659" i="17" s="1"/>
  <c r="R1571" i="17"/>
  <c r="S1571" i="17" s="1"/>
  <c r="R1572" i="17"/>
  <c r="S1572" i="17" s="1"/>
  <c r="R1573" i="17"/>
  <c r="S1573" i="17" s="1"/>
  <c r="R1574" i="17"/>
  <c r="S1574" i="17" s="1"/>
  <c r="R1575" i="17"/>
  <c r="S1575" i="17" s="1"/>
  <c r="R1576" i="17"/>
  <c r="S1576" i="17" s="1"/>
  <c r="R1577" i="17"/>
  <c r="S1577" i="17" s="1"/>
  <c r="R1578" i="17"/>
  <c r="S1578" i="17" s="1"/>
  <c r="R1579" i="17"/>
  <c r="S1579" i="17" s="1"/>
  <c r="R1580" i="17"/>
  <c r="S1580" i="17" s="1"/>
  <c r="R1581" i="17"/>
  <c r="S1581" i="17" s="1"/>
  <c r="R1582" i="17"/>
  <c r="S1582" i="17" s="1"/>
  <c r="R1583" i="17"/>
  <c r="S1583" i="17" s="1"/>
  <c r="R1584" i="17"/>
  <c r="S1584" i="17" s="1"/>
  <c r="R1585" i="17"/>
  <c r="S1585" i="17" s="1"/>
  <c r="R1090" i="17"/>
  <c r="S1090" i="17" s="1"/>
  <c r="R1587" i="17"/>
  <c r="S1587" i="17" s="1"/>
  <c r="R1588" i="17"/>
  <c r="S1588" i="17" s="1"/>
  <c r="R1824" i="17"/>
  <c r="S1824" i="17" s="1"/>
  <c r="R1590" i="17"/>
  <c r="S1590" i="17" s="1"/>
  <c r="R1589" i="17"/>
  <c r="S1589" i="17" s="1"/>
  <c r="R1592" i="17"/>
  <c r="S1592" i="17" s="1"/>
  <c r="R1593" i="17"/>
  <c r="S1593" i="17" s="1"/>
  <c r="R1594" i="17"/>
  <c r="S1594" i="17" s="1"/>
  <c r="R1595" i="17"/>
  <c r="S1595" i="17" s="1"/>
  <c r="R619" i="17"/>
  <c r="S619" i="17" s="1"/>
  <c r="R1597" i="17"/>
  <c r="S1597" i="17" s="1"/>
  <c r="R1598" i="17"/>
  <c r="S1598" i="17" s="1"/>
  <c r="R1599" i="17"/>
  <c r="S1599" i="17" s="1"/>
  <c r="R1600" i="17"/>
  <c r="S1600" i="17" s="1"/>
  <c r="R1601" i="17"/>
  <c r="S1601" i="17" s="1"/>
  <c r="R833" i="17"/>
  <c r="S833" i="17" s="1"/>
  <c r="R1603" i="17"/>
  <c r="S1603" i="17" s="1"/>
  <c r="R1604" i="17"/>
  <c r="S1604" i="17" s="1"/>
  <c r="R1785" i="17"/>
  <c r="S1785" i="17" s="1"/>
  <c r="R1606" i="17"/>
  <c r="S1606" i="17" s="1"/>
  <c r="R1397" i="17"/>
  <c r="S1397" i="17" s="1"/>
  <c r="R870" i="17"/>
  <c r="S870" i="17" s="1"/>
  <c r="R1609" i="17"/>
  <c r="S1609" i="17" s="1"/>
  <c r="R1610" i="17"/>
  <c r="S1610" i="17" s="1"/>
  <c r="R1611" i="17"/>
  <c r="S1611" i="17" s="1"/>
  <c r="R1612" i="17"/>
  <c r="S1612" i="17" s="1"/>
  <c r="R1613" i="17"/>
  <c r="S1613" i="17" s="1"/>
  <c r="R1614" i="17"/>
  <c r="S1614" i="17" s="1"/>
  <c r="R1615" i="17"/>
  <c r="S1615" i="17" s="1"/>
  <c r="R1616" i="17"/>
  <c r="S1616" i="17" s="1"/>
  <c r="R1617" i="17"/>
  <c r="S1617" i="17" s="1"/>
  <c r="R1618" i="17"/>
  <c r="S1618" i="17" s="1"/>
  <c r="R1619" i="17"/>
  <c r="S1619" i="17" s="1"/>
  <c r="R1620" i="17"/>
  <c r="S1620" i="17" s="1"/>
  <c r="R1621" i="17"/>
  <c r="S1621" i="17" s="1"/>
  <c r="R1622" i="17"/>
  <c r="S1622" i="17" s="1"/>
  <c r="R1623" i="17"/>
  <c r="S1623" i="17" s="1"/>
  <c r="R1624" i="17"/>
  <c r="S1624" i="17" s="1"/>
  <c r="R1625" i="17"/>
  <c r="S1625" i="17" s="1"/>
  <c r="R206" i="17"/>
  <c r="S206" i="17" s="1"/>
  <c r="R1627" i="17"/>
  <c r="S1627" i="17" s="1"/>
  <c r="R1628" i="17"/>
  <c r="S1628" i="17" s="1"/>
  <c r="R1629" i="17"/>
  <c r="S1629" i="17" s="1"/>
  <c r="R1074" i="17"/>
  <c r="S1074" i="17" s="1"/>
  <c r="R1631" i="17"/>
  <c r="S1631" i="17" s="1"/>
  <c r="R1632" i="17"/>
  <c r="S1632" i="17" s="1"/>
  <c r="R1633" i="17"/>
  <c r="S1633" i="17" s="1"/>
  <c r="R1634" i="17"/>
  <c r="S1634" i="17" s="1"/>
  <c r="R1635" i="17"/>
  <c r="S1635" i="17" s="1"/>
  <c r="R1636" i="17"/>
  <c r="S1636" i="17" s="1"/>
  <c r="R1637" i="17"/>
  <c r="S1637" i="17" s="1"/>
  <c r="R1638" i="17"/>
  <c r="S1638" i="17" s="1"/>
  <c r="R1639" i="17"/>
  <c r="S1639" i="17" s="1"/>
  <c r="R1640" i="17"/>
  <c r="S1640" i="17" s="1"/>
  <c r="R1641" i="17"/>
  <c r="S1641" i="17" s="1"/>
  <c r="R1642" i="17"/>
  <c r="S1642" i="17" s="1"/>
  <c r="R1643" i="17"/>
  <c r="S1643" i="17" s="1"/>
  <c r="R1644" i="17"/>
  <c r="S1644" i="17" s="1"/>
  <c r="R1645" i="17"/>
  <c r="S1645" i="17" s="1"/>
  <c r="R1646" i="17"/>
  <c r="S1646" i="17" s="1"/>
  <c r="R1647" i="17"/>
  <c r="S1647" i="17" s="1"/>
  <c r="R1648" i="17"/>
  <c r="S1648" i="17" s="1"/>
  <c r="R1649" i="17"/>
  <c r="S1649" i="17" s="1"/>
  <c r="R1650" i="17"/>
  <c r="S1650" i="17" s="1"/>
  <c r="R157" i="17"/>
  <c r="S157" i="17" s="1"/>
  <c r="R806" i="17"/>
  <c r="S806" i="17" s="1"/>
  <c r="R488" i="17"/>
  <c r="S488" i="17" s="1"/>
  <c r="R381" i="17"/>
  <c r="S381" i="17" s="1"/>
  <c r="R1655" i="17"/>
  <c r="S1655" i="17" s="1"/>
  <c r="R1656" i="17"/>
  <c r="S1656" i="17" s="1"/>
  <c r="R1657" i="17"/>
  <c r="S1657" i="17" s="1"/>
  <c r="R1658" i="17"/>
  <c r="S1658" i="17" s="1"/>
  <c r="R767" i="17"/>
  <c r="S767" i="17" s="1"/>
  <c r="R1660" i="17"/>
  <c r="S1660" i="17" s="1"/>
  <c r="R1661" i="17"/>
  <c r="S1661" i="17" s="1"/>
  <c r="R1662" i="17"/>
  <c r="S1662" i="17" s="1"/>
  <c r="R1663" i="17"/>
  <c r="S1663" i="17" s="1"/>
  <c r="R1664" i="17"/>
  <c r="S1664" i="17" s="1"/>
  <c r="R1665" i="17"/>
  <c r="S1665" i="17" s="1"/>
  <c r="R1666" i="17"/>
  <c r="S1666" i="17" s="1"/>
  <c r="R1667" i="17"/>
  <c r="S1667" i="17" s="1"/>
  <c r="R1668" i="17"/>
  <c r="S1668" i="17" s="1"/>
  <c r="R1669" i="17"/>
  <c r="S1669" i="17" s="1"/>
  <c r="R1670" i="17"/>
  <c r="S1670" i="17" s="1"/>
  <c r="R1671" i="17"/>
  <c r="S1671" i="17" s="1"/>
  <c r="R1672" i="17"/>
  <c r="S1672" i="17" s="1"/>
  <c r="R1673" i="17"/>
  <c r="S1673" i="17" s="1"/>
  <c r="R1674" i="17"/>
  <c r="S1674" i="17" s="1"/>
  <c r="R134" i="17"/>
  <c r="S134" i="17" s="1"/>
  <c r="R12" i="17"/>
  <c r="S12" i="17" s="1"/>
  <c r="R1677" i="17"/>
  <c r="S1677" i="17" s="1"/>
  <c r="R1678" i="17"/>
  <c r="S1678" i="17" s="1"/>
  <c r="R1679" i="17"/>
  <c r="S1679" i="17" s="1"/>
  <c r="R1680" i="17"/>
  <c r="S1680" i="17" s="1"/>
  <c r="R1681" i="17"/>
  <c r="S1681" i="17" s="1"/>
  <c r="R1682" i="17"/>
  <c r="S1682" i="17" s="1"/>
  <c r="R1683" i="17"/>
  <c r="S1683" i="17" s="1"/>
  <c r="R1684" i="17"/>
  <c r="S1684" i="17" s="1"/>
  <c r="R1685" i="17"/>
  <c r="S1685" i="17" s="1"/>
  <c r="R1686" i="17"/>
  <c r="S1686" i="17" s="1"/>
  <c r="R545" i="17"/>
  <c r="S545" i="17" s="1"/>
  <c r="R1688" i="17"/>
  <c r="S1688" i="17" s="1"/>
  <c r="R1689" i="17"/>
  <c r="S1689" i="17" s="1"/>
  <c r="R770" i="17"/>
  <c r="S770" i="17" s="1"/>
  <c r="R1691" i="17"/>
  <c r="S1691" i="17" s="1"/>
  <c r="R1692" i="17"/>
  <c r="S1692" i="17" s="1"/>
  <c r="R85" i="17"/>
  <c r="S85" i="17" s="1"/>
  <c r="R1694" i="17"/>
  <c r="S1694" i="17" s="1"/>
  <c r="R1695" i="17"/>
  <c r="S1695" i="17" s="1"/>
  <c r="R1843" i="17"/>
  <c r="S1843" i="17" s="1"/>
  <c r="R1697" i="17"/>
  <c r="S1697" i="17" s="1"/>
  <c r="R1698" i="17"/>
  <c r="S1698" i="17" s="1"/>
  <c r="R1155" i="17"/>
  <c r="S1155" i="17" s="1"/>
  <c r="R1700" i="17"/>
  <c r="S1700" i="17" s="1"/>
  <c r="R1701" i="17"/>
  <c r="S1701" i="17" s="1"/>
  <c r="R1014" i="17"/>
  <c r="S1014" i="17" s="1"/>
  <c r="R1630" i="17"/>
  <c r="S1630" i="17" s="1"/>
  <c r="R1704" i="17"/>
  <c r="S1704" i="17" s="1"/>
  <c r="R1705" i="17"/>
  <c r="S1705" i="17" s="1"/>
  <c r="R1706" i="17"/>
  <c r="S1706" i="17" s="1"/>
  <c r="R1790" i="17"/>
  <c r="S1790" i="17" s="1"/>
  <c r="R1708" i="17"/>
  <c r="S1708" i="17" s="1"/>
  <c r="R1709" i="17"/>
  <c r="S1709" i="17" s="1"/>
  <c r="R1710" i="17"/>
  <c r="S1710" i="17" s="1"/>
  <c r="R1711" i="17"/>
  <c r="S1711" i="17" s="1"/>
  <c r="R1712" i="17"/>
  <c r="S1712" i="17" s="1"/>
  <c r="R1713" i="17"/>
  <c r="S1713" i="17" s="1"/>
  <c r="R1714" i="17"/>
  <c r="S1714" i="17" s="1"/>
  <c r="R32" i="17"/>
  <c r="S32" i="17" s="1"/>
  <c r="R917" i="17"/>
  <c r="S917" i="17" s="1"/>
  <c r="R1717" i="17"/>
  <c r="S1717" i="17" s="1"/>
  <c r="R1718" i="17"/>
  <c r="S1718" i="17" s="1"/>
  <c r="R109" i="17"/>
  <c r="S109" i="17" s="1"/>
  <c r="R351" i="17"/>
  <c r="S351" i="17" s="1"/>
  <c r="R924" i="17"/>
  <c r="S924" i="17" s="1"/>
  <c r="R1722" i="17"/>
  <c r="S1722" i="17" s="1"/>
  <c r="R1723" i="17"/>
  <c r="S1723" i="17" s="1"/>
  <c r="R1724" i="17"/>
  <c r="S1724" i="17" s="1"/>
  <c r="R1725" i="17"/>
  <c r="S1725" i="17" s="1"/>
  <c r="R1726" i="17"/>
  <c r="S1726" i="17" s="1"/>
  <c r="R1727" i="17"/>
  <c r="S1727" i="17" s="1"/>
  <c r="R1728" i="17"/>
  <c r="S1728" i="17" s="1"/>
  <c r="R1729" i="17"/>
  <c r="S1729" i="17" s="1"/>
  <c r="R1730" i="17"/>
  <c r="S1730" i="17" s="1"/>
  <c r="R1731" i="17"/>
  <c r="S1731" i="17" s="1"/>
  <c r="R1732" i="17"/>
  <c r="S1732" i="17" s="1"/>
  <c r="R1733" i="17"/>
  <c r="S1733" i="17" s="1"/>
  <c r="R1734" i="17"/>
  <c r="S1734" i="17" s="1"/>
  <c r="R1735" i="17"/>
  <c r="S1735" i="17" s="1"/>
  <c r="R1736" i="17"/>
  <c r="S1736" i="17" s="1"/>
  <c r="R1737" i="17"/>
  <c r="S1737" i="17" s="1"/>
  <c r="R1738" i="17"/>
  <c r="S1738" i="17" s="1"/>
  <c r="R1739" i="17"/>
  <c r="S1739" i="17" s="1"/>
  <c r="R1740" i="17"/>
  <c r="S1740" i="17" s="1"/>
  <c r="R1741" i="17"/>
  <c r="S1741" i="17" s="1"/>
  <c r="R1742" i="17"/>
  <c r="S1742" i="17" s="1"/>
  <c r="R1743" i="17"/>
  <c r="S1743" i="17" s="1"/>
  <c r="R1744" i="17"/>
  <c r="S1744" i="17" s="1"/>
  <c r="R1745" i="17"/>
  <c r="S1745" i="17" s="1"/>
  <c r="R1746" i="17"/>
  <c r="S1746" i="17" s="1"/>
  <c r="R1747" i="17"/>
  <c r="S1747" i="17" s="1"/>
  <c r="R1347" i="17"/>
  <c r="S1347" i="17" s="1"/>
  <c r="R1749" i="17"/>
  <c r="S1749" i="17" s="1"/>
  <c r="R1750" i="17"/>
  <c r="S1750" i="17" s="1"/>
  <c r="R1751" i="17"/>
  <c r="S1751" i="17" s="1"/>
  <c r="R1752" i="17"/>
  <c r="S1752" i="17" s="1"/>
  <c r="R1753" i="17"/>
  <c r="S1753" i="17" s="1"/>
  <c r="R1754" i="17"/>
  <c r="S1754" i="17" s="1"/>
  <c r="R1494" i="17"/>
  <c r="S1494" i="17" s="1"/>
  <c r="R1756" i="17"/>
  <c r="S1756" i="17" s="1"/>
  <c r="R909" i="17"/>
  <c r="S909" i="17" s="1"/>
  <c r="R1758" i="17"/>
  <c r="S1758" i="17" s="1"/>
  <c r="R1759" i="17"/>
  <c r="S1759" i="17" s="1"/>
  <c r="R1760" i="17"/>
  <c r="S1760" i="17" s="1"/>
  <c r="R1761" i="17"/>
  <c r="S1761" i="17" s="1"/>
  <c r="R1762" i="17"/>
  <c r="S1762" i="17" s="1"/>
  <c r="R1763" i="17"/>
  <c r="S1763" i="17" s="1"/>
  <c r="R1764" i="17"/>
  <c r="S1764" i="17" s="1"/>
  <c r="R1765" i="17"/>
  <c r="S1765" i="17" s="1"/>
  <c r="R1766" i="17"/>
  <c r="S1766" i="17" s="1"/>
  <c r="R1127" i="17"/>
  <c r="S1127" i="17" s="1"/>
  <c r="R1768" i="17"/>
  <c r="S1768" i="17" s="1"/>
  <c r="R413" i="17"/>
  <c r="S413" i="17" s="1"/>
  <c r="R1770" i="17"/>
  <c r="S1770" i="17" s="1"/>
  <c r="R811" i="17"/>
  <c r="S811" i="17" s="1"/>
  <c r="R1772" i="17"/>
  <c r="S1772" i="17" s="1"/>
  <c r="R861" i="17"/>
  <c r="S861" i="17" s="1"/>
  <c r="R1774" i="17"/>
  <c r="S1774" i="17" s="1"/>
  <c r="R1775" i="17"/>
  <c r="S1775" i="17" s="1"/>
  <c r="R1602" i="17"/>
  <c r="S1602" i="17" s="1"/>
  <c r="R1777" i="17"/>
  <c r="S1777" i="17" s="1"/>
  <c r="R1778" i="17"/>
  <c r="S1778" i="17" s="1"/>
  <c r="R1779" i="17"/>
  <c r="S1779" i="17" s="1"/>
  <c r="R1780" i="17"/>
  <c r="S1780" i="17" s="1"/>
  <c r="R1781" i="17"/>
  <c r="S1781" i="17" s="1"/>
  <c r="R1782" i="17"/>
  <c r="S1782" i="17" s="1"/>
  <c r="R1783" i="17"/>
  <c r="S1783" i="17" s="1"/>
  <c r="R1784" i="17"/>
  <c r="S1784" i="17" s="1"/>
  <c r="R873" i="17"/>
  <c r="S873" i="17" s="1"/>
  <c r="R1099" i="17"/>
  <c r="S1099" i="17" s="1"/>
  <c r="R1787" i="17"/>
  <c r="S1787" i="17" s="1"/>
  <c r="R1788" i="17"/>
  <c r="S1788" i="17" s="1"/>
  <c r="R1789" i="17"/>
  <c r="S1789" i="17" s="1"/>
  <c r="R419" i="17"/>
  <c r="S419" i="17" s="1"/>
  <c r="R1791" i="17"/>
  <c r="S1791" i="17" s="1"/>
  <c r="R1792" i="17"/>
  <c r="S1792" i="17" s="1"/>
  <c r="R1793" i="17"/>
  <c r="S1793" i="17" s="1"/>
  <c r="R1794" i="17"/>
  <c r="S1794" i="17" s="1"/>
  <c r="R915" i="17"/>
  <c r="S915" i="17" s="1"/>
  <c r="R1796" i="17"/>
  <c r="S1796" i="17" s="1"/>
  <c r="R326" i="17"/>
  <c r="S326" i="17" s="1"/>
  <c r="R1798" i="17"/>
  <c r="S1798" i="17" s="1"/>
  <c r="R1799" i="17"/>
  <c r="S1799" i="17" s="1"/>
  <c r="R472" i="17"/>
  <c r="S472" i="17" s="1"/>
  <c r="R1801" i="17"/>
  <c r="S1801" i="17" s="1"/>
  <c r="R1802" i="17"/>
  <c r="S1802" i="17" s="1"/>
  <c r="R1803" i="17"/>
  <c r="S1803" i="17" s="1"/>
  <c r="R1409" i="17"/>
  <c r="S1409" i="17" s="1"/>
  <c r="R1805" i="17"/>
  <c r="S1805" i="17" s="1"/>
  <c r="R1806" i="17"/>
  <c r="S1806" i="17" s="1"/>
  <c r="R338" i="17"/>
  <c r="S338" i="17" s="1"/>
  <c r="R1808" i="17"/>
  <c r="S1808" i="17" s="1"/>
  <c r="R401" i="17"/>
  <c r="S401" i="17" s="1"/>
  <c r="R1810" i="17"/>
  <c r="S1810" i="17" s="1"/>
  <c r="R1811" i="17"/>
  <c r="S1811" i="17" s="1"/>
  <c r="R1812" i="17"/>
  <c r="S1812" i="17" s="1"/>
  <c r="R1813" i="17"/>
  <c r="S1813" i="17" s="1"/>
  <c r="R1814" i="17"/>
  <c r="S1814" i="17" s="1"/>
  <c r="R66" i="17"/>
  <c r="S66" i="17" s="1"/>
  <c r="R1816" i="17"/>
  <c r="S1816" i="17" s="1"/>
  <c r="R1817" i="17"/>
  <c r="S1817" i="17" s="1"/>
  <c r="R1818" i="17"/>
  <c r="S1818" i="17" s="1"/>
  <c r="R1819" i="17"/>
  <c r="S1819" i="17" s="1"/>
  <c r="R1820" i="17"/>
  <c r="S1820" i="17" s="1"/>
  <c r="R1821" i="17"/>
  <c r="S1821" i="17" s="1"/>
  <c r="R1822" i="17"/>
  <c r="S1822" i="17" s="1"/>
  <c r="R1823" i="17"/>
  <c r="S1823" i="17" s="1"/>
  <c r="R1703" i="17"/>
  <c r="S1703" i="17" s="1"/>
  <c r="R1825" i="17"/>
  <c r="S1825" i="17" s="1"/>
  <c r="R1826" i="17"/>
  <c r="S1826" i="17" s="1"/>
  <c r="R1827" i="17"/>
  <c r="S1827" i="17" s="1"/>
  <c r="R1828" i="17"/>
  <c r="S1828" i="17" s="1"/>
  <c r="R1829" i="17"/>
  <c r="S1829" i="17" s="1"/>
  <c r="R294" i="17"/>
  <c r="S294" i="17" s="1"/>
  <c r="R1831" i="17"/>
  <c r="S1831" i="17" s="1"/>
  <c r="R1832" i="17"/>
  <c r="S1832" i="17" s="1"/>
  <c r="R558" i="17"/>
  <c r="S558" i="17" s="1"/>
  <c r="R1834" i="17"/>
  <c r="S1834" i="17" s="1"/>
  <c r="R1835" i="17"/>
  <c r="S1835" i="17" s="1"/>
  <c r="R1769" i="17"/>
  <c r="S1769" i="17" s="1"/>
  <c r="R1837" i="17"/>
  <c r="S1837" i="17" s="1"/>
  <c r="R1838" i="17"/>
  <c r="S1838" i="17" s="1"/>
  <c r="R1839" i="17"/>
  <c r="S1839" i="17" s="1"/>
  <c r="R1591" i="17"/>
  <c r="S1591" i="17" s="1"/>
  <c r="R1841" i="17"/>
  <c r="S1841" i="17" s="1"/>
  <c r="R886" i="17"/>
  <c r="S886" i="17" s="1"/>
  <c r="R504" i="17"/>
  <c r="S504" i="17" s="1"/>
  <c r="R435" i="17"/>
  <c r="S435" i="17" s="1"/>
  <c r="R1845" i="17"/>
  <c r="S1845" i="17" s="1"/>
  <c r="R1846" i="17"/>
  <c r="S1846" i="17" s="1"/>
  <c r="R1847" i="17"/>
  <c r="S1847" i="17" s="1"/>
  <c r="R1848" i="17"/>
  <c r="S1848" i="17" s="1"/>
  <c r="R1849" i="17"/>
  <c r="S1849" i="17" s="1"/>
  <c r="R1850" i="17"/>
  <c r="S1850" i="17" s="1"/>
  <c r="R1851" i="17"/>
  <c r="S1851" i="17" s="1"/>
  <c r="R1852" i="17"/>
  <c r="S1852" i="17" s="1"/>
  <c r="R1853" i="17"/>
  <c r="S1853" i="17" s="1"/>
  <c r="R1854" i="17"/>
  <c r="S1854" i="17" s="1"/>
  <c r="R1855" i="17"/>
  <c r="S1855" i="17" s="1"/>
  <c r="R1856" i="17"/>
  <c r="S1856" i="17" s="1"/>
  <c r="R1857" i="17"/>
  <c r="S1857" i="17" s="1"/>
  <c r="R1786" i="17"/>
  <c r="S1786" i="17" s="1"/>
  <c r="R1859" i="17"/>
  <c r="S1859" i="17" s="1"/>
  <c r="R1860" i="17"/>
  <c r="S1860" i="17" s="1"/>
  <c r="R1861" i="17"/>
  <c r="S1861" i="17" s="1"/>
  <c r="R1862" i="17"/>
  <c r="S1862" i="17" s="1"/>
  <c r="R1863" i="17"/>
  <c r="S1863" i="17" s="1"/>
  <c r="R605" i="17"/>
  <c r="S605" i="17" s="1"/>
  <c r="R1865" i="17"/>
  <c r="S1865" i="17" s="1"/>
  <c r="R371" i="17"/>
  <c r="S371" i="17" s="1"/>
  <c r="R1867" i="17"/>
  <c r="S1867" i="17" s="1"/>
  <c r="R1868" i="17"/>
  <c r="S1868" i="17" s="1"/>
  <c r="R1869" i="17"/>
  <c r="S1869" i="17" s="1"/>
  <c r="R1870" i="17"/>
  <c r="S1870" i="17" s="1"/>
  <c r="R1871" i="17"/>
  <c r="S1871" i="17" s="1"/>
  <c r="R1872" i="17"/>
  <c r="S1872" i="17" s="1"/>
  <c r="R1873" i="17"/>
  <c r="S1873" i="17" s="1"/>
  <c r="R1874" i="17"/>
  <c r="S1874" i="17" s="1"/>
  <c r="R1875" i="17"/>
  <c r="S1875" i="17" s="1"/>
  <c r="R1258" i="17"/>
  <c r="S1258" i="17" s="1"/>
  <c r="R1877" i="17"/>
  <c r="S1877" i="17" s="1"/>
  <c r="R1878" i="17"/>
  <c r="S1878" i="17" s="1"/>
  <c r="R1879" i="17"/>
  <c r="S1879" i="17" s="1"/>
  <c r="R1880" i="17"/>
  <c r="S1880" i="17" s="1"/>
  <c r="R1881" i="17"/>
  <c r="S1881" i="17" s="1"/>
  <c r="R1882" i="17"/>
  <c r="S1882" i="17" s="1"/>
  <c r="R1883" i="17"/>
  <c r="S1883" i="17" s="1"/>
  <c r="R1884" i="17"/>
  <c r="S1884" i="17" s="1"/>
  <c r="R1885" i="17"/>
  <c r="S1885" i="17" s="1"/>
  <c r="R1886" i="17"/>
  <c r="S1886" i="17" s="1"/>
  <c r="R1887" i="17"/>
  <c r="S1887" i="17" s="1"/>
  <c r="R1888" i="17"/>
  <c r="S1888" i="17" s="1"/>
  <c r="R1889" i="17"/>
  <c r="S1889" i="17" s="1"/>
  <c r="R1100" i="17"/>
  <c r="S1100" i="17" s="1"/>
  <c r="R860" i="17"/>
  <c r="S860" i="17" s="1"/>
  <c r="R1892" i="17"/>
  <c r="S1892" i="17" s="1"/>
  <c r="R1570" i="17"/>
  <c r="S1570" i="17" s="1"/>
  <c r="R1894" i="17"/>
  <c r="S1894" i="17" s="1"/>
  <c r="R1895" i="17"/>
  <c r="S1895" i="17" s="1"/>
  <c r="R1896" i="17"/>
  <c r="S1896" i="17" s="1"/>
  <c r="R1897" i="17"/>
  <c r="S1897" i="17" s="1"/>
  <c r="R1898" i="17"/>
  <c r="S1898" i="17" s="1"/>
  <c r="R1899" i="17"/>
  <c r="S1899" i="17" s="1"/>
  <c r="R1900" i="17"/>
  <c r="S1900" i="17" s="1"/>
  <c r="R1901" i="17"/>
  <c r="S1901" i="17" s="1"/>
  <c r="R1902" i="17"/>
  <c r="S1902" i="17" s="1"/>
  <c r="R221" i="17"/>
  <c r="S221" i="17" s="1"/>
  <c r="R1904" i="17"/>
  <c r="S1904" i="17" s="1"/>
  <c r="R1905" i="17"/>
  <c r="S1905" i="17" s="1"/>
  <c r="R744" i="17"/>
  <c r="S744" i="17" s="1"/>
  <c r="R1907" i="17"/>
  <c r="S1907" i="17" s="1"/>
  <c r="R1908" i="17"/>
  <c r="S1908" i="17" s="1"/>
  <c r="R1909" i="17"/>
  <c r="S1909" i="17" s="1"/>
  <c r="R1910" i="17"/>
  <c r="S1910" i="17" s="1"/>
  <c r="R35" i="17"/>
  <c r="S35" i="17" s="1"/>
  <c r="R532" i="17"/>
  <c r="S532" i="17" s="1"/>
  <c r="R1913" i="17"/>
  <c r="S1913" i="17" s="1"/>
  <c r="R1256" i="17"/>
  <c r="S1256" i="17" s="1"/>
  <c r="R1164" i="17"/>
  <c r="S1164" i="17" s="1"/>
  <c r="R1916" i="17"/>
  <c r="S1916" i="17" s="1"/>
  <c r="R1917" i="17"/>
  <c r="S1917" i="17" s="1"/>
  <c r="R1918" i="17"/>
  <c r="S1918" i="17" s="1"/>
  <c r="R1919" i="17"/>
  <c r="S1919" i="17" s="1"/>
  <c r="R1920" i="17"/>
  <c r="S1920" i="17" s="1"/>
  <c r="R1921" i="17"/>
  <c r="S1921" i="17" s="1"/>
  <c r="R1922" i="17"/>
  <c r="S1922" i="17" s="1"/>
  <c r="R1923" i="17"/>
  <c r="S1923" i="17" s="1"/>
  <c r="R1295" i="17"/>
  <c r="S1295" i="17" s="1"/>
  <c r="R1925" i="17"/>
  <c r="S1925" i="17" s="1"/>
  <c r="R1926" i="17"/>
  <c r="S1926" i="17" s="1"/>
  <c r="P2" i="17"/>
  <c r="Q2" i="17" s="1"/>
  <c r="P3" i="17"/>
  <c r="Q3" i="17" s="1"/>
  <c r="P4" i="17"/>
  <c r="Q4" i="17" s="1"/>
  <c r="P5" i="17"/>
  <c r="Q5" i="17" s="1"/>
  <c r="P6" i="17"/>
  <c r="Q6" i="17" s="1"/>
  <c r="P7" i="17"/>
  <c r="Q7" i="17" s="1"/>
  <c r="P8" i="17"/>
  <c r="Q8" i="17" s="1"/>
  <c r="P9" i="17"/>
  <c r="Q9" i="17" s="1"/>
  <c r="P10" i="17"/>
  <c r="Q10" i="17" s="1"/>
  <c r="P11" i="17"/>
  <c r="Q11" i="17" s="1"/>
  <c r="P1056" i="17"/>
  <c r="Q1056" i="17" s="1"/>
  <c r="P13" i="17"/>
  <c r="Q13" i="17" s="1"/>
  <c r="P14" i="17"/>
  <c r="Q14" i="17" s="1"/>
  <c r="P15" i="17"/>
  <c r="Q15" i="17" s="1"/>
  <c r="P16" i="17"/>
  <c r="Q16" i="17" s="1"/>
  <c r="P17" i="17"/>
  <c r="Q17" i="17" s="1"/>
  <c r="P1342" i="17"/>
  <c r="Q1342" i="17" s="1"/>
  <c r="P19" i="17"/>
  <c r="Q19" i="17" s="1"/>
  <c r="P20" i="17"/>
  <c r="Q20" i="17" s="1"/>
  <c r="P869" i="17"/>
  <c r="Q869" i="17" s="1"/>
  <c r="P864" i="17"/>
  <c r="Q864" i="17" s="1"/>
  <c r="P23" i="17"/>
  <c r="Q23" i="17" s="1"/>
  <c r="P24" i="17"/>
  <c r="Q24" i="17" s="1"/>
  <c r="P25" i="17"/>
  <c r="Q25" i="17" s="1"/>
  <c r="P26" i="17"/>
  <c r="Q26" i="17" s="1"/>
  <c r="P27" i="17"/>
  <c r="Q27" i="17" s="1"/>
  <c r="P28" i="17"/>
  <c r="Q28" i="17" s="1"/>
  <c r="P365" i="17"/>
  <c r="Q365" i="17" s="1"/>
  <c r="P30" i="17"/>
  <c r="Q30" i="17" s="1"/>
  <c r="P22" i="17"/>
  <c r="Q22" i="17" s="1"/>
  <c r="P1250" i="17"/>
  <c r="Q1250" i="17" s="1"/>
  <c r="P572" i="17"/>
  <c r="Q572" i="17" s="1"/>
  <c r="P34" i="17"/>
  <c r="Q34" i="17" s="1"/>
  <c r="P21" i="17"/>
  <c r="Q21" i="17" s="1"/>
  <c r="P243" i="17"/>
  <c r="Q243" i="17" s="1"/>
  <c r="P37" i="17"/>
  <c r="Q37" i="17" s="1"/>
  <c r="P38" i="17"/>
  <c r="Q38" i="17" s="1"/>
  <c r="P39" i="17"/>
  <c r="Q39" i="17" s="1"/>
  <c r="P40" i="17"/>
  <c r="Q40" i="17" s="1"/>
  <c r="P41" i="17"/>
  <c r="Q41" i="17" s="1"/>
  <c r="P42" i="17"/>
  <c r="Q42" i="17" s="1"/>
  <c r="P43" i="17"/>
  <c r="Q43" i="17" s="1"/>
  <c r="P44" i="17"/>
  <c r="Q44" i="17" s="1"/>
  <c r="P45" i="17"/>
  <c r="Q45" i="17" s="1"/>
  <c r="P46" i="17"/>
  <c r="Q46" i="17" s="1"/>
  <c r="P511" i="17"/>
  <c r="Q511" i="17" s="1"/>
  <c r="P48" i="17"/>
  <c r="Q48" i="17" s="1"/>
  <c r="P49" i="17"/>
  <c r="Q49" i="17" s="1"/>
  <c r="P50" i="17"/>
  <c r="Q50" i="17" s="1"/>
  <c r="P51" i="17"/>
  <c r="Q51" i="17" s="1"/>
  <c r="P52" i="17"/>
  <c r="Q52" i="17" s="1"/>
  <c r="P1903" i="17"/>
  <c r="Q1903" i="17" s="1"/>
  <c r="P54" i="17"/>
  <c r="Q54" i="17" s="1"/>
  <c r="P55" i="17"/>
  <c r="Q55" i="17" s="1"/>
  <c r="P56" i="17"/>
  <c r="Q56" i="17" s="1"/>
  <c r="P57" i="17"/>
  <c r="Q57" i="17" s="1"/>
  <c r="P58" i="17"/>
  <c r="Q58" i="17" s="1"/>
  <c r="P59" i="17"/>
  <c r="Q59" i="17" s="1"/>
  <c r="P60" i="17"/>
  <c r="Q60" i="17" s="1"/>
  <c r="P61" i="17"/>
  <c r="Q61" i="17" s="1"/>
  <c r="P62" i="17"/>
  <c r="Q62" i="17" s="1"/>
  <c r="P63" i="17"/>
  <c r="Q63" i="17" s="1"/>
  <c r="P64" i="17"/>
  <c r="Q64" i="17" s="1"/>
  <c r="P65" i="17"/>
  <c r="Q65" i="17" s="1"/>
  <c r="P463" i="17"/>
  <c r="Q463" i="17" s="1"/>
  <c r="P67" i="17"/>
  <c r="Q67" i="17" s="1"/>
  <c r="P1181" i="17"/>
  <c r="Q1181" i="17" s="1"/>
  <c r="P69" i="17"/>
  <c r="Q69" i="17" s="1"/>
  <c r="P1654" i="17"/>
  <c r="Q1654" i="17" s="1"/>
  <c r="P71" i="17"/>
  <c r="Q71" i="17" s="1"/>
  <c r="P72" i="17"/>
  <c r="Q72" i="17" s="1"/>
  <c r="P73" i="17"/>
  <c r="Q73" i="17" s="1"/>
  <c r="P74" i="17"/>
  <c r="Q74" i="17" s="1"/>
  <c r="P444" i="17"/>
  <c r="Q444" i="17" s="1"/>
  <c r="P76" i="17"/>
  <c r="Q76" i="17" s="1"/>
  <c r="P77" i="17"/>
  <c r="Q77" i="17" s="1"/>
  <c r="P78" i="17"/>
  <c r="Q78" i="17" s="1"/>
  <c r="P79" i="17"/>
  <c r="Q79" i="17" s="1"/>
  <c r="P80" i="17"/>
  <c r="Q80" i="17" s="1"/>
  <c r="P81" i="17"/>
  <c r="Q81" i="17" s="1"/>
  <c r="P82" i="17"/>
  <c r="Q82" i="17" s="1"/>
  <c r="P83" i="17"/>
  <c r="Q83" i="17" s="1"/>
  <c r="P84" i="17"/>
  <c r="Q84" i="17" s="1"/>
  <c r="P1275" i="17"/>
  <c r="Q1275" i="17" s="1"/>
  <c r="P86" i="17"/>
  <c r="Q86" i="17" s="1"/>
  <c r="P87" i="17"/>
  <c r="Q87" i="17" s="1"/>
  <c r="P88" i="17"/>
  <c r="Q88" i="17" s="1"/>
  <c r="P1715" i="17"/>
  <c r="Q1715" i="17" s="1"/>
  <c r="P90" i="17"/>
  <c r="Q90" i="17" s="1"/>
  <c r="P91" i="17"/>
  <c r="Q91" i="17" s="1"/>
  <c r="P92" i="17"/>
  <c r="Q92" i="17" s="1"/>
  <c r="P93" i="17"/>
  <c r="Q93" i="17" s="1"/>
  <c r="P94" i="17"/>
  <c r="Q94" i="17" s="1"/>
  <c r="P95" i="17"/>
  <c r="Q95" i="17" s="1"/>
  <c r="P96" i="17"/>
  <c r="Q96" i="17" s="1"/>
  <c r="P97" i="17"/>
  <c r="Q97" i="17" s="1"/>
  <c r="P1891" i="17"/>
  <c r="Q1891" i="17" s="1"/>
  <c r="P99" i="17"/>
  <c r="Q99" i="17" s="1"/>
  <c r="P100" i="17"/>
  <c r="Q100" i="17" s="1"/>
  <c r="P554" i="17"/>
  <c r="Q554" i="17" s="1"/>
  <c r="P684" i="17"/>
  <c r="Q684" i="17" s="1"/>
  <c r="P103" i="17"/>
  <c r="Q103" i="17" s="1"/>
  <c r="P104" i="17"/>
  <c r="Q104" i="17" s="1"/>
  <c r="P105" i="17"/>
  <c r="Q105" i="17" s="1"/>
  <c r="P106" i="17"/>
  <c r="Q106" i="17" s="1"/>
  <c r="P793" i="17"/>
  <c r="Q793" i="17" s="1"/>
  <c r="P108" i="17"/>
  <c r="Q108" i="17" s="1"/>
  <c r="P563" i="17"/>
  <c r="Q563" i="17" s="1"/>
  <c r="P110" i="17"/>
  <c r="Q110" i="17" s="1"/>
  <c r="P111" i="17"/>
  <c r="Q111" i="17" s="1"/>
  <c r="P112" i="17"/>
  <c r="Q112" i="17" s="1"/>
  <c r="P113" i="17"/>
  <c r="Q113" i="17" s="1"/>
  <c r="P114" i="17"/>
  <c r="Q114" i="17" s="1"/>
  <c r="P115" i="17"/>
  <c r="Q115" i="17" s="1"/>
  <c r="P116" i="17"/>
  <c r="Q116" i="17" s="1"/>
  <c r="P117" i="17"/>
  <c r="Q117" i="17" s="1"/>
  <c r="P118" i="17"/>
  <c r="Q118" i="17" s="1"/>
  <c r="P119" i="17"/>
  <c r="Q119" i="17" s="1"/>
  <c r="P1707" i="17"/>
  <c r="Q1707" i="17" s="1"/>
  <c r="P121" i="17"/>
  <c r="Q121" i="17" s="1"/>
  <c r="P210" i="17"/>
  <c r="Q210" i="17" s="1"/>
  <c r="P123" i="17"/>
  <c r="Q123" i="17" s="1"/>
  <c r="P124" i="17"/>
  <c r="Q124" i="17" s="1"/>
  <c r="P125" i="17"/>
  <c r="Q125" i="17" s="1"/>
  <c r="P126" i="17"/>
  <c r="Q126" i="17" s="1"/>
  <c r="P127" i="17"/>
  <c r="Q127" i="17" s="1"/>
  <c r="P128" i="17"/>
  <c r="Q128" i="17" s="1"/>
  <c r="P129" i="17"/>
  <c r="Q129" i="17" s="1"/>
  <c r="P130" i="17"/>
  <c r="Q130" i="17" s="1"/>
  <c r="P799" i="17"/>
  <c r="Q799" i="17" s="1"/>
  <c r="P398" i="17"/>
  <c r="Q398" i="17" s="1"/>
  <c r="P133" i="17"/>
  <c r="Q133" i="17" s="1"/>
  <c r="P1105" i="17"/>
  <c r="Q1105" i="17" s="1"/>
  <c r="P135" i="17"/>
  <c r="Q135" i="17" s="1"/>
  <c r="P136" i="17"/>
  <c r="Q136" i="17" s="1"/>
  <c r="P137" i="17"/>
  <c r="Q137" i="17" s="1"/>
  <c r="P138" i="17"/>
  <c r="Q138" i="17" s="1"/>
  <c r="P1031" i="17"/>
  <c r="Q1031" i="17" s="1"/>
  <c r="P140" i="17"/>
  <c r="Q140" i="17" s="1"/>
  <c r="P141" i="17"/>
  <c r="Q141" i="17" s="1"/>
  <c r="P142" i="17"/>
  <c r="Q142" i="17" s="1"/>
  <c r="P1558" i="17"/>
  <c r="Q1558" i="17" s="1"/>
  <c r="P144" i="17"/>
  <c r="Q144" i="17" s="1"/>
  <c r="P145" i="17"/>
  <c r="Q145" i="17" s="1"/>
  <c r="P146" i="17"/>
  <c r="Q146" i="17" s="1"/>
  <c r="P147" i="17"/>
  <c r="Q147" i="17" s="1"/>
  <c r="P148" i="17"/>
  <c r="Q148" i="17" s="1"/>
  <c r="P1429" i="17"/>
  <c r="Q1429" i="17" s="1"/>
  <c r="P150" i="17"/>
  <c r="Q150" i="17" s="1"/>
  <c r="P151" i="17"/>
  <c r="Q151" i="17" s="1"/>
  <c r="P89" i="17"/>
  <c r="Q89" i="17" s="1"/>
  <c r="P153" i="17"/>
  <c r="Q153" i="17" s="1"/>
  <c r="P154" i="17"/>
  <c r="Q154" i="17" s="1"/>
  <c r="P155" i="17"/>
  <c r="Q155" i="17" s="1"/>
  <c r="P156" i="17"/>
  <c r="Q156" i="17" s="1"/>
  <c r="P298" i="17"/>
  <c r="Q298" i="17" s="1"/>
  <c r="P583" i="17"/>
  <c r="Q583" i="17" s="1"/>
  <c r="P159" i="17"/>
  <c r="Q159" i="17" s="1"/>
  <c r="P160" i="17"/>
  <c r="Q160" i="17" s="1"/>
  <c r="P161" i="17"/>
  <c r="Q161" i="17" s="1"/>
  <c r="P1757" i="17"/>
  <c r="Q1757" i="17" s="1"/>
  <c r="P163" i="17"/>
  <c r="Q163" i="17" s="1"/>
  <c r="P164" i="17"/>
  <c r="Q164" i="17" s="1"/>
  <c r="P165" i="17"/>
  <c r="Q165" i="17" s="1"/>
  <c r="P166" i="17"/>
  <c r="Q166" i="17" s="1"/>
  <c r="P167" i="17"/>
  <c r="Q167" i="17" s="1"/>
  <c r="P168" i="17"/>
  <c r="Q168" i="17" s="1"/>
  <c r="P169" i="17"/>
  <c r="Q169" i="17" s="1"/>
  <c r="P170" i="17"/>
  <c r="Q170" i="17" s="1"/>
  <c r="P171" i="17"/>
  <c r="Q171" i="17" s="1"/>
  <c r="P172" i="17"/>
  <c r="Q172" i="17" s="1"/>
  <c r="P173" i="17"/>
  <c r="Q173" i="17" s="1"/>
  <c r="P174" i="17"/>
  <c r="Q174" i="17" s="1"/>
  <c r="P175" i="17"/>
  <c r="Q175" i="17" s="1"/>
  <c r="P176" i="17"/>
  <c r="Q176" i="17" s="1"/>
  <c r="P177" i="17"/>
  <c r="Q177" i="17" s="1"/>
  <c r="P271" i="17"/>
  <c r="Q271" i="17" s="1"/>
  <c r="P179" i="17"/>
  <c r="Q179" i="17" s="1"/>
  <c r="P1653" i="17"/>
  <c r="Q1653" i="17" s="1"/>
  <c r="P181" i="17"/>
  <c r="Q181" i="17" s="1"/>
  <c r="P403" i="17"/>
  <c r="Q403" i="17" s="1"/>
  <c r="P183" i="17"/>
  <c r="Q183" i="17" s="1"/>
  <c r="P184" i="17"/>
  <c r="Q184" i="17" s="1"/>
  <c r="P185" i="17"/>
  <c r="Q185" i="17" s="1"/>
  <c r="P1138" i="17"/>
  <c r="Q1138" i="17" s="1"/>
  <c r="P187" i="17"/>
  <c r="Q187" i="17" s="1"/>
  <c r="P143" i="17"/>
  <c r="Q143" i="17" s="1"/>
  <c r="P189" i="17"/>
  <c r="Q189" i="17" s="1"/>
  <c r="P301" i="17"/>
  <c r="Q301" i="17" s="1"/>
  <c r="P191" i="17"/>
  <c r="Q191" i="17" s="1"/>
  <c r="P192" i="17"/>
  <c r="Q192" i="17" s="1"/>
  <c r="P193" i="17"/>
  <c r="Q193" i="17" s="1"/>
  <c r="P194" i="17"/>
  <c r="Q194" i="17" s="1"/>
  <c r="P195" i="17"/>
  <c r="Q195" i="17" s="1"/>
  <c r="P196" i="17"/>
  <c r="Q196" i="17" s="1"/>
  <c r="P197" i="17"/>
  <c r="Q197" i="17" s="1"/>
  <c r="P198" i="17"/>
  <c r="Q198" i="17" s="1"/>
  <c r="P158" i="17"/>
  <c r="Q158" i="17" s="1"/>
  <c r="P200" i="17"/>
  <c r="Q200" i="17" s="1"/>
  <c r="P201" i="17"/>
  <c r="Q201" i="17" s="1"/>
  <c r="P202" i="17"/>
  <c r="Q202" i="17" s="1"/>
  <c r="P203" i="17"/>
  <c r="Q203" i="17" s="1"/>
  <c r="P204" i="17"/>
  <c r="Q204" i="17" s="1"/>
  <c r="P447" i="17"/>
  <c r="Q447" i="17" s="1"/>
  <c r="P205" i="17"/>
  <c r="Q205" i="17" s="1"/>
  <c r="P446" i="17"/>
  <c r="Q446" i="17" s="1"/>
  <c r="P208" i="17"/>
  <c r="Q208" i="17" s="1"/>
  <c r="P209" i="17"/>
  <c r="Q209" i="17" s="1"/>
  <c r="P487" i="17"/>
  <c r="Q487" i="17" s="1"/>
  <c r="P211" i="17"/>
  <c r="Q211" i="17" s="1"/>
  <c r="P212" i="17"/>
  <c r="Q212" i="17" s="1"/>
  <c r="P213" i="17"/>
  <c r="Q213" i="17" s="1"/>
  <c r="P214" i="17"/>
  <c r="Q214" i="17" s="1"/>
  <c r="P215" i="17"/>
  <c r="Q215" i="17" s="1"/>
  <c r="P216" i="17"/>
  <c r="Q216" i="17" s="1"/>
  <c r="P847" i="17"/>
  <c r="Q847" i="17" s="1"/>
  <c r="P218" i="17"/>
  <c r="Q218" i="17" s="1"/>
  <c r="P219" i="17"/>
  <c r="Q219" i="17" s="1"/>
  <c r="P220" i="17"/>
  <c r="Q220" i="17" s="1"/>
  <c r="P1118" i="17"/>
  <c r="Q1118" i="17" s="1"/>
  <c r="P1212" i="17"/>
  <c r="Q1212" i="17" s="1"/>
  <c r="P223" i="17"/>
  <c r="Q223" i="17" s="1"/>
  <c r="P224" i="17"/>
  <c r="Q224" i="17" s="1"/>
  <c r="P225" i="17"/>
  <c r="Q225" i="17" s="1"/>
  <c r="P226" i="17"/>
  <c r="Q226" i="17" s="1"/>
  <c r="P227" i="17"/>
  <c r="Q227" i="17" s="1"/>
  <c r="P1387" i="17"/>
  <c r="Q1387" i="17" s="1"/>
  <c r="P229" i="17"/>
  <c r="Q229" i="17" s="1"/>
  <c r="P230" i="17"/>
  <c r="Q230" i="17" s="1"/>
  <c r="P231" i="17"/>
  <c r="Q231" i="17" s="1"/>
  <c r="P808" i="17"/>
  <c r="Q808" i="17" s="1"/>
  <c r="P233" i="17"/>
  <c r="Q233" i="17" s="1"/>
  <c r="P234" i="17"/>
  <c r="Q234" i="17" s="1"/>
  <c r="P471" i="17"/>
  <c r="Q471" i="17" s="1"/>
  <c r="P236" i="17"/>
  <c r="Q236" i="17" s="1"/>
  <c r="P237" i="17"/>
  <c r="Q237" i="17" s="1"/>
  <c r="P238" i="17"/>
  <c r="Q238" i="17" s="1"/>
  <c r="P239" i="17"/>
  <c r="Q239" i="17" s="1"/>
  <c r="P240" i="17"/>
  <c r="Q240" i="17" s="1"/>
  <c r="P241" i="17"/>
  <c r="Q241" i="17" s="1"/>
  <c r="P1289" i="17"/>
  <c r="Q1289" i="17" s="1"/>
  <c r="P269" i="17"/>
  <c r="Q269" i="17" s="1"/>
  <c r="P1033" i="17"/>
  <c r="Q1033" i="17" s="1"/>
  <c r="P245" i="17"/>
  <c r="Q245" i="17" s="1"/>
  <c r="P190" i="17"/>
  <c r="Q190" i="17" s="1"/>
  <c r="P247" i="17"/>
  <c r="Q247" i="17" s="1"/>
  <c r="P248" i="17"/>
  <c r="Q248" i="17" s="1"/>
  <c r="P249" i="17"/>
  <c r="Q249" i="17" s="1"/>
  <c r="P250" i="17"/>
  <c r="Q250" i="17" s="1"/>
  <c r="P251" i="17"/>
  <c r="Q251" i="17" s="1"/>
  <c r="P252" i="17"/>
  <c r="Q252" i="17" s="1"/>
  <c r="P253" i="17"/>
  <c r="Q253" i="17" s="1"/>
  <c r="P254" i="17"/>
  <c r="Q254" i="17" s="1"/>
  <c r="P255" i="17"/>
  <c r="Q255" i="17" s="1"/>
  <c r="P256" i="17"/>
  <c r="Q256" i="17" s="1"/>
  <c r="P257" i="17"/>
  <c r="Q257" i="17" s="1"/>
  <c r="P258" i="17"/>
  <c r="Q258" i="17" s="1"/>
  <c r="P259" i="17"/>
  <c r="Q259" i="17" s="1"/>
  <c r="P785" i="17"/>
  <c r="Q785" i="17" s="1"/>
  <c r="P261" i="17"/>
  <c r="Q261" i="17" s="1"/>
  <c r="P262" i="17"/>
  <c r="Q262" i="17" s="1"/>
  <c r="P263" i="17"/>
  <c r="Q263" i="17" s="1"/>
  <c r="P264" i="17"/>
  <c r="Q264" i="17" s="1"/>
  <c r="P265" i="17"/>
  <c r="Q265" i="17" s="1"/>
  <c r="P266" i="17"/>
  <c r="Q266" i="17" s="1"/>
  <c r="P267" i="17"/>
  <c r="Q267" i="17" s="1"/>
  <c r="P268" i="17"/>
  <c r="Q268" i="17" s="1"/>
  <c r="P33" i="17"/>
  <c r="Q33" i="17" s="1"/>
  <c r="P270" i="17"/>
  <c r="Q270" i="17" s="1"/>
  <c r="P579" i="17"/>
  <c r="Q579" i="17" s="1"/>
  <c r="P272" i="17"/>
  <c r="Q272" i="17" s="1"/>
  <c r="P273" i="17"/>
  <c r="Q273" i="17" s="1"/>
  <c r="P274" i="17"/>
  <c r="Q274" i="17" s="1"/>
  <c r="P275" i="17"/>
  <c r="Q275" i="17" s="1"/>
  <c r="P276" i="17"/>
  <c r="Q276" i="17" s="1"/>
  <c r="P277" i="17"/>
  <c r="Q277" i="17" s="1"/>
  <c r="P278" i="17"/>
  <c r="Q278" i="17" s="1"/>
  <c r="P279" i="17"/>
  <c r="Q279" i="17" s="1"/>
  <c r="P280" i="17"/>
  <c r="Q280" i="17" s="1"/>
  <c r="P281" i="17"/>
  <c r="Q281" i="17" s="1"/>
  <c r="P282" i="17"/>
  <c r="Q282" i="17" s="1"/>
  <c r="P1248" i="17"/>
  <c r="Q1248" i="17" s="1"/>
  <c r="P284" i="17"/>
  <c r="Q284" i="17" s="1"/>
  <c r="P285" i="17"/>
  <c r="Q285" i="17" s="1"/>
  <c r="P286" i="17"/>
  <c r="Q286" i="17" s="1"/>
  <c r="P287" i="17"/>
  <c r="Q287" i="17" s="1"/>
  <c r="P288" i="17"/>
  <c r="Q288" i="17" s="1"/>
  <c r="P289" i="17"/>
  <c r="Q289" i="17" s="1"/>
  <c r="P290" i="17"/>
  <c r="Q290" i="17" s="1"/>
  <c r="P291" i="17"/>
  <c r="Q291" i="17" s="1"/>
  <c r="P292" i="17"/>
  <c r="Q292" i="17" s="1"/>
  <c r="P1719" i="17"/>
  <c r="Q1719" i="17" s="1"/>
  <c r="P332" i="17"/>
  <c r="Q332" i="17" s="1"/>
  <c r="P295" i="17"/>
  <c r="Q295" i="17" s="1"/>
  <c r="P1842" i="17"/>
  <c r="Q1842" i="17" s="1"/>
  <c r="P297" i="17"/>
  <c r="Q297" i="17" s="1"/>
  <c r="P539" i="17"/>
  <c r="Q539" i="17" s="1"/>
  <c r="P299" i="17"/>
  <c r="Q299" i="17" s="1"/>
  <c r="P207" i="17"/>
  <c r="Q207" i="17" s="1"/>
  <c r="P1023" i="17"/>
  <c r="Q1023" i="17" s="1"/>
  <c r="P302" i="17"/>
  <c r="Q302" i="17" s="1"/>
  <c r="P908" i="17"/>
  <c r="Q908" i="17" s="1"/>
  <c r="P304" i="17"/>
  <c r="Q304" i="17" s="1"/>
  <c r="P1160" i="17"/>
  <c r="Q1160" i="17" s="1"/>
  <c r="P1334" i="17"/>
  <c r="Q1334" i="17" s="1"/>
  <c r="P307" i="17"/>
  <c r="Q307" i="17" s="1"/>
  <c r="P308" i="17"/>
  <c r="Q308" i="17" s="1"/>
  <c r="P309" i="17"/>
  <c r="Q309" i="17" s="1"/>
  <c r="P310" i="17"/>
  <c r="Q310" i="17" s="1"/>
  <c r="P311" i="17"/>
  <c r="Q311" i="17" s="1"/>
  <c r="P884" i="17"/>
  <c r="Q884" i="17" s="1"/>
  <c r="P313" i="17"/>
  <c r="Q313" i="17" s="1"/>
  <c r="P314" i="17"/>
  <c r="Q314" i="17" s="1"/>
  <c r="P315" i="17"/>
  <c r="Q315" i="17" s="1"/>
  <c r="P316" i="17"/>
  <c r="Q316" i="17" s="1"/>
  <c r="P317" i="17"/>
  <c r="Q317" i="17" s="1"/>
  <c r="P318" i="17"/>
  <c r="Q318" i="17" s="1"/>
  <c r="P319" i="17"/>
  <c r="Q319" i="17" s="1"/>
  <c r="P713" i="17"/>
  <c r="Q713" i="17" s="1"/>
  <c r="P321" i="17"/>
  <c r="Q321" i="17" s="1"/>
  <c r="P322" i="17"/>
  <c r="Q322" i="17" s="1"/>
  <c r="P323" i="17"/>
  <c r="Q323" i="17" s="1"/>
  <c r="P324" i="17"/>
  <c r="Q324" i="17" s="1"/>
  <c r="P325" i="17"/>
  <c r="Q325" i="17" s="1"/>
  <c r="P565" i="17"/>
  <c r="Q565" i="17" s="1"/>
  <c r="P1836" i="17"/>
  <c r="Q1836" i="17" s="1"/>
  <c r="P328" i="17"/>
  <c r="Q328" i="17" s="1"/>
  <c r="P329" i="17"/>
  <c r="Q329" i="17" s="1"/>
  <c r="P330" i="17"/>
  <c r="Q330" i="17" s="1"/>
  <c r="P331" i="17"/>
  <c r="Q331" i="17" s="1"/>
  <c r="P1111" i="17"/>
  <c r="Q1111" i="17" s="1"/>
  <c r="P1398" i="17"/>
  <c r="Q1398" i="17" s="1"/>
  <c r="P334" i="17"/>
  <c r="Q334" i="17" s="1"/>
  <c r="P335" i="17"/>
  <c r="Q335" i="17" s="1"/>
  <c r="P336" i="17"/>
  <c r="Q336" i="17" s="1"/>
  <c r="P337" i="17"/>
  <c r="Q337" i="17" s="1"/>
  <c r="P1767" i="17"/>
  <c r="Q1767" i="17" s="1"/>
  <c r="P339" i="17"/>
  <c r="Q339" i="17" s="1"/>
  <c r="P340" i="17"/>
  <c r="Q340" i="17" s="1"/>
  <c r="P341" i="17"/>
  <c r="Q341" i="17" s="1"/>
  <c r="P342" i="17"/>
  <c r="Q342" i="17" s="1"/>
  <c r="P343" i="17"/>
  <c r="Q343" i="17" s="1"/>
  <c r="P344" i="17"/>
  <c r="Q344" i="17" s="1"/>
  <c r="P1386" i="17"/>
  <c r="Q1386" i="17" s="1"/>
  <c r="P346" i="17"/>
  <c r="Q346" i="17" s="1"/>
  <c r="P1596" i="17"/>
  <c r="Q1596" i="17" s="1"/>
  <c r="P348" i="17"/>
  <c r="Q348" i="17" s="1"/>
  <c r="P349" i="17"/>
  <c r="Q349" i="17" s="1"/>
  <c r="P152" i="17"/>
  <c r="Q152" i="17" s="1"/>
  <c r="P1065" i="17"/>
  <c r="Q1065" i="17" s="1"/>
  <c r="P352" i="17"/>
  <c r="Q352" i="17" s="1"/>
  <c r="P1771" i="17"/>
  <c r="Q1771" i="17" s="1"/>
  <c r="P440" i="17"/>
  <c r="Q440" i="17" s="1"/>
  <c r="P1800" i="17"/>
  <c r="Q1800" i="17" s="1"/>
  <c r="P356" i="17"/>
  <c r="Q356" i="17" s="1"/>
  <c r="P357" i="17"/>
  <c r="Q357" i="17" s="1"/>
  <c r="P358" i="17"/>
  <c r="Q358" i="17" s="1"/>
  <c r="P122" i="17"/>
  <c r="Q122" i="17" s="1"/>
  <c r="P360" i="17"/>
  <c r="Q360" i="17" s="1"/>
  <c r="P361" i="17"/>
  <c r="Q361" i="17" s="1"/>
  <c r="P1302" i="17"/>
  <c r="Q1302" i="17" s="1"/>
  <c r="P363" i="17"/>
  <c r="Q363" i="17" s="1"/>
  <c r="P364" i="17"/>
  <c r="Q364" i="17" s="1"/>
  <c r="P541" i="17"/>
  <c r="Q541" i="17" s="1"/>
  <c r="P1228" i="17"/>
  <c r="Q1228" i="17" s="1"/>
  <c r="P367" i="17"/>
  <c r="Q367" i="17" s="1"/>
  <c r="P354" i="17"/>
  <c r="Q354" i="17" s="1"/>
  <c r="P369" i="17"/>
  <c r="Q369" i="17" s="1"/>
  <c r="P370" i="17"/>
  <c r="Q370" i="17" s="1"/>
  <c r="P580" i="17"/>
  <c r="Q580" i="17" s="1"/>
  <c r="P372" i="17"/>
  <c r="Q372" i="17" s="1"/>
  <c r="P373" i="17"/>
  <c r="Q373" i="17" s="1"/>
  <c r="P374" i="17"/>
  <c r="Q374" i="17" s="1"/>
  <c r="P375" i="17"/>
  <c r="Q375" i="17" s="1"/>
  <c r="P376" i="17"/>
  <c r="Q376" i="17" s="1"/>
  <c r="P186" i="17"/>
  <c r="Q186" i="17" s="1"/>
  <c r="P378" i="17"/>
  <c r="Q378" i="17" s="1"/>
  <c r="P379" i="17"/>
  <c r="Q379" i="17" s="1"/>
  <c r="P380" i="17"/>
  <c r="Q380" i="17" s="1"/>
  <c r="P29" i="17"/>
  <c r="Q29" i="17" s="1"/>
  <c r="P382" i="17"/>
  <c r="Q382" i="17" s="1"/>
  <c r="P383" i="17"/>
  <c r="Q383" i="17" s="1"/>
  <c r="P384" i="17"/>
  <c r="Q384" i="17" s="1"/>
  <c r="P385" i="17"/>
  <c r="Q385" i="17" s="1"/>
  <c r="P386" i="17"/>
  <c r="Q386" i="17" s="1"/>
  <c r="P387" i="17"/>
  <c r="Q387" i="17" s="1"/>
  <c r="P388" i="17"/>
  <c r="Q388" i="17" s="1"/>
  <c r="P389" i="17"/>
  <c r="Q389" i="17" s="1"/>
  <c r="P390" i="17"/>
  <c r="Q390" i="17" s="1"/>
  <c r="P391" i="17"/>
  <c r="Q391" i="17" s="1"/>
  <c r="P392" i="17"/>
  <c r="Q392" i="17" s="1"/>
  <c r="P393" i="17"/>
  <c r="Q393" i="17" s="1"/>
  <c r="P394" i="17"/>
  <c r="Q394" i="17" s="1"/>
  <c r="P395" i="17"/>
  <c r="Q395" i="17" s="1"/>
  <c r="P396" i="17"/>
  <c r="Q396" i="17" s="1"/>
  <c r="P397" i="17"/>
  <c r="Q397" i="17" s="1"/>
  <c r="P139" i="17"/>
  <c r="Q139" i="17" s="1"/>
  <c r="P399" i="17"/>
  <c r="Q399" i="17" s="1"/>
  <c r="P400" i="17"/>
  <c r="Q400" i="17" s="1"/>
  <c r="P246" i="17"/>
  <c r="Q246" i="17" s="1"/>
  <c r="P402" i="17"/>
  <c r="Q402" i="17" s="1"/>
  <c r="P483" i="17"/>
  <c r="Q483" i="17" s="1"/>
  <c r="P404" i="17"/>
  <c r="Q404" i="17" s="1"/>
  <c r="P405" i="17"/>
  <c r="Q405" i="17" s="1"/>
  <c r="P406" i="17"/>
  <c r="Q406" i="17" s="1"/>
  <c r="P407" i="17"/>
  <c r="Q407" i="17" s="1"/>
  <c r="P408" i="17"/>
  <c r="Q408" i="17" s="1"/>
  <c r="P409" i="17"/>
  <c r="Q409" i="17" s="1"/>
  <c r="P410" i="17"/>
  <c r="Q410" i="17" s="1"/>
  <c r="P411" i="17"/>
  <c r="Q411" i="17" s="1"/>
  <c r="P412" i="17"/>
  <c r="Q412" i="17" s="1"/>
  <c r="P296" i="17"/>
  <c r="Q296" i="17" s="1"/>
  <c r="P414" i="17"/>
  <c r="Q414" i="17" s="1"/>
  <c r="P415" i="17"/>
  <c r="Q415" i="17" s="1"/>
  <c r="P416" i="17"/>
  <c r="Q416" i="17" s="1"/>
  <c r="P417" i="17"/>
  <c r="Q417" i="17" s="1"/>
  <c r="P418" i="17"/>
  <c r="Q418" i="17" s="1"/>
  <c r="P724" i="17"/>
  <c r="Q724" i="17" s="1"/>
  <c r="P420" i="17"/>
  <c r="Q420" i="17" s="1"/>
  <c r="P421" i="17"/>
  <c r="Q421" i="17" s="1"/>
  <c r="P422" i="17"/>
  <c r="Q422" i="17" s="1"/>
  <c r="P423" i="17"/>
  <c r="Q423" i="17" s="1"/>
  <c r="P424" i="17"/>
  <c r="Q424" i="17" s="1"/>
  <c r="P425" i="17"/>
  <c r="Q425" i="17" s="1"/>
  <c r="P426" i="17"/>
  <c r="Q426" i="17" s="1"/>
  <c r="P427" i="17"/>
  <c r="Q427" i="17" s="1"/>
  <c r="P428" i="17"/>
  <c r="Q428" i="17" s="1"/>
  <c r="P429" i="17"/>
  <c r="Q429" i="17" s="1"/>
  <c r="P430" i="17"/>
  <c r="Q430" i="17" s="1"/>
  <c r="P431" i="17"/>
  <c r="Q431" i="17" s="1"/>
  <c r="P432" i="17"/>
  <c r="Q432" i="17" s="1"/>
  <c r="P433" i="17"/>
  <c r="Q433" i="17" s="1"/>
  <c r="P434" i="17"/>
  <c r="Q434" i="17" s="1"/>
  <c r="P692" i="17"/>
  <c r="Q692" i="17" s="1"/>
  <c r="P436" i="17"/>
  <c r="Q436" i="17" s="1"/>
  <c r="P437" i="17"/>
  <c r="Q437" i="17" s="1"/>
  <c r="P438" i="17"/>
  <c r="Q438" i="17" s="1"/>
  <c r="P439" i="17"/>
  <c r="Q439" i="17" s="1"/>
  <c r="P98" i="17"/>
  <c r="Q98" i="17" s="1"/>
  <c r="P1720" i="17"/>
  <c r="Q1720" i="17" s="1"/>
  <c r="P442" i="17"/>
  <c r="Q442" i="17" s="1"/>
  <c r="P443" i="17"/>
  <c r="Q443" i="17" s="1"/>
  <c r="P1267" i="17"/>
  <c r="Q1267" i="17" s="1"/>
  <c r="P445" i="17"/>
  <c r="Q445" i="17" s="1"/>
  <c r="P1359" i="17"/>
  <c r="Q1359" i="17" s="1"/>
  <c r="P1586" i="17"/>
  <c r="Q1586" i="17" s="1"/>
  <c r="P448" i="17"/>
  <c r="Q448" i="17" s="1"/>
  <c r="P449" i="17"/>
  <c r="Q449" i="17" s="1"/>
  <c r="P450" i="17"/>
  <c r="Q450" i="17" s="1"/>
  <c r="P451" i="17"/>
  <c r="Q451" i="17" s="1"/>
  <c r="P1773" i="17"/>
  <c r="Q1773" i="17" s="1"/>
  <c r="P453" i="17"/>
  <c r="Q453" i="17" s="1"/>
  <c r="P454" i="17"/>
  <c r="Q454" i="17" s="1"/>
  <c r="P455" i="17"/>
  <c r="Q455" i="17" s="1"/>
  <c r="P456" i="17"/>
  <c r="Q456" i="17" s="1"/>
  <c r="P457" i="17"/>
  <c r="Q457" i="17" s="1"/>
  <c r="P458" i="17"/>
  <c r="Q458" i="17" s="1"/>
  <c r="P459" i="17"/>
  <c r="Q459" i="17" s="1"/>
  <c r="P460" i="17"/>
  <c r="Q460" i="17" s="1"/>
  <c r="P461" i="17"/>
  <c r="Q461" i="17" s="1"/>
  <c r="P462" i="17"/>
  <c r="Q462" i="17" s="1"/>
  <c r="P593" i="17"/>
  <c r="Q593" i="17" s="1"/>
  <c r="P464" i="17"/>
  <c r="Q464" i="17" s="1"/>
  <c r="P465" i="17"/>
  <c r="Q465" i="17" s="1"/>
  <c r="P466" i="17"/>
  <c r="Q466" i="17" s="1"/>
  <c r="P182" i="17"/>
  <c r="Q182" i="17" s="1"/>
  <c r="P468" i="17"/>
  <c r="Q468" i="17" s="1"/>
  <c r="P469" i="17"/>
  <c r="Q469" i="17" s="1"/>
  <c r="P470" i="17"/>
  <c r="Q470" i="17" s="1"/>
  <c r="P1389" i="17"/>
  <c r="Q1389" i="17" s="1"/>
  <c r="P1914" i="17"/>
  <c r="Q1914" i="17" s="1"/>
  <c r="P473" i="17"/>
  <c r="Q473" i="17" s="1"/>
  <c r="P333" i="17"/>
  <c r="Q333" i="17" s="1"/>
  <c r="P475" i="17"/>
  <c r="Q475" i="17" s="1"/>
  <c r="P476" i="17"/>
  <c r="Q476" i="17" s="1"/>
  <c r="P477" i="17"/>
  <c r="Q477" i="17" s="1"/>
  <c r="P478" i="17"/>
  <c r="Q478" i="17" s="1"/>
  <c r="P1087" i="17"/>
  <c r="Q1087" i="17" s="1"/>
  <c r="P480" i="17"/>
  <c r="Q480" i="17" s="1"/>
  <c r="P481" i="17"/>
  <c r="Q481" i="17" s="1"/>
  <c r="P482" i="17"/>
  <c r="Q482" i="17" s="1"/>
  <c r="P1158" i="17"/>
  <c r="Q1158" i="17" s="1"/>
  <c r="P484" i="17"/>
  <c r="Q484" i="17" s="1"/>
  <c r="P646" i="17"/>
  <c r="Q646" i="17" s="1"/>
  <c r="P486" i="17"/>
  <c r="Q486" i="17" s="1"/>
  <c r="P1076" i="17"/>
  <c r="Q1076" i="17" s="1"/>
  <c r="P934" i="17"/>
  <c r="Q934" i="17" s="1"/>
  <c r="P489" i="17"/>
  <c r="Q489" i="17" s="1"/>
  <c r="P490" i="17"/>
  <c r="Q490" i="17" s="1"/>
  <c r="P491" i="17"/>
  <c r="Q491" i="17" s="1"/>
  <c r="P1608" i="17"/>
  <c r="Q1608" i="17" s="1"/>
  <c r="P493" i="17"/>
  <c r="Q493" i="17" s="1"/>
  <c r="P494" i="17"/>
  <c r="Q494" i="17" s="1"/>
  <c r="P1795" i="17"/>
  <c r="Q1795" i="17" s="1"/>
  <c r="P508" i="17"/>
  <c r="Q508" i="17" s="1"/>
  <c r="P497" i="17"/>
  <c r="Q497" i="17" s="1"/>
  <c r="P498" i="17"/>
  <c r="Q498" i="17" s="1"/>
  <c r="P499" i="17"/>
  <c r="Q499" i="17" s="1"/>
  <c r="P500" i="17"/>
  <c r="Q500" i="17" s="1"/>
  <c r="P501" i="17"/>
  <c r="Q501" i="17" s="1"/>
  <c r="P502" i="17"/>
  <c r="Q502" i="17" s="1"/>
  <c r="P503" i="17"/>
  <c r="Q503" i="17" s="1"/>
  <c r="P1420" i="17"/>
  <c r="Q1420" i="17" s="1"/>
  <c r="P505" i="17"/>
  <c r="Q505" i="17" s="1"/>
  <c r="P506" i="17"/>
  <c r="Q506" i="17" s="1"/>
  <c r="P507" i="17"/>
  <c r="Q507" i="17" s="1"/>
  <c r="P962" i="17"/>
  <c r="Q962" i="17" s="1"/>
  <c r="P509" i="17"/>
  <c r="Q509" i="17" s="1"/>
  <c r="P510" i="17"/>
  <c r="Q510" i="17" s="1"/>
  <c r="P1022" i="17"/>
  <c r="Q1022" i="17" s="1"/>
  <c r="P512" i="17"/>
  <c r="Q512" i="17" s="1"/>
  <c r="P513" i="17"/>
  <c r="Q513" i="17" s="1"/>
  <c r="P514" i="17"/>
  <c r="Q514" i="17" s="1"/>
  <c r="P515" i="17"/>
  <c r="Q515" i="17" s="1"/>
  <c r="P516" i="17"/>
  <c r="Q516" i="17" s="1"/>
  <c r="P517" i="17"/>
  <c r="Q517" i="17" s="1"/>
  <c r="P518" i="17"/>
  <c r="Q518" i="17" s="1"/>
  <c r="P519" i="17"/>
  <c r="Q519" i="17" s="1"/>
  <c r="P520" i="17"/>
  <c r="Q520" i="17" s="1"/>
  <c r="P521" i="17"/>
  <c r="Q521" i="17" s="1"/>
  <c r="P522" i="17"/>
  <c r="Q522" i="17" s="1"/>
  <c r="P523" i="17"/>
  <c r="Q523" i="17" s="1"/>
  <c r="P652" i="17"/>
  <c r="Q652" i="17" s="1"/>
  <c r="P525" i="17"/>
  <c r="Q525" i="17" s="1"/>
  <c r="P526" i="17"/>
  <c r="Q526" i="17" s="1"/>
  <c r="P527" i="17"/>
  <c r="Q527" i="17" s="1"/>
  <c r="P528" i="17"/>
  <c r="Q528" i="17" s="1"/>
  <c r="P529" i="17"/>
  <c r="Q529" i="17" s="1"/>
  <c r="P530" i="17"/>
  <c r="Q530" i="17" s="1"/>
  <c r="P1804" i="17"/>
  <c r="Q1804" i="17" s="1"/>
  <c r="P1676" i="17"/>
  <c r="Q1676" i="17" s="1"/>
  <c r="P533" i="17"/>
  <c r="Q533" i="17" s="1"/>
  <c r="P534" i="17"/>
  <c r="Q534" i="17" s="1"/>
  <c r="P535" i="17"/>
  <c r="Q535" i="17" s="1"/>
  <c r="P536" i="17"/>
  <c r="Q536" i="17" s="1"/>
  <c r="P537" i="17"/>
  <c r="Q537" i="17" s="1"/>
  <c r="P538" i="17"/>
  <c r="Q538" i="17" s="1"/>
  <c r="P1445" i="17"/>
  <c r="Q1445" i="17" s="1"/>
  <c r="P540" i="17"/>
  <c r="Q540" i="17" s="1"/>
  <c r="P1368" i="17"/>
  <c r="Q1368" i="17" s="1"/>
  <c r="P542" i="17"/>
  <c r="Q542" i="17" s="1"/>
  <c r="P543" i="17"/>
  <c r="Q543" i="17" s="1"/>
  <c r="P544" i="17"/>
  <c r="Q544" i="17" s="1"/>
  <c r="P1776" i="17"/>
  <c r="Q1776" i="17" s="1"/>
  <c r="P546" i="17"/>
  <c r="Q546" i="17" s="1"/>
  <c r="P547" i="17"/>
  <c r="Q547" i="17" s="1"/>
  <c r="P548" i="17"/>
  <c r="Q548" i="17" s="1"/>
  <c r="P549" i="17"/>
  <c r="Q549" i="17" s="1"/>
  <c r="P550" i="17"/>
  <c r="Q550" i="17" s="1"/>
  <c r="P551" i="17"/>
  <c r="Q551" i="17" s="1"/>
  <c r="P552" i="17"/>
  <c r="Q552" i="17" s="1"/>
  <c r="P553" i="17"/>
  <c r="Q553" i="17" s="1"/>
  <c r="P1073" i="17"/>
  <c r="Q1073" i="17" s="1"/>
  <c r="P555" i="17"/>
  <c r="Q555" i="17" s="1"/>
  <c r="P350" i="17"/>
  <c r="Q350" i="17" s="1"/>
  <c r="P557" i="17"/>
  <c r="Q557" i="17" s="1"/>
  <c r="P359" i="17"/>
  <c r="Q359" i="17" s="1"/>
  <c r="P496" i="17"/>
  <c r="Q496" i="17" s="1"/>
  <c r="P560" i="17"/>
  <c r="Q560" i="17" s="1"/>
  <c r="P561" i="17"/>
  <c r="Q561" i="17" s="1"/>
  <c r="P562" i="17"/>
  <c r="Q562" i="17" s="1"/>
  <c r="P1320" i="17"/>
  <c r="Q1320" i="17" s="1"/>
  <c r="P564" i="17"/>
  <c r="Q564" i="17" s="1"/>
  <c r="P1060" i="17"/>
  <c r="Q1060" i="17" s="1"/>
  <c r="P566" i="17"/>
  <c r="Q566" i="17" s="1"/>
  <c r="P567" i="17"/>
  <c r="Q567" i="17" s="1"/>
  <c r="P568" i="17"/>
  <c r="Q568" i="17" s="1"/>
  <c r="P569" i="17"/>
  <c r="Q569" i="17" s="1"/>
  <c r="P570" i="17"/>
  <c r="Q570" i="17" s="1"/>
  <c r="P571" i="17"/>
  <c r="Q571" i="17" s="1"/>
  <c r="P866" i="17"/>
  <c r="Q866" i="17" s="1"/>
  <c r="P573" i="17"/>
  <c r="Q573" i="17" s="1"/>
  <c r="P574" i="17"/>
  <c r="Q574" i="17" s="1"/>
  <c r="P575" i="17"/>
  <c r="Q575" i="17" s="1"/>
  <c r="P576" i="17"/>
  <c r="Q576" i="17" s="1"/>
  <c r="P577" i="17"/>
  <c r="Q577" i="17" s="1"/>
  <c r="P578" i="17"/>
  <c r="Q578" i="17" s="1"/>
  <c r="P832" i="17"/>
  <c r="Q832" i="17" s="1"/>
  <c r="P306" i="17"/>
  <c r="Q306" i="17" s="1"/>
  <c r="P659" i="17"/>
  <c r="Q659" i="17" s="1"/>
  <c r="P582" i="17"/>
  <c r="Q582" i="17" s="1"/>
  <c r="P1195" i="17"/>
  <c r="Q1195" i="17" s="1"/>
  <c r="P584" i="17"/>
  <c r="Q584" i="17" s="1"/>
  <c r="P1890" i="17"/>
  <c r="Q1890" i="17" s="1"/>
  <c r="P586" i="17"/>
  <c r="Q586" i="17" s="1"/>
  <c r="P587" i="17"/>
  <c r="Q587" i="17" s="1"/>
  <c r="P588" i="17"/>
  <c r="Q588" i="17" s="1"/>
  <c r="P589" i="17"/>
  <c r="Q589" i="17" s="1"/>
  <c r="P479" i="17"/>
  <c r="Q479" i="17" s="1"/>
  <c r="P1748" i="17"/>
  <c r="Q1748" i="17" s="1"/>
  <c r="P592" i="17"/>
  <c r="Q592" i="17" s="1"/>
  <c r="P768" i="17"/>
  <c r="Q768" i="17" s="1"/>
  <c r="P594" i="17"/>
  <c r="Q594" i="17" s="1"/>
  <c r="P595" i="17"/>
  <c r="Q595" i="17" s="1"/>
  <c r="P596" i="17"/>
  <c r="Q596" i="17" s="1"/>
  <c r="P597" i="17"/>
  <c r="Q597" i="17" s="1"/>
  <c r="P598" i="17"/>
  <c r="Q598" i="17" s="1"/>
  <c r="P599" i="17"/>
  <c r="Q599" i="17" s="1"/>
  <c r="P600" i="17"/>
  <c r="Q600" i="17" s="1"/>
  <c r="P601" i="17"/>
  <c r="Q601" i="17" s="1"/>
  <c r="P602" i="17"/>
  <c r="Q602" i="17" s="1"/>
  <c r="P603" i="17"/>
  <c r="Q603" i="17" s="1"/>
  <c r="P604" i="17"/>
  <c r="Q604" i="17" s="1"/>
  <c r="P1607" i="17"/>
  <c r="Q1607" i="17" s="1"/>
  <c r="P606" i="17"/>
  <c r="Q606" i="17" s="1"/>
  <c r="P607" i="17"/>
  <c r="Q607" i="17" s="1"/>
  <c r="P608" i="17"/>
  <c r="Q608" i="17" s="1"/>
  <c r="P609" i="17"/>
  <c r="Q609" i="17" s="1"/>
  <c r="P610" i="17"/>
  <c r="Q610" i="17" s="1"/>
  <c r="P611" i="17"/>
  <c r="Q611" i="17" s="1"/>
  <c r="P612" i="17"/>
  <c r="Q612" i="17" s="1"/>
  <c r="P613" i="17"/>
  <c r="Q613" i="17" s="1"/>
  <c r="P888" i="17"/>
  <c r="Q888" i="17" s="1"/>
  <c r="P615" i="17"/>
  <c r="Q615" i="17" s="1"/>
  <c r="P616" i="17"/>
  <c r="Q616" i="17" s="1"/>
  <c r="P590" i="17"/>
  <c r="Q590" i="17" s="1"/>
  <c r="P618" i="17"/>
  <c r="Q618" i="17" s="1"/>
  <c r="P846" i="17"/>
  <c r="Q846" i="17" s="1"/>
  <c r="P620" i="17"/>
  <c r="Q620" i="17" s="1"/>
  <c r="P621" i="17"/>
  <c r="Q621" i="17" s="1"/>
  <c r="P622" i="17"/>
  <c r="Q622" i="17" s="1"/>
  <c r="P623" i="17"/>
  <c r="Q623" i="17" s="1"/>
  <c r="P1286" i="17"/>
  <c r="Q1286" i="17" s="1"/>
  <c r="P625" i="17"/>
  <c r="Q625" i="17" s="1"/>
  <c r="P626" i="17"/>
  <c r="Q626" i="17" s="1"/>
  <c r="P627" i="17"/>
  <c r="Q627" i="17" s="1"/>
  <c r="P628" i="17"/>
  <c r="Q628" i="17" s="1"/>
  <c r="P629" i="17"/>
  <c r="Q629" i="17" s="1"/>
  <c r="P630" i="17"/>
  <c r="Q630" i="17" s="1"/>
  <c r="P631" i="17"/>
  <c r="Q631" i="17" s="1"/>
  <c r="P368" i="17"/>
  <c r="Q368" i="17" s="1"/>
  <c r="P1468" i="17"/>
  <c r="Q1468" i="17" s="1"/>
  <c r="P634" i="17"/>
  <c r="Q634" i="17" s="1"/>
  <c r="P635" i="17"/>
  <c r="Q635" i="17" s="1"/>
  <c r="P636" i="17"/>
  <c r="Q636" i="17" s="1"/>
  <c r="P362" i="17"/>
  <c r="Q362" i="17" s="1"/>
  <c r="P638" i="17"/>
  <c r="Q638" i="17" s="1"/>
  <c r="P639" i="17"/>
  <c r="Q639" i="17" s="1"/>
  <c r="P694" i="17"/>
  <c r="Q694" i="17" s="1"/>
  <c r="P641" i="17"/>
  <c r="Q641" i="17" s="1"/>
  <c r="P642" i="17"/>
  <c r="Q642" i="17" s="1"/>
  <c r="P643" i="17"/>
  <c r="Q643" i="17" s="1"/>
  <c r="P644" i="17"/>
  <c r="Q644" i="17" s="1"/>
  <c r="P645" i="17"/>
  <c r="Q645" i="17" s="1"/>
  <c r="P920" i="17"/>
  <c r="Q920" i="17" s="1"/>
  <c r="P647" i="17"/>
  <c r="Q647" i="17" s="1"/>
  <c r="P648" i="17"/>
  <c r="Q648" i="17" s="1"/>
  <c r="P649" i="17"/>
  <c r="Q649" i="17" s="1"/>
  <c r="P633" i="17"/>
  <c r="Q633" i="17" s="1"/>
  <c r="P651" i="17"/>
  <c r="Q651" i="17" s="1"/>
  <c r="P581" i="17"/>
  <c r="Q581" i="17" s="1"/>
  <c r="P653" i="17"/>
  <c r="Q653" i="17" s="1"/>
  <c r="P654" i="17"/>
  <c r="Q654" i="17" s="1"/>
  <c r="P655" i="17"/>
  <c r="Q655" i="17" s="1"/>
  <c r="P222" i="17"/>
  <c r="Q222" i="17" s="1"/>
  <c r="P657" i="17"/>
  <c r="Q657" i="17" s="1"/>
  <c r="P658" i="17"/>
  <c r="Q658" i="17" s="1"/>
  <c r="P957" i="17"/>
  <c r="Q957" i="17" s="1"/>
  <c r="P660" i="17"/>
  <c r="Q660" i="17" s="1"/>
  <c r="P661" i="17"/>
  <c r="Q661" i="17" s="1"/>
  <c r="P662" i="17"/>
  <c r="Q662" i="17" s="1"/>
  <c r="P663" i="17"/>
  <c r="Q663" i="17" s="1"/>
  <c r="P664" i="17"/>
  <c r="Q664" i="17" s="1"/>
  <c r="P665" i="17"/>
  <c r="Q665" i="17" s="1"/>
  <c r="P666" i="17"/>
  <c r="Q666" i="17" s="1"/>
  <c r="P667" i="17"/>
  <c r="Q667" i="17" s="1"/>
  <c r="P668" i="17"/>
  <c r="Q668" i="17" s="1"/>
  <c r="P669" i="17"/>
  <c r="Q669" i="17" s="1"/>
  <c r="P670" i="17"/>
  <c r="Q670" i="17" s="1"/>
  <c r="P671" i="17"/>
  <c r="Q671" i="17" s="1"/>
  <c r="P672" i="17"/>
  <c r="Q672" i="17" s="1"/>
  <c r="P790" i="17"/>
  <c r="Q790" i="17" s="1"/>
  <c r="P1864" i="17"/>
  <c r="Q1864" i="17" s="1"/>
  <c r="P675" i="17"/>
  <c r="Q675" i="17" s="1"/>
  <c r="P676" i="17"/>
  <c r="Q676" i="17" s="1"/>
  <c r="P1084" i="17"/>
  <c r="Q1084" i="17" s="1"/>
  <c r="P678" i="17"/>
  <c r="Q678" i="17" s="1"/>
  <c r="P679" i="17"/>
  <c r="Q679" i="17" s="1"/>
  <c r="P680" i="17"/>
  <c r="Q680" i="17" s="1"/>
  <c r="P681" i="17"/>
  <c r="Q681" i="17" s="1"/>
  <c r="P682" i="17"/>
  <c r="Q682" i="17" s="1"/>
  <c r="P683" i="17"/>
  <c r="Q683" i="17" s="1"/>
  <c r="P830" i="17"/>
  <c r="Q830" i="17" s="1"/>
  <c r="P685" i="17"/>
  <c r="Q685" i="17" s="1"/>
  <c r="P686" i="17"/>
  <c r="Q686" i="17" s="1"/>
  <c r="P687" i="17"/>
  <c r="Q687" i="17" s="1"/>
  <c r="P47" i="17"/>
  <c r="Q47" i="17" s="1"/>
  <c r="P689" i="17"/>
  <c r="Q689" i="17" s="1"/>
  <c r="P690" i="17"/>
  <c r="Q690" i="17" s="1"/>
  <c r="P691" i="17"/>
  <c r="Q691" i="17" s="1"/>
  <c r="P721" i="17"/>
  <c r="Q721" i="17" s="1"/>
  <c r="P693" i="17"/>
  <c r="Q693" i="17" s="1"/>
  <c r="P640" i="17"/>
  <c r="Q640" i="17" s="1"/>
  <c r="P695" i="17"/>
  <c r="Q695" i="17" s="1"/>
  <c r="P696" i="17"/>
  <c r="Q696" i="17" s="1"/>
  <c r="P697" i="17"/>
  <c r="Q697" i="17" s="1"/>
  <c r="P698" i="17"/>
  <c r="Q698" i="17" s="1"/>
  <c r="P699" i="17"/>
  <c r="Q699" i="17" s="1"/>
  <c r="P700" i="17"/>
  <c r="Q700" i="17" s="1"/>
  <c r="P701" i="17"/>
  <c r="Q701" i="17" s="1"/>
  <c r="P702" i="17"/>
  <c r="Q702" i="17" s="1"/>
  <c r="P703" i="17"/>
  <c r="Q703" i="17" s="1"/>
  <c r="P704" i="17"/>
  <c r="Q704" i="17" s="1"/>
  <c r="P705" i="17"/>
  <c r="Q705" i="17" s="1"/>
  <c r="P706" i="17"/>
  <c r="Q706" i="17" s="1"/>
  <c r="P1693" i="17"/>
  <c r="Q1693" i="17" s="1"/>
  <c r="P708" i="17"/>
  <c r="Q708" i="17" s="1"/>
  <c r="P709" i="17"/>
  <c r="Q709" i="17" s="1"/>
  <c r="P710" i="17"/>
  <c r="Q710" i="17" s="1"/>
  <c r="P711" i="17"/>
  <c r="Q711" i="17" s="1"/>
  <c r="P712" i="17"/>
  <c r="Q712" i="17" s="1"/>
  <c r="P1809" i="17"/>
  <c r="Q1809" i="17" s="1"/>
  <c r="P714" i="17"/>
  <c r="Q714" i="17" s="1"/>
  <c r="P715" i="17"/>
  <c r="Q715" i="17" s="1"/>
  <c r="P716" i="17"/>
  <c r="Q716" i="17" s="1"/>
  <c r="P717" i="17"/>
  <c r="Q717" i="17" s="1"/>
  <c r="P1675" i="17"/>
  <c r="Q1675" i="17" s="1"/>
  <c r="P719" i="17"/>
  <c r="Q719" i="17" s="1"/>
  <c r="P720" i="17"/>
  <c r="Q720" i="17" s="1"/>
  <c r="P68" i="17"/>
  <c r="Q68" i="17" s="1"/>
  <c r="P722" i="17"/>
  <c r="Q722" i="17" s="1"/>
  <c r="P723" i="17"/>
  <c r="Q723" i="17" s="1"/>
  <c r="P1366" i="17"/>
  <c r="Q1366" i="17" s="1"/>
  <c r="P725" i="17"/>
  <c r="Q725" i="17" s="1"/>
  <c r="P726" i="17"/>
  <c r="Q726" i="17" s="1"/>
  <c r="P727" i="17"/>
  <c r="Q727" i="17" s="1"/>
  <c r="P728" i="17"/>
  <c r="Q728" i="17" s="1"/>
  <c r="P729" i="17"/>
  <c r="Q729" i="17" s="1"/>
  <c r="P730" i="17"/>
  <c r="Q730" i="17" s="1"/>
  <c r="P731" i="17"/>
  <c r="Q731" i="17" s="1"/>
  <c r="P732" i="17"/>
  <c r="Q732" i="17" s="1"/>
  <c r="P733" i="17"/>
  <c r="Q733" i="17" s="1"/>
  <c r="P734" i="17"/>
  <c r="Q734" i="17" s="1"/>
  <c r="P735" i="17"/>
  <c r="Q735" i="17" s="1"/>
  <c r="P1840" i="17"/>
  <c r="Q1840" i="17" s="1"/>
  <c r="P737" i="17"/>
  <c r="Q737" i="17" s="1"/>
  <c r="P738" i="17"/>
  <c r="Q738" i="17" s="1"/>
  <c r="P739" i="17"/>
  <c r="Q739" i="17" s="1"/>
  <c r="P740" i="17"/>
  <c r="Q740" i="17" s="1"/>
  <c r="P741" i="17"/>
  <c r="Q741" i="17" s="1"/>
  <c r="P742" i="17"/>
  <c r="Q742" i="17" s="1"/>
  <c r="P743" i="17"/>
  <c r="Q743" i="17" s="1"/>
  <c r="P838" i="17"/>
  <c r="Q838" i="17" s="1"/>
  <c r="P745" i="17"/>
  <c r="Q745" i="17" s="1"/>
  <c r="P746" i="17"/>
  <c r="Q746" i="17" s="1"/>
  <c r="P747" i="17"/>
  <c r="Q747" i="17" s="1"/>
  <c r="P748" i="17"/>
  <c r="Q748" i="17" s="1"/>
  <c r="P749" i="17"/>
  <c r="Q749" i="17" s="1"/>
  <c r="P750" i="17"/>
  <c r="Q750" i="17" s="1"/>
  <c r="P751" i="17"/>
  <c r="Q751" i="17" s="1"/>
  <c r="P752" i="17"/>
  <c r="Q752" i="17" s="1"/>
  <c r="P753" i="17"/>
  <c r="Q753" i="17" s="1"/>
  <c r="P754" i="17"/>
  <c r="Q754" i="17" s="1"/>
  <c r="P755" i="17"/>
  <c r="Q755" i="17" s="1"/>
  <c r="P1915" i="17"/>
  <c r="Q1915" i="17" s="1"/>
  <c r="P757" i="17"/>
  <c r="Q757" i="17" s="1"/>
  <c r="P758" i="17"/>
  <c r="Q758" i="17" s="1"/>
  <c r="P759" i="17"/>
  <c r="Q759" i="17" s="1"/>
  <c r="P760" i="17"/>
  <c r="Q760" i="17" s="1"/>
  <c r="P761" i="17"/>
  <c r="Q761" i="17" s="1"/>
  <c r="P762" i="17"/>
  <c r="Q762" i="17" s="1"/>
  <c r="P763" i="17"/>
  <c r="Q763" i="17" s="1"/>
  <c r="P764" i="17"/>
  <c r="Q764" i="17" s="1"/>
  <c r="P765" i="17"/>
  <c r="Q765" i="17" s="1"/>
  <c r="P1332" i="17"/>
  <c r="Q1332" i="17" s="1"/>
  <c r="P188" i="17"/>
  <c r="Q188" i="17" s="1"/>
  <c r="P377" i="17"/>
  <c r="Q377" i="17" s="1"/>
  <c r="P842" i="17"/>
  <c r="Q842" i="17" s="1"/>
  <c r="P718" i="17"/>
  <c r="Q718" i="17" s="1"/>
  <c r="P771" i="17"/>
  <c r="Q771" i="17" s="1"/>
  <c r="P772" i="17"/>
  <c r="Q772" i="17" s="1"/>
  <c r="P773" i="17"/>
  <c r="Q773" i="17" s="1"/>
  <c r="P774" i="17"/>
  <c r="Q774" i="17" s="1"/>
  <c r="P775" i="17"/>
  <c r="Q775" i="17" s="1"/>
  <c r="P776" i="17"/>
  <c r="Q776" i="17" s="1"/>
  <c r="P777" i="17"/>
  <c r="Q777" i="17" s="1"/>
  <c r="P778" i="17"/>
  <c r="Q778" i="17" s="1"/>
  <c r="P779" i="17"/>
  <c r="Q779" i="17" s="1"/>
  <c r="P780" i="17"/>
  <c r="Q780" i="17" s="1"/>
  <c r="P781" i="17"/>
  <c r="Q781" i="17" s="1"/>
  <c r="P782" i="17"/>
  <c r="Q782" i="17" s="1"/>
  <c r="P783" i="17"/>
  <c r="Q783" i="17" s="1"/>
  <c r="P784" i="17"/>
  <c r="Q784" i="17" s="1"/>
  <c r="P1924" i="17"/>
  <c r="Q1924" i="17" s="1"/>
  <c r="P786" i="17"/>
  <c r="Q786" i="17" s="1"/>
  <c r="P787" i="17"/>
  <c r="Q787" i="17" s="1"/>
  <c r="P788" i="17"/>
  <c r="Q788" i="17" s="1"/>
  <c r="P789" i="17"/>
  <c r="Q789" i="17" s="1"/>
  <c r="P366" i="17"/>
  <c r="Q366" i="17" s="1"/>
  <c r="P791" i="17"/>
  <c r="Q791" i="17" s="1"/>
  <c r="P792" i="17"/>
  <c r="Q792" i="17" s="1"/>
  <c r="P1300" i="17"/>
  <c r="Q1300" i="17" s="1"/>
  <c r="P794" i="17"/>
  <c r="Q794" i="17" s="1"/>
  <c r="P795" i="17"/>
  <c r="Q795" i="17" s="1"/>
  <c r="P796" i="17"/>
  <c r="Q796" i="17" s="1"/>
  <c r="P797" i="17"/>
  <c r="Q797" i="17" s="1"/>
  <c r="P798" i="17"/>
  <c r="Q798" i="17" s="1"/>
  <c r="P1807" i="17"/>
  <c r="Q1807" i="17" s="1"/>
  <c r="P800" i="17"/>
  <c r="Q800" i="17" s="1"/>
  <c r="P801" i="17"/>
  <c r="Q801" i="17" s="1"/>
  <c r="P802" i="17"/>
  <c r="Q802" i="17" s="1"/>
  <c r="P1652" i="17"/>
  <c r="Q1652" i="17" s="1"/>
  <c r="P804" i="17"/>
  <c r="Q804" i="17" s="1"/>
  <c r="P805" i="17"/>
  <c r="Q805" i="17" s="1"/>
  <c r="P1101" i="17"/>
  <c r="Q1101" i="17" s="1"/>
  <c r="P327" i="17"/>
  <c r="Q327" i="17" s="1"/>
  <c r="P556" i="17"/>
  <c r="Q556" i="17" s="1"/>
  <c r="P809" i="17"/>
  <c r="Q809" i="17" s="1"/>
  <c r="P810" i="17"/>
  <c r="Q810" i="17" s="1"/>
  <c r="P650" i="17"/>
  <c r="Q650" i="17" s="1"/>
  <c r="P812" i="17"/>
  <c r="Q812" i="17" s="1"/>
  <c r="P1278" i="17"/>
  <c r="Q1278" i="17" s="1"/>
  <c r="P814" i="17"/>
  <c r="Q814" i="17" s="1"/>
  <c r="P815" i="17"/>
  <c r="Q815" i="17" s="1"/>
  <c r="P816" i="17"/>
  <c r="Q816" i="17" s="1"/>
  <c r="P817" i="17"/>
  <c r="Q817" i="17" s="1"/>
  <c r="P818" i="17"/>
  <c r="Q818" i="17" s="1"/>
  <c r="P819" i="17"/>
  <c r="Q819" i="17" s="1"/>
  <c r="P820" i="17"/>
  <c r="Q820" i="17" s="1"/>
  <c r="P821" i="17"/>
  <c r="Q821" i="17" s="1"/>
  <c r="P822" i="17"/>
  <c r="Q822" i="17" s="1"/>
  <c r="P823" i="17"/>
  <c r="Q823" i="17" s="1"/>
  <c r="P824" i="17"/>
  <c r="Q824" i="17" s="1"/>
  <c r="P825" i="17"/>
  <c r="Q825" i="17" s="1"/>
  <c r="P826" i="17"/>
  <c r="Q826" i="17" s="1"/>
  <c r="P1815" i="17"/>
  <c r="Q1815" i="17" s="1"/>
  <c r="P828" i="17"/>
  <c r="Q828" i="17" s="1"/>
  <c r="P829" i="17"/>
  <c r="Q829" i="17" s="1"/>
  <c r="P1352" i="17"/>
  <c r="Q1352" i="17" s="1"/>
  <c r="P303" i="17"/>
  <c r="Q303" i="17" s="1"/>
  <c r="P891" i="17"/>
  <c r="Q891" i="17" s="1"/>
  <c r="P585" i="17"/>
  <c r="Q585" i="17" s="1"/>
  <c r="P834" i="17"/>
  <c r="Q834" i="17" s="1"/>
  <c r="P835" i="17"/>
  <c r="Q835" i="17" s="1"/>
  <c r="P836" i="17"/>
  <c r="Q836" i="17" s="1"/>
  <c r="P837" i="17"/>
  <c r="Q837" i="17" s="1"/>
  <c r="P624" i="17"/>
  <c r="Q624" i="17" s="1"/>
  <c r="P839" i="17"/>
  <c r="Q839" i="17" s="1"/>
  <c r="P840" i="17"/>
  <c r="Q840" i="17" s="1"/>
  <c r="P841" i="17"/>
  <c r="Q841" i="17" s="1"/>
  <c r="P300" i="17"/>
  <c r="Q300" i="17" s="1"/>
  <c r="P843" i="17"/>
  <c r="Q843" i="17" s="1"/>
  <c r="P441" i="17"/>
  <c r="Q441" i="17" s="1"/>
  <c r="P845" i="17"/>
  <c r="Q845" i="17" s="1"/>
  <c r="P1858" i="17"/>
  <c r="Q1858" i="17" s="1"/>
  <c r="P293" i="17"/>
  <c r="Q293" i="17" s="1"/>
  <c r="P848" i="17"/>
  <c r="Q848" i="17" s="1"/>
  <c r="P849" i="17"/>
  <c r="Q849" i="17" s="1"/>
  <c r="P1699" i="17"/>
  <c r="Q1699" i="17" s="1"/>
  <c r="P851" i="17"/>
  <c r="Q851" i="17" s="1"/>
  <c r="P75" i="17"/>
  <c r="Q75" i="17" s="1"/>
  <c r="P853" i="17"/>
  <c r="Q853" i="17" s="1"/>
  <c r="P854" i="17"/>
  <c r="Q854" i="17" s="1"/>
  <c r="P855" i="17"/>
  <c r="Q855" i="17" s="1"/>
  <c r="P856" i="17"/>
  <c r="Q856" i="17" s="1"/>
  <c r="P857" i="17"/>
  <c r="Q857" i="17" s="1"/>
  <c r="P858" i="17"/>
  <c r="Q858" i="17" s="1"/>
  <c r="P859" i="17"/>
  <c r="Q859" i="17" s="1"/>
  <c r="P872" i="17"/>
  <c r="Q872" i="17" s="1"/>
  <c r="P107" i="17"/>
  <c r="Q107" i="17" s="1"/>
  <c r="P862" i="17"/>
  <c r="Q862" i="17" s="1"/>
  <c r="P863" i="17"/>
  <c r="Q863" i="17" s="1"/>
  <c r="P347" i="17"/>
  <c r="Q347" i="17" s="1"/>
  <c r="P865" i="17"/>
  <c r="Q865" i="17" s="1"/>
  <c r="P1702" i="17"/>
  <c r="Q1702" i="17" s="1"/>
  <c r="P867" i="17"/>
  <c r="Q867" i="17" s="1"/>
  <c r="P1319" i="17"/>
  <c r="Q1319" i="17" s="1"/>
  <c r="P1844" i="17"/>
  <c r="Q1844" i="17" s="1"/>
  <c r="P1716" i="17"/>
  <c r="Q1716" i="17" s="1"/>
  <c r="P871" i="17"/>
  <c r="Q871" i="17" s="1"/>
  <c r="P492" i="17"/>
  <c r="Q492" i="17" s="1"/>
  <c r="P736" i="17"/>
  <c r="Q736" i="17" s="1"/>
  <c r="P874" i="17"/>
  <c r="Q874" i="17" s="1"/>
  <c r="P875" i="17"/>
  <c r="Q875" i="17" s="1"/>
  <c r="P876" i="17"/>
  <c r="Q876" i="17" s="1"/>
  <c r="P877" i="17"/>
  <c r="Q877" i="17" s="1"/>
  <c r="P878" i="17"/>
  <c r="Q878" i="17" s="1"/>
  <c r="P879" i="17"/>
  <c r="Q879" i="17" s="1"/>
  <c r="P880" i="17"/>
  <c r="Q880" i="17" s="1"/>
  <c r="P881" i="17"/>
  <c r="Q881" i="17" s="1"/>
  <c r="P882" i="17"/>
  <c r="Q882" i="17" s="1"/>
  <c r="P883" i="17"/>
  <c r="Q883" i="17" s="1"/>
  <c r="P1487" i="17"/>
  <c r="Q1487" i="17" s="1"/>
  <c r="P1362" i="17"/>
  <c r="Q1362" i="17" s="1"/>
  <c r="P1721" i="17"/>
  <c r="Q1721" i="17" s="1"/>
  <c r="P887" i="17"/>
  <c r="Q887" i="17" s="1"/>
  <c r="P217" i="17"/>
  <c r="Q217" i="17" s="1"/>
  <c r="P889" i="17"/>
  <c r="Q889" i="17" s="1"/>
  <c r="P890" i="17"/>
  <c r="Q890" i="17" s="1"/>
  <c r="P228" i="17"/>
  <c r="Q228" i="17" s="1"/>
  <c r="P892" i="17"/>
  <c r="Q892" i="17" s="1"/>
  <c r="P893" i="17"/>
  <c r="Q893" i="17" s="1"/>
  <c r="P894" i="17"/>
  <c r="Q894" i="17" s="1"/>
  <c r="P895" i="17"/>
  <c r="Q895" i="17" s="1"/>
  <c r="P896" i="17"/>
  <c r="Q896" i="17" s="1"/>
  <c r="P897" i="17"/>
  <c r="Q897" i="17" s="1"/>
  <c r="P898" i="17"/>
  <c r="Q898" i="17" s="1"/>
  <c r="P899" i="17"/>
  <c r="Q899" i="17" s="1"/>
  <c r="P242" i="17"/>
  <c r="Q242" i="17" s="1"/>
  <c r="P901" i="17"/>
  <c r="Q901" i="17" s="1"/>
  <c r="P1456" i="17"/>
  <c r="Q1456" i="17" s="1"/>
  <c r="P903" i="17"/>
  <c r="Q903" i="17" s="1"/>
  <c r="P904" i="17"/>
  <c r="Q904" i="17" s="1"/>
  <c r="P905" i="17"/>
  <c r="Q905" i="17" s="1"/>
  <c r="P906" i="17"/>
  <c r="Q906" i="17" s="1"/>
  <c r="P907" i="17"/>
  <c r="Q907" i="17" s="1"/>
  <c r="P1651" i="17"/>
  <c r="Q1651" i="17" s="1"/>
  <c r="P178" i="17"/>
  <c r="Q178" i="17" s="1"/>
  <c r="P910" i="17"/>
  <c r="Q910" i="17" s="1"/>
  <c r="P911" i="17"/>
  <c r="Q911" i="17" s="1"/>
  <c r="P912" i="17"/>
  <c r="Q912" i="17" s="1"/>
  <c r="P913" i="17"/>
  <c r="Q913" i="17" s="1"/>
  <c r="P914" i="17"/>
  <c r="Q914" i="17" s="1"/>
  <c r="P1405" i="17"/>
  <c r="Q1405" i="17" s="1"/>
  <c r="P916" i="17"/>
  <c r="Q916" i="17" s="1"/>
  <c r="P1051" i="17"/>
  <c r="Q1051" i="17" s="1"/>
  <c r="P918" i="17"/>
  <c r="Q918" i="17" s="1"/>
  <c r="P969" i="17"/>
  <c r="Q969" i="17" s="1"/>
  <c r="P614" i="17"/>
  <c r="Q614" i="17" s="1"/>
  <c r="P921" i="17"/>
  <c r="Q921" i="17" s="1"/>
  <c r="P922" i="17"/>
  <c r="Q922" i="17" s="1"/>
  <c r="P923" i="17"/>
  <c r="Q923" i="17" s="1"/>
  <c r="P1242" i="17"/>
  <c r="Q1242" i="17" s="1"/>
  <c r="P925" i="17"/>
  <c r="Q925" i="17" s="1"/>
  <c r="P926" i="17"/>
  <c r="Q926" i="17" s="1"/>
  <c r="P927" i="17"/>
  <c r="Q927" i="17" s="1"/>
  <c r="P928" i="17"/>
  <c r="Q928" i="17" s="1"/>
  <c r="P929" i="17"/>
  <c r="Q929" i="17" s="1"/>
  <c r="P930" i="17"/>
  <c r="Q930" i="17" s="1"/>
  <c r="P931" i="17"/>
  <c r="Q931" i="17" s="1"/>
  <c r="P932" i="17"/>
  <c r="Q932" i="17" s="1"/>
  <c r="P933" i="17"/>
  <c r="Q933" i="17" s="1"/>
  <c r="P1040" i="17"/>
  <c r="Q1040" i="17" s="1"/>
  <c r="P935" i="17"/>
  <c r="Q935" i="17" s="1"/>
  <c r="P936" i="17"/>
  <c r="Q936" i="17" s="1"/>
  <c r="P937" i="17"/>
  <c r="Q937" i="17" s="1"/>
  <c r="P938" i="17"/>
  <c r="Q938" i="17" s="1"/>
  <c r="P939" i="17"/>
  <c r="Q939" i="17" s="1"/>
  <c r="P940" i="17"/>
  <c r="Q940" i="17" s="1"/>
  <c r="P941" i="17"/>
  <c r="Q941" i="17" s="1"/>
  <c r="P942" i="17"/>
  <c r="Q942" i="17" s="1"/>
  <c r="P943" i="17"/>
  <c r="Q943" i="17" s="1"/>
  <c r="P944" i="17"/>
  <c r="Q944" i="17" s="1"/>
  <c r="P945" i="17"/>
  <c r="Q945" i="17" s="1"/>
  <c r="P946" i="17"/>
  <c r="Q946" i="17" s="1"/>
  <c r="P947" i="17"/>
  <c r="Q947" i="17" s="1"/>
  <c r="P948" i="17"/>
  <c r="Q948" i="17" s="1"/>
  <c r="P949" i="17"/>
  <c r="Q949" i="17" s="1"/>
  <c r="P950" i="17"/>
  <c r="Q950" i="17" s="1"/>
  <c r="P951" i="17"/>
  <c r="Q951" i="17" s="1"/>
  <c r="P952" i="17"/>
  <c r="Q952" i="17" s="1"/>
  <c r="P953" i="17"/>
  <c r="Q953" i="17" s="1"/>
  <c r="P954" i="17"/>
  <c r="Q954" i="17" s="1"/>
  <c r="P955" i="17"/>
  <c r="Q955" i="17" s="1"/>
  <c r="P956" i="17"/>
  <c r="Q956" i="17" s="1"/>
  <c r="P1117" i="17"/>
  <c r="Q1117" i="17" s="1"/>
  <c r="P958" i="17"/>
  <c r="Q958" i="17" s="1"/>
  <c r="P959" i="17"/>
  <c r="Q959" i="17" s="1"/>
  <c r="P960" i="17"/>
  <c r="Q960" i="17" s="1"/>
  <c r="P961" i="17"/>
  <c r="Q961" i="17" s="1"/>
  <c r="P495" i="17"/>
  <c r="Q495" i="17" s="1"/>
  <c r="P963" i="17"/>
  <c r="Q963" i="17" s="1"/>
  <c r="P964" i="17"/>
  <c r="Q964" i="17" s="1"/>
  <c r="P965" i="17"/>
  <c r="Q965" i="17" s="1"/>
  <c r="P966" i="17"/>
  <c r="Q966" i="17" s="1"/>
  <c r="P1177" i="17"/>
  <c r="Q1177" i="17" s="1"/>
  <c r="P968" i="17"/>
  <c r="Q968" i="17" s="1"/>
  <c r="P260" i="17"/>
  <c r="Q260" i="17" s="1"/>
  <c r="P970" i="17"/>
  <c r="Q970" i="17" s="1"/>
  <c r="P971" i="17"/>
  <c r="Q971" i="17" s="1"/>
  <c r="P972" i="17"/>
  <c r="Q972" i="17" s="1"/>
  <c r="P973" i="17"/>
  <c r="Q973" i="17" s="1"/>
  <c r="P974" i="17"/>
  <c r="Q974" i="17" s="1"/>
  <c r="P975" i="17"/>
  <c r="Q975" i="17" s="1"/>
  <c r="P976" i="17"/>
  <c r="Q976" i="17" s="1"/>
  <c r="P977" i="17"/>
  <c r="Q977" i="17" s="1"/>
  <c r="P978" i="17"/>
  <c r="Q978" i="17" s="1"/>
  <c r="P979" i="17"/>
  <c r="Q979" i="17" s="1"/>
  <c r="P980" i="17"/>
  <c r="Q980" i="17" s="1"/>
  <c r="P981" i="17"/>
  <c r="Q981" i="17" s="1"/>
  <c r="P982" i="17"/>
  <c r="Q982" i="17" s="1"/>
  <c r="P983" i="17"/>
  <c r="Q983" i="17" s="1"/>
  <c r="P984" i="17"/>
  <c r="Q984" i="17" s="1"/>
  <c r="P985" i="17"/>
  <c r="Q985" i="17" s="1"/>
  <c r="P986" i="17"/>
  <c r="Q986" i="17" s="1"/>
  <c r="P987" i="17"/>
  <c r="Q987" i="17" s="1"/>
  <c r="P988" i="17"/>
  <c r="Q988" i="17" s="1"/>
  <c r="P989" i="17"/>
  <c r="Q989" i="17" s="1"/>
  <c r="P990" i="17"/>
  <c r="Q990" i="17" s="1"/>
  <c r="P991" i="17"/>
  <c r="Q991" i="17" s="1"/>
  <c r="P992" i="17"/>
  <c r="Q992" i="17" s="1"/>
  <c r="P993" i="17"/>
  <c r="Q993" i="17" s="1"/>
  <c r="P994" i="17"/>
  <c r="Q994" i="17" s="1"/>
  <c r="P995" i="17"/>
  <c r="Q995" i="17" s="1"/>
  <c r="P996" i="17"/>
  <c r="Q996" i="17" s="1"/>
  <c r="P997" i="17"/>
  <c r="Q997" i="17" s="1"/>
  <c r="P998" i="17"/>
  <c r="Q998" i="17" s="1"/>
  <c r="P673" i="17"/>
  <c r="Q673" i="17" s="1"/>
  <c r="P1000" i="17"/>
  <c r="Q1000" i="17" s="1"/>
  <c r="P1001" i="17"/>
  <c r="Q1001" i="17" s="1"/>
  <c r="P1002" i="17"/>
  <c r="Q1002" i="17" s="1"/>
  <c r="P1003" i="17"/>
  <c r="Q1003" i="17" s="1"/>
  <c r="P1004" i="17"/>
  <c r="Q1004" i="17" s="1"/>
  <c r="P1005" i="17"/>
  <c r="Q1005" i="17" s="1"/>
  <c r="P1006" i="17"/>
  <c r="Q1006" i="17" s="1"/>
  <c r="P1007" i="17"/>
  <c r="Q1007" i="17" s="1"/>
  <c r="P1008" i="17"/>
  <c r="Q1008" i="17" s="1"/>
  <c r="P1009" i="17"/>
  <c r="Q1009" i="17" s="1"/>
  <c r="P1010" i="17"/>
  <c r="Q1010" i="17" s="1"/>
  <c r="P1011" i="17"/>
  <c r="Q1011" i="17" s="1"/>
  <c r="P1012" i="17"/>
  <c r="Q1012" i="17" s="1"/>
  <c r="P1013" i="17"/>
  <c r="Q1013" i="17" s="1"/>
  <c r="P1563" i="17"/>
  <c r="Q1563" i="17" s="1"/>
  <c r="P1015" i="17"/>
  <c r="Q1015" i="17" s="1"/>
  <c r="P1016" i="17"/>
  <c r="Q1016" i="17" s="1"/>
  <c r="P1017" i="17"/>
  <c r="Q1017" i="17" s="1"/>
  <c r="P1018" i="17"/>
  <c r="Q1018" i="17" s="1"/>
  <c r="P1019" i="17"/>
  <c r="Q1019" i="17" s="1"/>
  <c r="P1020" i="17"/>
  <c r="Q1020" i="17" s="1"/>
  <c r="P1021" i="17"/>
  <c r="Q1021" i="17" s="1"/>
  <c r="P531" i="17"/>
  <c r="Q531" i="17" s="1"/>
  <c r="P1068" i="17"/>
  <c r="Q1068" i="17" s="1"/>
  <c r="P1024" i="17"/>
  <c r="Q1024" i="17" s="1"/>
  <c r="P1025" i="17"/>
  <c r="Q1025" i="17" s="1"/>
  <c r="P1026" i="17"/>
  <c r="Q1026" i="17" s="1"/>
  <c r="P1027" i="17"/>
  <c r="Q1027" i="17" s="1"/>
  <c r="P1028" i="17"/>
  <c r="Q1028" i="17" s="1"/>
  <c r="P1029" i="17"/>
  <c r="Q1029" i="17" s="1"/>
  <c r="P1030" i="17"/>
  <c r="Q1030" i="17" s="1"/>
  <c r="P999" i="17"/>
  <c r="Q999" i="17" s="1"/>
  <c r="P1032" i="17"/>
  <c r="Q1032" i="17" s="1"/>
  <c r="P1690" i="17"/>
  <c r="Q1690" i="17" s="1"/>
  <c r="P1034" i="17"/>
  <c r="Q1034" i="17" s="1"/>
  <c r="P1035" i="17"/>
  <c r="Q1035" i="17" s="1"/>
  <c r="P1036" i="17"/>
  <c r="Q1036" i="17" s="1"/>
  <c r="P1037" i="17"/>
  <c r="Q1037" i="17" s="1"/>
  <c r="P1038" i="17"/>
  <c r="Q1038" i="17" s="1"/>
  <c r="P1039" i="17"/>
  <c r="Q1039" i="17" s="1"/>
  <c r="P852" i="17"/>
  <c r="Q852" i="17" s="1"/>
  <c r="P1041" i="17"/>
  <c r="Q1041" i="17" s="1"/>
  <c r="P1042" i="17"/>
  <c r="Q1042" i="17" s="1"/>
  <c r="P1043" i="17"/>
  <c r="Q1043" i="17" s="1"/>
  <c r="P1876" i="17"/>
  <c r="Q1876" i="17" s="1"/>
  <c r="P1045" i="17"/>
  <c r="Q1045" i="17" s="1"/>
  <c r="P1046" i="17"/>
  <c r="Q1046" i="17" s="1"/>
  <c r="P1047" i="17"/>
  <c r="Q1047" i="17" s="1"/>
  <c r="P1048" i="17"/>
  <c r="Q1048" i="17" s="1"/>
  <c r="P1049" i="17"/>
  <c r="Q1049" i="17" s="1"/>
  <c r="P1050" i="17"/>
  <c r="Q1050" i="17" s="1"/>
  <c r="P1911" i="17"/>
  <c r="Q1911" i="17" s="1"/>
  <c r="P1052" i="17"/>
  <c r="Q1052" i="17" s="1"/>
  <c r="P1159" i="17"/>
  <c r="Q1159" i="17" s="1"/>
  <c r="P467" i="17"/>
  <c r="Q467" i="17" s="1"/>
  <c r="P1055" i="17"/>
  <c r="Q1055" i="17" s="1"/>
  <c r="P1605" i="17"/>
  <c r="Q1605" i="17" s="1"/>
  <c r="P1057" i="17"/>
  <c r="Q1057" i="17" s="1"/>
  <c r="P1058" i="17"/>
  <c r="Q1058" i="17" s="1"/>
  <c r="P1059" i="17"/>
  <c r="Q1059" i="17" s="1"/>
  <c r="P1493" i="17"/>
  <c r="Q1493" i="17" s="1"/>
  <c r="P1061" i="17"/>
  <c r="Q1061" i="17" s="1"/>
  <c r="P1062" i="17"/>
  <c r="Q1062" i="17" s="1"/>
  <c r="P1063" i="17"/>
  <c r="Q1063" i="17" s="1"/>
  <c r="P1064" i="17"/>
  <c r="Q1064" i="17" s="1"/>
  <c r="P1422" i="17"/>
  <c r="Q1422" i="17" s="1"/>
  <c r="P1066" i="17"/>
  <c r="Q1066" i="17" s="1"/>
  <c r="P1449" i="17"/>
  <c r="Q1449" i="17" s="1"/>
  <c r="P452" i="17"/>
  <c r="Q452" i="17" s="1"/>
  <c r="P1069" i="17"/>
  <c r="Q1069" i="17" s="1"/>
  <c r="P1070" i="17"/>
  <c r="Q1070" i="17" s="1"/>
  <c r="P1071" i="17"/>
  <c r="Q1071" i="17" s="1"/>
  <c r="P1072" i="17"/>
  <c r="Q1072" i="17" s="1"/>
  <c r="P559" i="17"/>
  <c r="Q559" i="17" s="1"/>
  <c r="P1696" i="17"/>
  <c r="Q1696" i="17" s="1"/>
  <c r="P1075" i="17"/>
  <c r="Q1075" i="17" s="1"/>
  <c r="P902" i="17"/>
  <c r="Q902" i="17" s="1"/>
  <c r="P1077" i="17"/>
  <c r="Q1077" i="17" s="1"/>
  <c r="P1078" i="17"/>
  <c r="Q1078" i="17" s="1"/>
  <c r="P1079" i="17"/>
  <c r="Q1079" i="17" s="1"/>
  <c r="P1080" i="17"/>
  <c r="Q1080" i="17" s="1"/>
  <c r="P1081" i="17"/>
  <c r="Q1081" i="17" s="1"/>
  <c r="P1082" i="17"/>
  <c r="Q1082" i="17" s="1"/>
  <c r="P1083" i="17"/>
  <c r="Q1083" i="17" s="1"/>
  <c r="P101" i="17"/>
  <c r="Q101" i="17" s="1"/>
  <c r="P1085" i="17"/>
  <c r="Q1085" i="17" s="1"/>
  <c r="P1086" i="17"/>
  <c r="Q1086" i="17" s="1"/>
  <c r="P868" i="17"/>
  <c r="Q868" i="17" s="1"/>
  <c r="P1088" i="17"/>
  <c r="Q1088" i="17" s="1"/>
  <c r="P1089" i="17"/>
  <c r="Q1089" i="17" s="1"/>
  <c r="P1054" i="17"/>
  <c r="Q1054" i="17" s="1"/>
  <c r="P1091" i="17"/>
  <c r="Q1091" i="17" s="1"/>
  <c r="P1092" i="17"/>
  <c r="Q1092" i="17" s="1"/>
  <c r="P1093" i="17"/>
  <c r="Q1093" i="17" s="1"/>
  <c r="P1094" i="17"/>
  <c r="Q1094" i="17" s="1"/>
  <c r="P1095" i="17"/>
  <c r="Q1095" i="17" s="1"/>
  <c r="P1096" i="17"/>
  <c r="Q1096" i="17" s="1"/>
  <c r="P1097" i="17"/>
  <c r="Q1097" i="17" s="1"/>
  <c r="P1098" i="17"/>
  <c r="Q1098" i="17" s="1"/>
  <c r="P1303" i="17"/>
  <c r="Q1303" i="17" s="1"/>
  <c r="P1501" i="17"/>
  <c r="Q1501" i="17" s="1"/>
  <c r="P1273" i="17"/>
  <c r="Q1273" i="17" s="1"/>
  <c r="P1102" i="17"/>
  <c r="Q1102" i="17" s="1"/>
  <c r="P591" i="17"/>
  <c r="Q591" i="17" s="1"/>
  <c r="P1537" i="17"/>
  <c r="Q1537" i="17" s="1"/>
  <c r="P1507" i="17"/>
  <c r="Q1507" i="17" s="1"/>
  <c r="P1106" i="17"/>
  <c r="Q1106" i="17" s="1"/>
  <c r="P1107" i="17"/>
  <c r="Q1107" i="17" s="1"/>
  <c r="P1108" i="17"/>
  <c r="Q1108" i="17" s="1"/>
  <c r="P1109" i="17"/>
  <c r="Q1109" i="17" s="1"/>
  <c r="P1110" i="17"/>
  <c r="Q1110" i="17" s="1"/>
  <c r="P813" i="17"/>
  <c r="Q813" i="17" s="1"/>
  <c r="P1112" i="17"/>
  <c r="Q1112" i="17" s="1"/>
  <c r="P1113" i="17"/>
  <c r="Q1113" i="17" s="1"/>
  <c r="P1114" i="17"/>
  <c r="Q1114" i="17" s="1"/>
  <c r="P1115" i="17"/>
  <c r="Q1115" i="17" s="1"/>
  <c r="P1116" i="17"/>
  <c r="Q1116" i="17" s="1"/>
  <c r="P769" i="17"/>
  <c r="Q769" i="17" s="1"/>
  <c r="P967" i="17"/>
  <c r="Q967" i="17" s="1"/>
  <c r="P1119" i="17"/>
  <c r="Q1119" i="17" s="1"/>
  <c r="P1120" i="17"/>
  <c r="Q1120" i="17" s="1"/>
  <c r="P1121" i="17"/>
  <c r="Q1121" i="17" s="1"/>
  <c r="P1122" i="17"/>
  <c r="Q1122" i="17" s="1"/>
  <c r="P1123" i="17"/>
  <c r="Q1123" i="17" s="1"/>
  <c r="P1124" i="17"/>
  <c r="Q1124" i="17" s="1"/>
  <c r="P1161" i="17"/>
  <c r="Q1161" i="17" s="1"/>
  <c r="P1126" i="17"/>
  <c r="Q1126" i="17" s="1"/>
  <c r="P1363" i="17"/>
  <c r="Q1363" i="17" s="1"/>
  <c r="P1128" i="17"/>
  <c r="Q1128" i="17" s="1"/>
  <c r="P1129" i="17"/>
  <c r="Q1129" i="17" s="1"/>
  <c r="P1130" i="17"/>
  <c r="Q1130" i="17" s="1"/>
  <c r="P1131" i="17"/>
  <c r="Q1131" i="17" s="1"/>
  <c r="P1132" i="17"/>
  <c r="Q1132" i="17" s="1"/>
  <c r="P1133" i="17"/>
  <c r="Q1133" i="17" s="1"/>
  <c r="P1134" i="17"/>
  <c r="Q1134" i="17" s="1"/>
  <c r="P1135" i="17"/>
  <c r="Q1135" i="17" s="1"/>
  <c r="P1136" i="17"/>
  <c r="Q1136" i="17" s="1"/>
  <c r="P1137" i="17"/>
  <c r="Q1137" i="17" s="1"/>
  <c r="P485" i="17"/>
  <c r="Q485" i="17" s="1"/>
  <c r="P1139" i="17"/>
  <c r="Q1139" i="17" s="1"/>
  <c r="P1140" i="17"/>
  <c r="Q1140" i="17" s="1"/>
  <c r="P1141" i="17"/>
  <c r="Q1141" i="17" s="1"/>
  <c r="P1142" i="17"/>
  <c r="Q1142" i="17" s="1"/>
  <c r="P1143" i="17"/>
  <c r="Q1143" i="17" s="1"/>
  <c r="P1144" i="17"/>
  <c r="Q1144" i="17" s="1"/>
  <c r="P1145" i="17"/>
  <c r="Q1145" i="17" s="1"/>
  <c r="P1146" i="17"/>
  <c r="Q1146" i="17" s="1"/>
  <c r="P1147" i="17"/>
  <c r="Q1147" i="17" s="1"/>
  <c r="P1148" i="17"/>
  <c r="Q1148" i="17" s="1"/>
  <c r="P1149" i="17"/>
  <c r="Q1149" i="17" s="1"/>
  <c r="P1150" i="17"/>
  <c r="Q1150" i="17" s="1"/>
  <c r="P1151" i="17"/>
  <c r="Q1151" i="17" s="1"/>
  <c r="P1152" i="17"/>
  <c r="Q1152" i="17" s="1"/>
  <c r="P1153" i="17"/>
  <c r="Q1153" i="17" s="1"/>
  <c r="P1154" i="17"/>
  <c r="Q1154" i="17" s="1"/>
  <c r="P900" i="17"/>
  <c r="Q900" i="17" s="1"/>
  <c r="P1156" i="17"/>
  <c r="Q1156" i="17" s="1"/>
  <c r="P1053" i="17"/>
  <c r="Q1053" i="17" s="1"/>
  <c r="P1687" i="17"/>
  <c r="Q1687" i="17" s="1"/>
  <c r="P1833" i="17"/>
  <c r="Q1833" i="17" s="1"/>
  <c r="P807" i="17"/>
  <c r="Q807" i="17" s="1"/>
  <c r="P162" i="17"/>
  <c r="Q162" i="17" s="1"/>
  <c r="P1162" i="17"/>
  <c r="Q1162" i="17" s="1"/>
  <c r="P1163" i="17"/>
  <c r="Q1163" i="17" s="1"/>
  <c r="P70" i="17"/>
  <c r="Q70" i="17" s="1"/>
  <c r="P1165" i="17"/>
  <c r="Q1165" i="17" s="1"/>
  <c r="P1166" i="17"/>
  <c r="Q1166" i="17" s="1"/>
  <c r="P1167" i="17"/>
  <c r="Q1167" i="17" s="1"/>
  <c r="P1168" i="17"/>
  <c r="Q1168" i="17" s="1"/>
  <c r="P1169" i="17"/>
  <c r="Q1169" i="17" s="1"/>
  <c r="P1170" i="17"/>
  <c r="Q1170" i="17" s="1"/>
  <c r="P1171" i="17"/>
  <c r="Q1171" i="17" s="1"/>
  <c r="P1172" i="17"/>
  <c r="Q1172" i="17" s="1"/>
  <c r="P1173" i="17"/>
  <c r="Q1173" i="17" s="1"/>
  <c r="P1174" i="17"/>
  <c r="Q1174" i="17" s="1"/>
  <c r="P1175" i="17"/>
  <c r="Q1175" i="17" s="1"/>
  <c r="P1176" i="17"/>
  <c r="Q1176" i="17" s="1"/>
  <c r="P1539" i="17"/>
  <c r="Q1539" i="17" s="1"/>
  <c r="P1178" i="17"/>
  <c r="Q1178" i="17" s="1"/>
  <c r="P1179" i="17"/>
  <c r="Q1179" i="17" s="1"/>
  <c r="P1180" i="17"/>
  <c r="Q1180" i="17" s="1"/>
  <c r="P850" i="17"/>
  <c r="Q850" i="17" s="1"/>
  <c r="P1182" i="17"/>
  <c r="Q1182" i="17" s="1"/>
  <c r="P1183" i="17"/>
  <c r="Q1183" i="17" s="1"/>
  <c r="P1184" i="17"/>
  <c r="Q1184" i="17" s="1"/>
  <c r="P1185" i="17"/>
  <c r="Q1185" i="17" s="1"/>
  <c r="P1186" i="17"/>
  <c r="Q1186" i="17" s="1"/>
  <c r="P1187" i="17"/>
  <c r="Q1187" i="17" s="1"/>
  <c r="P1188" i="17"/>
  <c r="Q1188" i="17" s="1"/>
  <c r="P1189" i="17"/>
  <c r="Q1189" i="17" s="1"/>
  <c r="P1190" i="17"/>
  <c r="Q1190" i="17" s="1"/>
  <c r="P1191" i="17"/>
  <c r="Q1191" i="17" s="1"/>
  <c r="P1192" i="17"/>
  <c r="Q1192" i="17" s="1"/>
  <c r="P1193" i="17"/>
  <c r="Q1193" i="17" s="1"/>
  <c r="P1194" i="17"/>
  <c r="Q1194" i="17" s="1"/>
  <c r="P1421" i="17"/>
  <c r="Q1421" i="17" s="1"/>
  <c r="P1196" i="17"/>
  <c r="Q1196" i="17" s="1"/>
  <c r="P1197" i="17"/>
  <c r="Q1197" i="17" s="1"/>
  <c r="P1198" i="17"/>
  <c r="Q1198" i="17" s="1"/>
  <c r="P1199" i="17"/>
  <c r="Q1199" i="17" s="1"/>
  <c r="P1200" i="17"/>
  <c r="Q1200" i="17" s="1"/>
  <c r="P1201" i="17"/>
  <c r="Q1201" i="17" s="1"/>
  <c r="P1202" i="17"/>
  <c r="Q1202" i="17" s="1"/>
  <c r="P1203" i="17"/>
  <c r="Q1203" i="17" s="1"/>
  <c r="P1204" i="17"/>
  <c r="Q1204" i="17" s="1"/>
  <c r="P1205" i="17"/>
  <c r="Q1205" i="17" s="1"/>
  <c r="P1206" i="17"/>
  <c r="Q1206" i="17" s="1"/>
  <c r="P1207" i="17"/>
  <c r="Q1207" i="17" s="1"/>
  <c r="P1208" i="17"/>
  <c r="Q1208" i="17" s="1"/>
  <c r="P1209" i="17"/>
  <c r="Q1209" i="17" s="1"/>
  <c r="P1210" i="17"/>
  <c r="Q1210" i="17" s="1"/>
  <c r="P1211" i="17"/>
  <c r="Q1211" i="17" s="1"/>
  <c r="P199" i="17"/>
  <c r="Q199" i="17" s="1"/>
  <c r="P632" i="17"/>
  <c r="Q632" i="17" s="1"/>
  <c r="P1214" i="17"/>
  <c r="Q1214" i="17" s="1"/>
  <c r="P1215" i="17"/>
  <c r="Q1215" i="17" s="1"/>
  <c r="P1216" i="17"/>
  <c r="Q1216" i="17" s="1"/>
  <c r="P1217" i="17"/>
  <c r="Q1217" i="17" s="1"/>
  <c r="P1218" i="17"/>
  <c r="Q1218" i="17" s="1"/>
  <c r="P1219" i="17"/>
  <c r="Q1219" i="17" s="1"/>
  <c r="P1104" i="17"/>
  <c r="Q1104" i="17" s="1"/>
  <c r="P1221" i="17"/>
  <c r="Q1221" i="17" s="1"/>
  <c r="P1222" i="17"/>
  <c r="Q1222" i="17" s="1"/>
  <c r="P1223" i="17"/>
  <c r="Q1223" i="17" s="1"/>
  <c r="P1224" i="17"/>
  <c r="Q1224" i="17" s="1"/>
  <c r="P1225" i="17"/>
  <c r="Q1225" i="17" s="1"/>
  <c r="P1226" i="17"/>
  <c r="Q1226" i="17" s="1"/>
  <c r="P1227" i="17"/>
  <c r="Q1227" i="17" s="1"/>
  <c r="P1044" i="17"/>
  <c r="Q1044" i="17" s="1"/>
  <c r="P1229" i="17"/>
  <c r="Q1229" i="17" s="1"/>
  <c r="P1230" i="17"/>
  <c r="Q1230" i="17" s="1"/>
  <c r="P1231" i="17"/>
  <c r="Q1231" i="17" s="1"/>
  <c r="P1232" i="17"/>
  <c r="Q1232" i="17" s="1"/>
  <c r="P1233" i="17"/>
  <c r="Q1233" i="17" s="1"/>
  <c r="P1234" i="17"/>
  <c r="Q1234" i="17" s="1"/>
  <c r="P1235" i="17"/>
  <c r="Q1235" i="17" s="1"/>
  <c r="P1236" i="17"/>
  <c r="Q1236" i="17" s="1"/>
  <c r="P1237" i="17"/>
  <c r="Q1237" i="17" s="1"/>
  <c r="P1238" i="17"/>
  <c r="Q1238" i="17" s="1"/>
  <c r="P1239" i="17"/>
  <c r="Q1239" i="17" s="1"/>
  <c r="P1240" i="17"/>
  <c r="Q1240" i="17" s="1"/>
  <c r="P1241" i="17"/>
  <c r="Q1241" i="17" s="1"/>
  <c r="P1755" i="17"/>
  <c r="Q1755" i="17" s="1"/>
  <c r="P1243" i="17"/>
  <c r="Q1243" i="17" s="1"/>
  <c r="P1244" i="17"/>
  <c r="Q1244" i="17" s="1"/>
  <c r="P1245" i="17"/>
  <c r="Q1245" i="17" s="1"/>
  <c r="P1246" i="17"/>
  <c r="Q1246" i="17" s="1"/>
  <c r="P1247" i="17"/>
  <c r="Q1247" i="17" s="1"/>
  <c r="P1912" i="17"/>
  <c r="Q1912" i="17" s="1"/>
  <c r="P1249" i="17"/>
  <c r="Q1249" i="17" s="1"/>
  <c r="P305" i="17"/>
  <c r="Q305" i="17" s="1"/>
  <c r="P1251" i="17"/>
  <c r="Q1251" i="17" s="1"/>
  <c r="P1252" i="17"/>
  <c r="Q1252" i="17" s="1"/>
  <c r="P1253" i="17"/>
  <c r="Q1253" i="17" s="1"/>
  <c r="P1254" i="17"/>
  <c r="Q1254" i="17" s="1"/>
  <c r="P1255" i="17"/>
  <c r="Q1255" i="17" s="1"/>
  <c r="P885" i="17"/>
  <c r="Q885" i="17" s="1"/>
  <c r="P1257" i="17"/>
  <c r="Q1257" i="17" s="1"/>
  <c r="P232" i="17"/>
  <c r="Q232" i="17" s="1"/>
  <c r="P1259" i="17"/>
  <c r="Q1259" i="17" s="1"/>
  <c r="P1260" i="17"/>
  <c r="Q1260" i="17" s="1"/>
  <c r="P1261" i="17"/>
  <c r="Q1261" i="17" s="1"/>
  <c r="P1262" i="17"/>
  <c r="Q1262" i="17" s="1"/>
  <c r="P1263" i="17"/>
  <c r="Q1263" i="17" s="1"/>
  <c r="P1264" i="17"/>
  <c r="Q1264" i="17" s="1"/>
  <c r="P1265" i="17"/>
  <c r="Q1265" i="17" s="1"/>
  <c r="P1266" i="17"/>
  <c r="Q1266" i="17" s="1"/>
  <c r="P180" i="17"/>
  <c r="Q180" i="17" s="1"/>
  <c r="P1268" i="17"/>
  <c r="Q1268" i="17" s="1"/>
  <c r="P1269" i="17"/>
  <c r="Q1269" i="17" s="1"/>
  <c r="P1270" i="17"/>
  <c r="Q1270" i="17" s="1"/>
  <c r="P1271" i="17"/>
  <c r="Q1271" i="17" s="1"/>
  <c r="P1272" i="17"/>
  <c r="Q1272" i="17" s="1"/>
  <c r="P1830" i="17"/>
  <c r="Q1830" i="17" s="1"/>
  <c r="P1274" i="17"/>
  <c r="Q1274" i="17" s="1"/>
  <c r="P1797" i="17"/>
  <c r="Q1797" i="17" s="1"/>
  <c r="P1276" i="17"/>
  <c r="Q1276" i="17" s="1"/>
  <c r="P1277" i="17"/>
  <c r="Q1277" i="17" s="1"/>
  <c r="P355" i="17"/>
  <c r="Q355" i="17" s="1"/>
  <c r="P1279" i="17"/>
  <c r="Q1279" i="17" s="1"/>
  <c r="P1280" i="17"/>
  <c r="Q1280" i="17" s="1"/>
  <c r="P1281" i="17"/>
  <c r="Q1281" i="17" s="1"/>
  <c r="P1282" i="17"/>
  <c r="Q1282" i="17" s="1"/>
  <c r="P36" i="17"/>
  <c r="Q36" i="17" s="1"/>
  <c r="P353" i="17"/>
  <c r="Q353" i="17" s="1"/>
  <c r="P1285" i="17"/>
  <c r="Q1285" i="17" s="1"/>
  <c r="P1331" i="17"/>
  <c r="Q1331" i="17" s="1"/>
  <c r="P1287" i="17"/>
  <c r="Q1287" i="17" s="1"/>
  <c r="P1288" i="17"/>
  <c r="Q1288" i="17" s="1"/>
  <c r="P674" i="17"/>
  <c r="Q674" i="17" s="1"/>
  <c r="P1290" i="17"/>
  <c r="Q1290" i="17" s="1"/>
  <c r="P1291" i="17"/>
  <c r="Q1291" i="17" s="1"/>
  <c r="P1292" i="17"/>
  <c r="Q1292" i="17" s="1"/>
  <c r="P1293" i="17"/>
  <c r="Q1293" i="17" s="1"/>
  <c r="P1294" i="17"/>
  <c r="Q1294" i="17" s="1"/>
  <c r="P756" i="17"/>
  <c r="Q756" i="17" s="1"/>
  <c r="P1296" i="17"/>
  <c r="Q1296" i="17" s="1"/>
  <c r="P1297" i="17"/>
  <c r="Q1297" i="17" s="1"/>
  <c r="P1298" i="17"/>
  <c r="Q1298" i="17" s="1"/>
  <c r="P1299" i="17"/>
  <c r="Q1299" i="17" s="1"/>
  <c r="P474" i="17"/>
  <c r="Q474" i="17" s="1"/>
  <c r="P1301" i="17"/>
  <c r="Q1301" i="17" s="1"/>
  <c r="P707" i="17"/>
  <c r="Q707" i="17" s="1"/>
  <c r="P1411" i="17"/>
  <c r="Q1411" i="17" s="1"/>
  <c r="P1304" i="17"/>
  <c r="Q1304" i="17" s="1"/>
  <c r="P1305" i="17"/>
  <c r="Q1305" i="17" s="1"/>
  <c r="P1306" i="17"/>
  <c r="Q1306" i="17" s="1"/>
  <c r="P1307" i="17"/>
  <c r="Q1307" i="17" s="1"/>
  <c r="P1308" i="17"/>
  <c r="Q1308" i="17" s="1"/>
  <c r="P1309" i="17"/>
  <c r="Q1309" i="17" s="1"/>
  <c r="P1310" i="17"/>
  <c r="Q1310" i="17" s="1"/>
  <c r="P1311" i="17"/>
  <c r="Q1311" i="17" s="1"/>
  <c r="P131" i="17"/>
  <c r="Q131" i="17" s="1"/>
  <c r="P1313" i="17"/>
  <c r="Q1313" i="17" s="1"/>
  <c r="P1314" i="17"/>
  <c r="Q1314" i="17" s="1"/>
  <c r="P1315" i="17"/>
  <c r="Q1315" i="17" s="1"/>
  <c r="P1316" i="17"/>
  <c r="Q1316" i="17" s="1"/>
  <c r="P1317" i="17"/>
  <c r="Q1317" i="17" s="1"/>
  <c r="P1318" i="17"/>
  <c r="Q1318" i="17" s="1"/>
  <c r="P1067" i="17"/>
  <c r="Q1067" i="17" s="1"/>
  <c r="P831" i="17"/>
  <c r="Q831" i="17" s="1"/>
  <c r="P1321" i="17"/>
  <c r="Q1321" i="17" s="1"/>
  <c r="P1322" i="17"/>
  <c r="Q1322" i="17" s="1"/>
  <c r="P1323" i="17"/>
  <c r="Q1323" i="17" s="1"/>
  <c r="P1324" i="17"/>
  <c r="Q1324" i="17" s="1"/>
  <c r="P235" i="17"/>
  <c r="Q235" i="17" s="1"/>
  <c r="P1326" i="17"/>
  <c r="Q1326" i="17" s="1"/>
  <c r="P1327" i="17"/>
  <c r="Q1327" i="17" s="1"/>
  <c r="P1328" i="17"/>
  <c r="Q1328" i="17" s="1"/>
  <c r="P1329" i="17"/>
  <c r="Q1329" i="17" s="1"/>
  <c r="P1330" i="17"/>
  <c r="Q1330" i="17" s="1"/>
  <c r="P827" i="17"/>
  <c r="Q827" i="17" s="1"/>
  <c r="P1312" i="17"/>
  <c r="Q1312" i="17" s="1"/>
  <c r="P1333" i="17"/>
  <c r="Q1333" i="17" s="1"/>
  <c r="P1399" i="17"/>
  <c r="Q1399" i="17" s="1"/>
  <c r="P1335" i="17"/>
  <c r="Q1335" i="17" s="1"/>
  <c r="P1336" i="17"/>
  <c r="Q1336" i="17" s="1"/>
  <c r="P1337" i="17"/>
  <c r="Q1337" i="17" s="1"/>
  <c r="P1338" i="17"/>
  <c r="Q1338" i="17" s="1"/>
  <c r="P1339" i="17"/>
  <c r="Q1339" i="17" s="1"/>
  <c r="P1340" i="17"/>
  <c r="Q1340" i="17" s="1"/>
  <c r="P1341" i="17"/>
  <c r="Q1341" i="17" s="1"/>
  <c r="P1626" i="17"/>
  <c r="Q1626" i="17" s="1"/>
  <c r="P1343" i="17"/>
  <c r="Q1343" i="17" s="1"/>
  <c r="P1344" i="17"/>
  <c r="Q1344" i="17" s="1"/>
  <c r="P1345" i="17"/>
  <c r="Q1345" i="17" s="1"/>
  <c r="P1346" i="17"/>
  <c r="Q1346" i="17" s="1"/>
  <c r="P1325" i="17"/>
  <c r="Q1325" i="17" s="1"/>
  <c r="P1348" i="17"/>
  <c r="Q1348" i="17" s="1"/>
  <c r="P1349" i="17"/>
  <c r="Q1349" i="17" s="1"/>
  <c r="P1350" i="17"/>
  <c r="Q1350" i="17" s="1"/>
  <c r="P1351" i="17"/>
  <c r="Q1351" i="17" s="1"/>
  <c r="P283" i="17"/>
  <c r="Q283" i="17" s="1"/>
  <c r="P1353" i="17"/>
  <c r="Q1353" i="17" s="1"/>
  <c r="P1354" i="17"/>
  <c r="Q1354" i="17" s="1"/>
  <c r="P1355" i="17"/>
  <c r="Q1355" i="17" s="1"/>
  <c r="P1356" i="17"/>
  <c r="Q1356" i="17" s="1"/>
  <c r="P1357" i="17"/>
  <c r="Q1357" i="17" s="1"/>
  <c r="P1358" i="17"/>
  <c r="Q1358" i="17" s="1"/>
  <c r="P132" i="17"/>
  <c r="Q132" i="17" s="1"/>
  <c r="P1360" i="17"/>
  <c r="Q1360" i="17" s="1"/>
  <c r="P1361" i="17"/>
  <c r="Q1361" i="17" s="1"/>
  <c r="P1103" i="17"/>
  <c r="Q1103" i="17" s="1"/>
  <c r="P803" i="17"/>
  <c r="Q803" i="17" s="1"/>
  <c r="P1364" i="17"/>
  <c r="Q1364" i="17" s="1"/>
  <c r="P1365" i="17"/>
  <c r="Q1365" i="17" s="1"/>
  <c r="P1220" i="17"/>
  <c r="Q1220" i="17" s="1"/>
  <c r="P1367" i="17"/>
  <c r="Q1367" i="17" s="1"/>
  <c r="P637" i="17"/>
  <c r="Q637" i="17" s="1"/>
  <c r="P1369" i="17"/>
  <c r="Q1369" i="17" s="1"/>
  <c r="P1370" i="17"/>
  <c r="Q1370" i="17" s="1"/>
  <c r="P1371" i="17"/>
  <c r="Q1371" i="17" s="1"/>
  <c r="P1372" i="17"/>
  <c r="Q1372" i="17" s="1"/>
  <c r="P1373" i="17"/>
  <c r="Q1373" i="17" s="1"/>
  <c r="P1374" i="17"/>
  <c r="Q1374" i="17" s="1"/>
  <c r="P1375" i="17"/>
  <c r="Q1375" i="17" s="1"/>
  <c r="P1376" i="17"/>
  <c r="Q1376" i="17" s="1"/>
  <c r="P1377" i="17"/>
  <c r="Q1377" i="17" s="1"/>
  <c r="P1378" i="17"/>
  <c r="Q1378" i="17" s="1"/>
  <c r="P1379" i="17"/>
  <c r="Q1379" i="17" s="1"/>
  <c r="P1380" i="17"/>
  <c r="Q1380" i="17" s="1"/>
  <c r="P1381" i="17"/>
  <c r="Q1381" i="17" s="1"/>
  <c r="P1382" i="17"/>
  <c r="Q1382" i="17" s="1"/>
  <c r="P1383" i="17"/>
  <c r="Q1383" i="17" s="1"/>
  <c r="P1384" i="17"/>
  <c r="Q1384" i="17" s="1"/>
  <c r="P1385" i="17"/>
  <c r="Q1385" i="17" s="1"/>
  <c r="P244" i="17"/>
  <c r="Q244" i="17" s="1"/>
  <c r="P312" i="17"/>
  <c r="Q312" i="17" s="1"/>
  <c r="P1388" i="17"/>
  <c r="Q1388" i="17" s="1"/>
  <c r="P524" i="17"/>
  <c r="Q524" i="17" s="1"/>
  <c r="P1390" i="17"/>
  <c r="Q1390" i="17" s="1"/>
  <c r="P1391" i="17"/>
  <c r="Q1391" i="17" s="1"/>
  <c r="P1392" i="17"/>
  <c r="Q1392" i="17" s="1"/>
  <c r="P1393" i="17"/>
  <c r="Q1393" i="17" s="1"/>
  <c r="P1394" i="17"/>
  <c r="Q1394" i="17" s="1"/>
  <c r="P1395" i="17"/>
  <c r="Q1395" i="17" s="1"/>
  <c r="P1396" i="17"/>
  <c r="Q1396" i="17" s="1"/>
  <c r="P617" i="17"/>
  <c r="Q617" i="17" s="1"/>
  <c r="P677" i="17"/>
  <c r="Q677" i="17" s="1"/>
  <c r="P31" i="17"/>
  <c r="Q31" i="17" s="1"/>
  <c r="P1400" i="17"/>
  <c r="Q1400" i="17" s="1"/>
  <c r="P1401" i="17"/>
  <c r="Q1401" i="17" s="1"/>
  <c r="P1402" i="17"/>
  <c r="Q1402" i="17" s="1"/>
  <c r="P1403" i="17"/>
  <c r="Q1403" i="17" s="1"/>
  <c r="P1404" i="17"/>
  <c r="Q1404" i="17" s="1"/>
  <c r="P53" i="17"/>
  <c r="Q53" i="17" s="1"/>
  <c r="P1406" i="17"/>
  <c r="Q1406" i="17" s="1"/>
  <c r="P1407" i="17"/>
  <c r="Q1407" i="17" s="1"/>
  <c r="P1408" i="17"/>
  <c r="Q1408" i="17" s="1"/>
  <c r="P1284" i="17"/>
  <c r="Q1284" i="17" s="1"/>
  <c r="P1410" i="17"/>
  <c r="Q1410" i="17" s="1"/>
  <c r="P18" i="17"/>
  <c r="Q18" i="17" s="1"/>
  <c r="P1412" i="17"/>
  <c r="Q1412" i="17" s="1"/>
  <c r="P1413" i="17"/>
  <c r="Q1413" i="17" s="1"/>
  <c r="P1414" i="17"/>
  <c r="Q1414" i="17" s="1"/>
  <c r="P1415" i="17"/>
  <c r="Q1415" i="17" s="1"/>
  <c r="P1416" i="17"/>
  <c r="Q1416" i="17" s="1"/>
  <c r="P1417" i="17"/>
  <c r="Q1417" i="17" s="1"/>
  <c r="P1418" i="17"/>
  <c r="Q1418" i="17" s="1"/>
  <c r="P1419" i="17"/>
  <c r="Q1419" i="17" s="1"/>
  <c r="P1157" i="17"/>
  <c r="Q1157" i="17" s="1"/>
  <c r="P102" i="17"/>
  <c r="Q102" i="17" s="1"/>
  <c r="P688" i="17"/>
  <c r="Q688" i="17" s="1"/>
  <c r="P1423" i="17"/>
  <c r="Q1423" i="17" s="1"/>
  <c r="P1424" i="17"/>
  <c r="Q1424" i="17" s="1"/>
  <c r="P1425" i="17"/>
  <c r="Q1425" i="17" s="1"/>
  <c r="P1426" i="17"/>
  <c r="Q1426" i="17" s="1"/>
  <c r="P1427" i="17"/>
  <c r="Q1427" i="17" s="1"/>
  <c r="P1428" i="17"/>
  <c r="Q1428" i="17" s="1"/>
  <c r="P1213" i="17"/>
  <c r="Q1213" i="17" s="1"/>
  <c r="P1430" i="17"/>
  <c r="Q1430" i="17" s="1"/>
  <c r="P1431" i="17"/>
  <c r="Q1431" i="17" s="1"/>
  <c r="P1432" i="17"/>
  <c r="Q1432" i="17" s="1"/>
  <c r="P1433" i="17"/>
  <c r="Q1433" i="17" s="1"/>
  <c r="P1434" i="17"/>
  <c r="Q1434" i="17" s="1"/>
  <c r="P1435" i="17"/>
  <c r="Q1435" i="17" s="1"/>
  <c r="P1436" i="17"/>
  <c r="Q1436" i="17" s="1"/>
  <c r="P1437" i="17"/>
  <c r="Q1437" i="17" s="1"/>
  <c r="P1438" i="17"/>
  <c r="Q1438" i="17" s="1"/>
  <c r="P1439" i="17"/>
  <c r="Q1439" i="17" s="1"/>
  <c r="P1440" i="17"/>
  <c r="Q1440" i="17" s="1"/>
  <c r="P1441" i="17"/>
  <c r="Q1441" i="17" s="1"/>
  <c r="P1442" i="17"/>
  <c r="Q1442" i="17" s="1"/>
  <c r="P1443" i="17"/>
  <c r="Q1443" i="17" s="1"/>
  <c r="P1444" i="17"/>
  <c r="Q1444" i="17" s="1"/>
  <c r="P345" i="17"/>
  <c r="Q345" i="17" s="1"/>
  <c r="P1446" i="17"/>
  <c r="Q1446" i="17" s="1"/>
  <c r="P1447" i="17"/>
  <c r="Q1447" i="17" s="1"/>
  <c r="P1448" i="17"/>
  <c r="Q1448" i="17" s="1"/>
  <c r="P656" i="17"/>
  <c r="Q656" i="17" s="1"/>
  <c r="P1450" i="17"/>
  <c r="Q1450" i="17" s="1"/>
  <c r="P1451" i="17"/>
  <c r="Q1451" i="17" s="1"/>
  <c r="P1452" i="17"/>
  <c r="Q1452" i="17" s="1"/>
  <c r="P1453" i="17"/>
  <c r="Q1453" i="17" s="1"/>
  <c r="P1454" i="17"/>
  <c r="Q1454" i="17" s="1"/>
  <c r="P1455" i="17"/>
  <c r="Q1455" i="17" s="1"/>
  <c r="P120" i="17"/>
  <c r="Q120" i="17" s="1"/>
  <c r="P1457" i="17"/>
  <c r="Q1457" i="17" s="1"/>
  <c r="P1458" i="17"/>
  <c r="Q1458" i="17" s="1"/>
  <c r="P1459" i="17"/>
  <c r="Q1459" i="17" s="1"/>
  <c r="P1460" i="17"/>
  <c r="Q1460" i="17" s="1"/>
  <c r="P1461" i="17"/>
  <c r="Q1461" i="17" s="1"/>
  <c r="P1462" i="17"/>
  <c r="Q1462" i="17" s="1"/>
  <c r="P1463" i="17"/>
  <c r="Q1463" i="17" s="1"/>
  <c r="P1464" i="17"/>
  <c r="Q1464" i="17" s="1"/>
  <c r="P1465" i="17"/>
  <c r="Q1465" i="17" s="1"/>
  <c r="P1466" i="17"/>
  <c r="Q1466" i="17" s="1"/>
  <c r="P1467" i="17"/>
  <c r="Q1467" i="17" s="1"/>
  <c r="P1893" i="17"/>
  <c r="Q1893" i="17" s="1"/>
  <c r="P1469" i="17"/>
  <c r="Q1469" i="17" s="1"/>
  <c r="P1470" i="17"/>
  <c r="Q1470" i="17" s="1"/>
  <c r="P1471" i="17"/>
  <c r="Q1471" i="17" s="1"/>
  <c r="P1472" i="17"/>
  <c r="Q1472" i="17" s="1"/>
  <c r="P1473" i="17"/>
  <c r="Q1473" i="17" s="1"/>
  <c r="P1474" i="17"/>
  <c r="Q1474" i="17" s="1"/>
  <c r="P1475" i="17"/>
  <c r="Q1475" i="17" s="1"/>
  <c r="P1476" i="17"/>
  <c r="Q1476" i="17" s="1"/>
  <c r="P1477" i="17"/>
  <c r="Q1477" i="17" s="1"/>
  <c r="P1478" i="17"/>
  <c r="Q1478" i="17" s="1"/>
  <c r="P1479" i="17"/>
  <c r="Q1479" i="17" s="1"/>
  <c r="P1480" i="17"/>
  <c r="Q1480" i="17" s="1"/>
  <c r="P1481" i="17"/>
  <c r="Q1481" i="17" s="1"/>
  <c r="P1482" i="17"/>
  <c r="Q1482" i="17" s="1"/>
  <c r="P1483" i="17"/>
  <c r="Q1483" i="17" s="1"/>
  <c r="P1484" i="17"/>
  <c r="Q1484" i="17" s="1"/>
  <c r="P1485" i="17"/>
  <c r="Q1485" i="17" s="1"/>
  <c r="P1486" i="17"/>
  <c r="Q1486" i="17" s="1"/>
  <c r="P766" i="17"/>
  <c r="Q766" i="17" s="1"/>
  <c r="P1488" i="17"/>
  <c r="Q1488" i="17" s="1"/>
  <c r="P1489" i="17"/>
  <c r="Q1489" i="17" s="1"/>
  <c r="P1490" i="17"/>
  <c r="Q1490" i="17" s="1"/>
  <c r="P1491" i="17"/>
  <c r="Q1491" i="17" s="1"/>
  <c r="P1492" i="17"/>
  <c r="Q1492" i="17" s="1"/>
  <c r="P1283" i="17"/>
  <c r="Q1283" i="17" s="1"/>
  <c r="P320" i="17"/>
  <c r="Q320" i="17" s="1"/>
  <c r="P1495" i="17"/>
  <c r="Q1495" i="17" s="1"/>
  <c r="P1496" i="17"/>
  <c r="Q1496" i="17" s="1"/>
  <c r="P1497" i="17"/>
  <c r="Q1497" i="17" s="1"/>
  <c r="P1498" i="17"/>
  <c r="Q1498" i="17" s="1"/>
  <c r="P1499" i="17"/>
  <c r="Q1499" i="17" s="1"/>
  <c r="P1500" i="17"/>
  <c r="Q1500" i="17" s="1"/>
  <c r="P844" i="17"/>
  <c r="Q844" i="17" s="1"/>
  <c r="P1502" i="17"/>
  <c r="Q1502" i="17" s="1"/>
  <c r="P1503" i="17"/>
  <c r="Q1503" i="17" s="1"/>
  <c r="P1504" i="17"/>
  <c r="Q1504" i="17" s="1"/>
  <c r="P1505" i="17"/>
  <c r="Q1505" i="17" s="1"/>
  <c r="P1506" i="17"/>
  <c r="Q1506" i="17" s="1"/>
  <c r="P1906" i="17"/>
  <c r="Q1906" i="17" s="1"/>
  <c r="P1508" i="17"/>
  <c r="Q1508" i="17" s="1"/>
  <c r="P1509" i="17"/>
  <c r="Q1509" i="17" s="1"/>
  <c r="P1510" i="17"/>
  <c r="Q1510" i="17" s="1"/>
  <c r="P1511" i="17"/>
  <c r="Q1511" i="17" s="1"/>
  <c r="P1512" i="17"/>
  <c r="Q1512" i="17" s="1"/>
  <c r="P1513" i="17"/>
  <c r="Q1513" i="17" s="1"/>
  <c r="P1514" i="17"/>
  <c r="Q1514" i="17" s="1"/>
  <c r="P1515" i="17"/>
  <c r="Q1515" i="17" s="1"/>
  <c r="P1516" i="17"/>
  <c r="Q1516" i="17" s="1"/>
  <c r="P1517" i="17"/>
  <c r="Q1517" i="17" s="1"/>
  <c r="P1518" i="17"/>
  <c r="Q1518" i="17" s="1"/>
  <c r="P1519" i="17"/>
  <c r="Q1519" i="17" s="1"/>
  <c r="P1520" i="17"/>
  <c r="Q1520" i="17" s="1"/>
  <c r="P1521" i="17"/>
  <c r="Q1521" i="17" s="1"/>
  <c r="P1522" i="17"/>
  <c r="Q1522" i="17" s="1"/>
  <c r="P1523" i="17"/>
  <c r="Q1523" i="17" s="1"/>
  <c r="P1524" i="17"/>
  <c r="Q1524" i="17" s="1"/>
  <c r="P1525" i="17"/>
  <c r="Q1525" i="17" s="1"/>
  <c r="P1526" i="17"/>
  <c r="Q1526" i="17" s="1"/>
  <c r="P1527" i="17"/>
  <c r="Q1527" i="17" s="1"/>
  <c r="P1528" i="17"/>
  <c r="Q1528" i="17" s="1"/>
  <c r="P1529" i="17"/>
  <c r="Q1529" i="17" s="1"/>
  <c r="P1530" i="17"/>
  <c r="Q1530" i="17" s="1"/>
  <c r="P1531" i="17"/>
  <c r="Q1531" i="17" s="1"/>
  <c r="P1532" i="17"/>
  <c r="Q1532" i="17" s="1"/>
  <c r="P1533" i="17"/>
  <c r="Q1533" i="17" s="1"/>
  <c r="P1534" i="17"/>
  <c r="Q1534" i="17" s="1"/>
  <c r="P1535" i="17"/>
  <c r="Q1535" i="17" s="1"/>
  <c r="P1536" i="17"/>
  <c r="Q1536" i="17" s="1"/>
  <c r="P149" i="17"/>
  <c r="Q149" i="17" s="1"/>
  <c r="P1538" i="17"/>
  <c r="Q1538" i="17" s="1"/>
  <c r="P1866" i="17"/>
  <c r="Q1866" i="17" s="1"/>
  <c r="P1540" i="17"/>
  <c r="Q1540" i="17" s="1"/>
  <c r="P1541" i="17"/>
  <c r="Q1541" i="17" s="1"/>
  <c r="P1542" i="17"/>
  <c r="Q1542" i="17" s="1"/>
  <c r="P1543" i="17"/>
  <c r="Q1543" i="17" s="1"/>
  <c r="P1544" i="17"/>
  <c r="Q1544" i="17" s="1"/>
  <c r="P1545" i="17"/>
  <c r="Q1545" i="17" s="1"/>
  <c r="P1546" i="17"/>
  <c r="Q1546" i="17" s="1"/>
  <c r="P1547" i="17"/>
  <c r="Q1547" i="17" s="1"/>
  <c r="P1548" i="17"/>
  <c r="Q1548" i="17" s="1"/>
  <c r="P1549" i="17"/>
  <c r="Q1549" i="17" s="1"/>
  <c r="P1550" i="17"/>
  <c r="Q1550" i="17" s="1"/>
  <c r="P1551" i="17"/>
  <c r="Q1551" i="17" s="1"/>
  <c r="P1552" i="17"/>
  <c r="Q1552" i="17" s="1"/>
  <c r="P1553" i="17"/>
  <c r="Q1553" i="17" s="1"/>
  <c r="P1554" i="17"/>
  <c r="Q1554" i="17" s="1"/>
  <c r="P1555" i="17"/>
  <c r="Q1555" i="17" s="1"/>
  <c r="P1556" i="17"/>
  <c r="Q1556" i="17" s="1"/>
  <c r="P1557" i="17"/>
  <c r="Q1557" i="17" s="1"/>
  <c r="P1125" i="17"/>
  <c r="Q1125" i="17" s="1"/>
  <c r="P1559" i="17"/>
  <c r="Q1559" i="17" s="1"/>
  <c r="P1560" i="17"/>
  <c r="Q1560" i="17" s="1"/>
  <c r="P1561" i="17"/>
  <c r="Q1561" i="17" s="1"/>
  <c r="P1562" i="17"/>
  <c r="Q1562" i="17" s="1"/>
  <c r="P919" i="17"/>
  <c r="Q919" i="17" s="1"/>
  <c r="P1564" i="17"/>
  <c r="Q1564" i="17" s="1"/>
  <c r="P1565" i="17"/>
  <c r="Q1565" i="17" s="1"/>
  <c r="P1566" i="17"/>
  <c r="Q1566" i="17" s="1"/>
  <c r="P1567" i="17"/>
  <c r="Q1567" i="17" s="1"/>
  <c r="P1568" i="17"/>
  <c r="Q1568" i="17" s="1"/>
  <c r="P1569" i="17"/>
  <c r="Q1569" i="17" s="1"/>
  <c r="P1659" i="17"/>
  <c r="Q1659" i="17" s="1"/>
  <c r="P1571" i="17"/>
  <c r="Q1571" i="17" s="1"/>
  <c r="P1572" i="17"/>
  <c r="Q1572" i="17" s="1"/>
  <c r="P1573" i="17"/>
  <c r="Q1573" i="17" s="1"/>
  <c r="P1574" i="17"/>
  <c r="Q1574" i="17" s="1"/>
  <c r="P1575" i="17"/>
  <c r="Q1575" i="17" s="1"/>
  <c r="P1576" i="17"/>
  <c r="Q1576" i="17" s="1"/>
  <c r="P1577" i="17"/>
  <c r="Q1577" i="17" s="1"/>
  <c r="P1578" i="17"/>
  <c r="Q1578" i="17" s="1"/>
  <c r="P1579" i="17"/>
  <c r="Q1579" i="17" s="1"/>
  <c r="P1580" i="17"/>
  <c r="Q1580" i="17" s="1"/>
  <c r="P1581" i="17"/>
  <c r="Q1581" i="17" s="1"/>
  <c r="P1582" i="17"/>
  <c r="Q1582" i="17" s="1"/>
  <c r="P1583" i="17"/>
  <c r="Q1583" i="17" s="1"/>
  <c r="P1584" i="17"/>
  <c r="Q1584" i="17" s="1"/>
  <c r="P1585" i="17"/>
  <c r="Q1585" i="17" s="1"/>
  <c r="P1090" i="17"/>
  <c r="Q1090" i="17" s="1"/>
  <c r="P1587" i="17"/>
  <c r="Q1587" i="17" s="1"/>
  <c r="P1588" i="17"/>
  <c r="Q1588" i="17" s="1"/>
  <c r="P1824" i="17"/>
  <c r="Q1824" i="17" s="1"/>
  <c r="P1590" i="17"/>
  <c r="Q1590" i="17" s="1"/>
  <c r="P1589" i="17"/>
  <c r="Q1589" i="17" s="1"/>
  <c r="P1592" i="17"/>
  <c r="Q1592" i="17" s="1"/>
  <c r="P1593" i="17"/>
  <c r="Q1593" i="17" s="1"/>
  <c r="P1594" i="17"/>
  <c r="Q1594" i="17" s="1"/>
  <c r="P1595" i="17"/>
  <c r="Q1595" i="17" s="1"/>
  <c r="P619" i="17"/>
  <c r="Q619" i="17" s="1"/>
  <c r="P1597" i="17"/>
  <c r="Q1597" i="17" s="1"/>
  <c r="P1598" i="17"/>
  <c r="Q1598" i="17" s="1"/>
  <c r="P1599" i="17"/>
  <c r="Q1599" i="17" s="1"/>
  <c r="P1600" i="17"/>
  <c r="Q1600" i="17" s="1"/>
  <c r="P1601" i="17"/>
  <c r="Q1601" i="17" s="1"/>
  <c r="P833" i="17"/>
  <c r="Q833" i="17" s="1"/>
  <c r="P1603" i="17"/>
  <c r="Q1603" i="17" s="1"/>
  <c r="P1604" i="17"/>
  <c r="Q1604" i="17" s="1"/>
  <c r="P1785" i="17"/>
  <c r="Q1785" i="17" s="1"/>
  <c r="P1606" i="17"/>
  <c r="Q1606" i="17" s="1"/>
  <c r="P1397" i="17"/>
  <c r="Q1397" i="17" s="1"/>
  <c r="P870" i="17"/>
  <c r="Q870" i="17" s="1"/>
  <c r="P1609" i="17"/>
  <c r="Q1609" i="17" s="1"/>
  <c r="P1610" i="17"/>
  <c r="Q1610" i="17" s="1"/>
  <c r="P1611" i="17"/>
  <c r="Q1611" i="17" s="1"/>
  <c r="P1612" i="17"/>
  <c r="Q1612" i="17" s="1"/>
  <c r="P1613" i="17"/>
  <c r="Q1613" i="17" s="1"/>
  <c r="P1614" i="17"/>
  <c r="Q1614" i="17" s="1"/>
  <c r="P1615" i="17"/>
  <c r="Q1615" i="17" s="1"/>
  <c r="P1616" i="17"/>
  <c r="Q1616" i="17" s="1"/>
  <c r="P1617" i="17"/>
  <c r="Q1617" i="17" s="1"/>
  <c r="P1618" i="17"/>
  <c r="Q1618" i="17" s="1"/>
  <c r="P1619" i="17"/>
  <c r="Q1619" i="17" s="1"/>
  <c r="P1620" i="17"/>
  <c r="Q1620" i="17" s="1"/>
  <c r="P1621" i="17"/>
  <c r="Q1621" i="17" s="1"/>
  <c r="P1622" i="17"/>
  <c r="Q1622" i="17" s="1"/>
  <c r="P1623" i="17"/>
  <c r="Q1623" i="17" s="1"/>
  <c r="P1624" i="17"/>
  <c r="Q1624" i="17" s="1"/>
  <c r="P1625" i="17"/>
  <c r="Q1625" i="17" s="1"/>
  <c r="P206" i="17"/>
  <c r="Q206" i="17" s="1"/>
  <c r="P1627" i="17"/>
  <c r="Q1627" i="17" s="1"/>
  <c r="P1628" i="17"/>
  <c r="Q1628" i="17" s="1"/>
  <c r="P1629" i="17"/>
  <c r="Q1629" i="17" s="1"/>
  <c r="P1074" i="17"/>
  <c r="Q1074" i="17" s="1"/>
  <c r="P1631" i="17"/>
  <c r="Q1631" i="17" s="1"/>
  <c r="P1632" i="17"/>
  <c r="Q1632" i="17" s="1"/>
  <c r="P1633" i="17"/>
  <c r="Q1633" i="17" s="1"/>
  <c r="P1634" i="17"/>
  <c r="Q1634" i="17" s="1"/>
  <c r="P1635" i="17"/>
  <c r="Q1635" i="17" s="1"/>
  <c r="P1636" i="17"/>
  <c r="Q1636" i="17" s="1"/>
  <c r="P1637" i="17"/>
  <c r="Q1637" i="17" s="1"/>
  <c r="P1638" i="17"/>
  <c r="Q1638" i="17" s="1"/>
  <c r="P1639" i="17"/>
  <c r="Q1639" i="17" s="1"/>
  <c r="P1640" i="17"/>
  <c r="Q1640" i="17" s="1"/>
  <c r="P1641" i="17"/>
  <c r="Q1641" i="17" s="1"/>
  <c r="P1642" i="17"/>
  <c r="Q1642" i="17" s="1"/>
  <c r="P1643" i="17"/>
  <c r="Q1643" i="17" s="1"/>
  <c r="P1644" i="17"/>
  <c r="Q1644" i="17" s="1"/>
  <c r="P1645" i="17"/>
  <c r="Q1645" i="17" s="1"/>
  <c r="P1646" i="17"/>
  <c r="Q1646" i="17" s="1"/>
  <c r="P1647" i="17"/>
  <c r="Q1647" i="17" s="1"/>
  <c r="P1648" i="17"/>
  <c r="Q1648" i="17" s="1"/>
  <c r="P1649" i="17"/>
  <c r="Q1649" i="17" s="1"/>
  <c r="P1650" i="17"/>
  <c r="Q1650" i="17" s="1"/>
  <c r="P157" i="17"/>
  <c r="Q157" i="17" s="1"/>
  <c r="P806" i="17"/>
  <c r="Q806" i="17" s="1"/>
  <c r="P488" i="17"/>
  <c r="Q488" i="17" s="1"/>
  <c r="P381" i="17"/>
  <c r="Q381" i="17" s="1"/>
  <c r="P1655" i="17"/>
  <c r="Q1655" i="17" s="1"/>
  <c r="P1656" i="17"/>
  <c r="Q1656" i="17" s="1"/>
  <c r="P1657" i="17"/>
  <c r="Q1657" i="17" s="1"/>
  <c r="P1658" i="17"/>
  <c r="Q1658" i="17" s="1"/>
  <c r="P767" i="17"/>
  <c r="Q767" i="17" s="1"/>
  <c r="P1660" i="17"/>
  <c r="Q1660" i="17" s="1"/>
  <c r="P1661" i="17"/>
  <c r="Q1661" i="17" s="1"/>
  <c r="P1662" i="17"/>
  <c r="Q1662" i="17" s="1"/>
  <c r="P1663" i="17"/>
  <c r="Q1663" i="17" s="1"/>
  <c r="P1664" i="17"/>
  <c r="Q1664" i="17" s="1"/>
  <c r="P1665" i="17"/>
  <c r="Q1665" i="17" s="1"/>
  <c r="P1666" i="17"/>
  <c r="Q1666" i="17" s="1"/>
  <c r="P1667" i="17"/>
  <c r="Q1667" i="17" s="1"/>
  <c r="P1668" i="17"/>
  <c r="Q1668" i="17" s="1"/>
  <c r="P1669" i="17"/>
  <c r="Q1669" i="17" s="1"/>
  <c r="P1670" i="17"/>
  <c r="Q1670" i="17" s="1"/>
  <c r="P1671" i="17"/>
  <c r="Q1671" i="17" s="1"/>
  <c r="P1672" i="17"/>
  <c r="Q1672" i="17" s="1"/>
  <c r="P1673" i="17"/>
  <c r="Q1673" i="17" s="1"/>
  <c r="P1674" i="17"/>
  <c r="Q1674" i="17" s="1"/>
  <c r="P134" i="17"/>
  <c r="Q134" i="17" s="1"/>
  <c r="P12" i="17"/>
  <c r="Q12" i="17" s="1"/>
  <c r="P1677" i="17"/>
  <c r="Q1677" i="17" s="1"/>
  <c r="P1678" i="17"/>
  <c r="Q1678" i="17" s="1"/>
  <c r="P1679" i="17"/>
  <c r="Q1679" i="17" s="1"/>
  <c r="P1680" i="17"/>
  <c r="Q1680" i="17" s="1"/>
  <c r="P1681" i="17"/>
  <c r="Q1681" i="17" s="1"/>
  <c r="P1682" i="17"/>
  <c r="Q1682" i="17" s="1"/>
  <c r="P1683" i="17"/>
  <c r="Q1683" i="17" s="1"/>
  <c r="P1684" i="17"/>
  <c r="Q1684" i="17" s="1"/>
  <c r="P1685" i="17"/>
  <c r="Q1685" i="17" s="1"/>
  <c r="P1686" i="17"/>
  <c r="Q1686" i="17" s="1"/>
  <c r="P545" i="17"/>
  <c r="Q545" i="17" s="1"/>
  <c r="P1688" i="17"/>
  <c r="Q1688" i="17" s="1"/>
  <c r="P1689" i="17"/>
  <c r="Q1689" i="17" s="1"/>
  <c r="P770" i="17"/>
  <c r="Q770" i="17" s="1"/>
  <c r="P1691" i="17"/>
  <c r="Q1691" i="17" s="1"/>
  <c r="P1692" i="17"/>
  <c r="Q1692" i="17" s="1"/>
  <c r="P85" i="17"/>
  <c r="Q85" i="17" s="1"/>
  <c r="P1694" i="17"/>
  <c r="Q1694" i="17" s="1"/>
  <c r="P1695" i="17"/>
  <c r="Q1695" i="17" s="1"/>
  <c r="P1843" i="17"/>
  <c r="Q1843" i="17" s="1"/>
  <c r="P1697" i="17"/>
  <c r="Q1697" i="17" s="1"/>
  <c r="P1698" i="17"/>
  <c r="Q1698" i="17" s="1"/>
  <c r="P1155" i="17"/>
  <c r="Q1155" i="17" s="1"/>
  <c r="P1700" i="17"/>
  <c r="Q1700" i="17" s="1"/>
  <c r="P1701" i="17"/>
  <c r="Q1701" i="17" s="1"/>
  <c r="P1014" i="17"/>
  <c r="Q1014" i="17" s="1"/>
  <c r="P1630" i="17"/>
  <c r="Q1630" i="17" s="1"/>
  <c r="P1704" i="17"/>
  <c r="Q1704" i="17" s="1"/>
  <c r="P1705" i="17"/>
  <c r="Q1705" i="17" s="1"/>
  <c r="P1706" i="17"/>
  <c r="Q1706" i="17" s="1"/>
  <c r="P1790" i="17"/>
  <c r="Q1790" i="17" s="1"/>
  <c r="P1708" i="17"/>
  <c r="Q1708" i="17" s="1"/>
  <c r="P1709" i="17"/>
  <c r="Q1709" i="17" s="1"/>
  <c r="P1710" i="17"/>
  <c r="Q1710" i="17" s="1"/>
  <c r="P1711" i="17"/>
  <c r="Q1711" i="17" s="1"/>
  <c r="P1712" i="17"/>
  <c r="Q1712" i="17" s="1"/>
  <c r="P1713" i="17"/>
  <c r="Q1713" i="17" s="1"/>
  <c r="P1714" i="17"/>
  <c r="Q1714" i="17" s="1"/>
  <c r="P32" i="17"/>
  <c r="Q32" i="17" s="1"/>
  <c r="P917" i="17"/>
  <c r="Q917" i="17" s="1"/>
  <c r="P1717" i="17"/>
  <c r="Q1717" i="17" s="1"/>
  <c r="P1718" i="17"/>
  <c r="Q1718" i="17" s="1"/>
  <c r="P109" i="17"/>
  <c r="Q109" i="17" s="1"/>
  <c r="P351" i="17"/>
  <c r="Q351" i="17" s="1"/>
  <c r="P924" i="17"/>
  <c r="Q924" i="17" s="1"/>
  <c r="P1722" i="17"/>
  <c r="Q1722" i="17" s="1"/>
  <c r="P1723" i="17"/>
  <c r="Q1723" i="17" s="1"/>
  <c r="P1724" i="17"/>
  <c r="Q1724" i="17" s="1"/>
  <c r="P1725" i="17"/>
  <c r="Q1725" i="17" s="1"/>
  <c r="P1726" i="17"/>
  <c r="Q1726" i="17" s="1"/>
  <c r="P1727" i="17"/>
  <c r="Q1727" i="17" s="1"/>
  <c r="P1728" i="17"/>
  <c r="Q1728" i="17" s="1"/>
  <c r="P1729" i="17"/>
  <c r="Q1729" i="17" s="1"/>
  <c r="P1730" i="17"/>
  <c r="Q1730" i="17" s="1"/>
  <c r="P1731" i="17"/>
  <c r="Q1731" i="17" s="1"/>
  <c r="P1732" i="17"/>
  <c r="Q1732" i="17" s="1"/>
  <c r="P1733" i="17"/>
  <c r="Q1733" i="17" s="1"/>
  <c r="P1734" i="17"/>
  <c r="Q1734" i="17" s="1"/>
  <c r="P1735" i="17"/>
  <c r="Q1735" i="17" s="1"/>
  <c r="P1736" i="17"/>
  <c r="Q1736" i="17" s="1"/>
  <c r="P1737" i="17"/>
  <c r="Q1737" i="17" s="1"/>
  <c r="P1738" i="17"/>
  <c r="Q1738" i="17" s="1"/>
  <c r="P1739" i="17"/>
  <c r="Q1739" i="17" s="1"/>
  <c r="P1740" i="17"/>
  <c r="Q1740" i="17" s="1"/>
  <c r="P1741" i="17"/>
  <c r="Q1741" i="17" s="1"/>
  <c r="P1742" i="17"/>
  <c r="Q1742" i="17" s="1"/>
  <c r="P1743" i="17"/>
  <c r="Q1743" i="17" s="1"/>
  <c r="P1744" i="17"/>
  <c r="Q1744" i="17" s="1"/>
  <c r="P1745" i="17"/>
  <c r="Q1745" i="17" s="1"/>
  <c r="P1746" i="17"/>
  <c r="Q1746" i="17" s="1"/>
  <c r="P1747" i="17"/>
  <c r="Q1747" i="17" s="1"/>
  <c r="P1347" i="17"/>
  <c r="Q1347" i="17" s="1"/>
  <c r="P1749" i="17"/>
  <c r="Q1749" i="17" s="1"/>
  <c r="P1750" i="17"/>
  <c r="Q1750" i="17" s="1"/>
  <c r="P1751" i="17"/>
  <c r="Q1751" i="17" s="1"/>
  <c r="P1752" i="17"/>
  <c r="Q1752" i="17" s="1"/>
  <c r="P1753" i="17"/>
  <c r="Q1753" i="17" s="1"/>
  <c r="P1754" i="17"/>
  <c r="Q1754" i="17" s="1"/>
  <c r="P1494" i="17"/>
  <c r="Q1494" i="17" s="1"/>
  <c r="P1756" i="17"/>
  <c r="Q1756" i="17" s="1"/>
  <c r="P909" i="17"/>
  <c r="Q909" i="17" s="1"/>
  <c r="P1758" i="17"/>
  <c r="Q1758" i="17" s="1"/>
  <c r="P1759" i="17"/>
  <c r="Q1759" i="17" s="1"/>
  <c r="P1760" i="17"/>
  <c r="Q1760" i="17" s="1"/>
  <c r="P1761" i="17"/>
  <c r="Q1761" i="17" s="1"/>
  <c r="P1762" i="17"/>
  <c r="Q1762" i="17" s="1"/>
  <c r="P1763" i="17"/>
  <c r="Q1763" i="17" s="1"/>
  <c r="P1764" i="17"/>
  <c r="Q1764" i="17" s="1"/>
  <c r="P1765" i="17"/>
  <c r="Q1765" i="17" s="1"/>
  <c r="P1766" i="17"/>
  <c r="Q1766" i="17" s="1"/>
  <c r="P1127" i="17"/>
  <c r="Q1127" i="17" s="1"/>
  <c r="P1768" i="17"/>
  <c r="Q1768" i="17" s="1"/>
  <c r="P413" i="17"/>
  <c r="Q413" i="17" s="1"/>
  <c r="P1770" i="17"/>
  <c r="Q1770" i="17" s="1"/>
  <c r="P811" i="17"/>
  <c r="Q811" i="17" s="1"/>
  <c r="P1772" i="17"/>
  <c r="Q1772" i="17" s="1"/>
  <c r="P861" i="17"/>
  <c r="Q861" i="17" s="1"/>
  <c r="P1774" i="17"/>
  <c r="Q1774" i="17" s="1"/>
  <c r="P1775" i="17"/>
  <c r="Q1775" i="17" s="1"/>
  <c r="P1602" i="17"/>
  <c r="Q1602" i="17" s="1"/>
  <c r="P1777" i="17"/>
  <c r="Q1777" i="17" s="1"/>
  <c r="P1778" i="17"/>
  <c r="Q1778" i="17" s="1"/>
  <c r="P1779" i="17"/>
  <c r="Q1779" i="17" s="1"/>
  <c r="P1780" i="17"/>
  <c r="Q1780" i="17" s="1"/>
  <c r="P1781" i="17"/>
  <c r="Q1781" i="17" s="1"/>
  <c r="P1782" i="17"/>
  <c r="Q1782" i="17" s="1"/>
  <c r="P1783" i="17"/>
  <c r="Q1783" i="17" s="1"/>
  <c r="P1784" i="17"/>
  <c r="Q1784" i="17" s="1"/>
  <c r="P873" i="17"/>
  <c r="Q873" i="17" s="1"/>
  <c r="P1099" i="17"/>
  <c r="Q1099" i="17" s="1"/>
  <c r="P1787" i="17"/>
  <c r="Q1787" i="17" s="1"/>
  <c r="P1788" i="17"/>
  <c r="Q1788" i="17" s="1"/>
  <c r="P1789" i="17"/>
  <c r="Q1789" i="17" s="1"/>
  <c r="P419" i="17"/>
  <c r="Q419" i="17" s="1"/>
  <c r="P1791" i="17"/>
  <c r="Q1791" i="17" s="1"/>
  <c r="P1792" i="17"/>
  <c r="Q1792" i="17" s="1"/>
  <c r="P1793" i="17"/>
  <c r="Q1793" i="17" s="1"/>
  <c r="P1794" i="17"/>
  <c r="Q1794" i="17" s="1"/>
  <c r="P915" i="17"/>
  <c r="Q915" i="17" s="1"/>
  <c r="P1796" i="17"/>
  <c r="Q1796" i="17" s="1"/>
  <c r="P326" i="17"/>
  <c r="Q326" i="17" s="1"/>
  <c r="P1798" i="17"/>
  <c r="Q1798" i="17" s="1"/>
  <c r="P1799" i="17"/>
  <c r="Q1799" i="17" s="1"/>
  <c r="P472" i="17"/>
  <c r="Q472" i="17" s="1"/>
  <c r="P1801" i="17"/>
  <c r="Q1801" i="17" s="1"/>
  <c r="P1802" i="17"/>
  <c r="Q1802" i="17" s="1"/>
  <c r="P1803" i="17"/>
  <c r="Q1803" i="17" s="1"/>
  <c r="P1409" i="17"/>
  <c r="Q1409" i="17" s="1"/>
  <c r="P1805" i="17"/>
  <c r="Q1805" i="17" s="1"/>
  <c r="P1806" i="17"/>
  <c r="Q1806" i="17" s="1"/>
  <c r="P338" i="17"/>
  <c r="Q338" i="17" s="1"/>
  <c r="P1808" i="17"/>
  <c r="Q1808" i="17" s="1"/>
  <c r="P401" i="17"/>
  <c r="Q401" i="17" s="1"/>
  <c r="P1810" i="17"/>
  <c r="Q1810" i="17" s="1"/>
  <c r="P1811" i="17"/>
  <c r="Q1811" i="17" s="1"/>
  <c r="P1812" i="17"/>
  <c r="Q1812" i="17" s="1"/>
  <c r="P1813" i="17"/>
  <c r="Q1813" i="17" s="1"/>
  <c r="P1814" i="17"/>
  <c r="Q1814" i="17" s="1"/>
  <c r="P66" i="17"/>
  <c r="Q66" i="17" s="1"/>
  <c r="P1816" i="17"/>
  <c r="Q1816" i="17" s="1"/>
  <c r="P1817" i="17"/>
  <c r="Q1817" i="17" s="1"/>
  <c r="P1818" i="17"/>
  <c r="Q1818" i="17" s="1"/>
  <c r="P1819" i="17"/>
  <c r="Q1819" i="17" s="1"/>
  <c r="P1820" i="17"/>
  <c r="Q1820" i="17" s="1"/>
  <c r="P1821" i="17"/>
  <c r="Q1821" i="17" s="1"/>
  <c r="P1822" i="17"/>
  <c r="Q1822" i="17" s="1"/>
  <c r="P1823" i="17"/>
  <c r="Q1823" i="17" s="1"/>
  <c r="P1703" i="17"/>
  <c r="Q1703" i="17" s="1"/>
  <c r="P1825" i="17"/>
  <c r="Q1825" i="17" s="1"/>
  <c r="P1826" i="17"/>
  <c r="Q1826" i="17" s="1"/>
  <c r="P1827" i="17"/>
  <c r="Q1827" i="17" s="1"/>
  <c r="P1828" i="17"/>
  <c r="Q1828" i="17" s="1"/>
  <c r="P1829" i="17"/>
  <c r="Q1829" i="17" s="1"/>
  <c r="P294" i="17"/>
  <c r="Q294" i="17" s="1"/>
  <c r="P1831" i="17"/>
  <c r="Q1831" i="17" s="1"/>
  <c r="P1832" i="17"/>
  <c r="Q1832" i="17" s="1"/>
  <c r="P558" i="17"/>
  <c r="Q558" i="17" s="1"/>
  <c r="P1834" i="17"/>
  <c r="Q1834" i="17" s="1"/>
  <c r="P1835" i="17"/>
  <c r="Q1835" i="17" s="1"/>
  <c r="P1769" i="17"/>
  <c r="Q1769" i="17" s="1"/>
  <c r="P1837" i="17"/>
  <c r="Q1837" i="17" s="1"/>
  <c r="P1838" i="17"/>
  <c r="Q1838" i="17" s="1"/>
  <c r="P1839" i="17"/>
  <c r="Q1839" i="17" s="1"/>
  <c r="P1591" i="17"/>
  <c r="Q1591" i="17" s="1"/>
  <c r="P1841" i="17"/>
  <c r="Q1841" i="17" s="1"/>
  <c r="P886" i="17"/>
  <c r="Q886" i="17" s="1"/>
  <c r="P504" i="17"/>
  <c r="Q504" i="17" s="1"/>
  <c r="P435" i="17"/>
  <c r="Q435" i="17" s="1"/>
  <c r="P1845" i="17"/>
  <c r="Q1845" i="17" s="1"/>
  <c r="P1846" i="17"/>
  <c r="Q1846" i="17" s="1"/>
  <c r="P1847" i="17"/>
  <c r="Q1847" i="17" s="1"/>
  <c r="P1848" i="17"/>
  <c r="Q1848" i="17" s="1"/>
  <c r="P1849" i="17"/>
  <c r="Q1849" i="17" s="1"/>
  <c r="P1850" i="17"/>
  <c r="Q1850" i="17" s="1"/>
  <c r="P1851" i="17"/>
  <c r="Q1851" i="17" s="1"/>
  <c r="P1852" i="17"/>
  <c r="Q1852" i="17" s="1"/>
  <c r="P1853" i="17"/>
  <c r="Q1853" i="17" s="1"/>
  <c r="P1854" i="17"/>
  <c r="Q1854" i="17" s="1"/>
  <c r="P1855" i="17"/>
  <c r="Q1855" i="17" s="1"/>
  <c r="P1856" i="17"/>
  <c r="Q1856" i="17" s="1"/>
  <c r="P1857" i="17"/>
  <c r="Q1857" i="17" s="1"/>
  <c r="P1786" i="17"/>
  <c r="Q1786" i="17" s="1"/>
  <c r="P1859" i="17"/>
  <c r="Q1859" i="17" s="1"/>
  <c r="P1860" i="17"/>
  <c r="Q1860" i="17" s="1"/>
  <c r="P1861" i="17"/>
  <c r="Q1861" i="17" s="1"/>
  <c r="P1862" i="17"/>
  <c r="Q1862" i="17" s="1"/>
  <c r="P1863" i="17"/>
  <c r="Q1863" i="17" s="1"/>
  <c r="P605" i="17"/>
  <c r="Q605" i="17" s="1"/>
  <c r="P1865" i="17"/>
  <c r="Q1865" i="17" s="1"/>
  <c r="P371" i="17"/>
  <c r="Q371" i="17" s="1"/>
  <c r="P1867" i="17"/>
  <c r="Q1867" i="17" s="1"/>
  <c r="P1868" i="17"/>
  <c r="Q1868" i="17" s="1"/>
  <c r="P1869" i="17"/>
  <c r="Q1869" i="17" s="1"/>
  <c r="P1870" i="17"/>
  <c r="Q1870" i="17" s="1"/>
  <c r="P1871" i="17"/>
  <c r="Q1871" i="17" s="1"/>
  <c r="P1872" i="17"/>
  <c r="Q1872" i="17" s="1"/>
  <c r="P1873" i="17"/>
  <c r="Q1873" i="17" s="1"/>
  <c r="P1874" i="17"/>
  <c r="Q1874" i="17" s="1"/>
  <c r="P1875" i="17"/>
  <c r="Q1875" i="17" s="1"/>
  <c r="P1258" i="17"/>
  <c r="Q1258" i="17" s="1"/>
  <c r="P1877" i="17"/>
  <c r="Q1877" i="17" s="1"/>
  <c r="P1878" i="17"/>
  <c r="Q1878" i="17" s="1"/>
  <c r="P1879" i="17"/>
  <c r="Q1879" i="17" s="1"/>
  <c r="P1880" i="17"/>
  <c r="Q1880" i="17" s="1"/>
  <c r="P1881" i="17"/>
  <c r="Q1881" i="17" s="1"/>
  <c r="P1882" i="17"/>
  <c r="Q1882" i="17" s="1"/>
  <c r="P1883" i="17"/>
  <c r="Q1883" i="17" s="1"/>
  <c r="P1884" i="17"/>
  <c r="Q1884" i="17" s="1"/>
  <c r="P1885" i="17"/>
  <c r="Q1885" i="17" s="1"/>
  <c r="P1886" i="17"/>
  <c r="Q1886" i="17" s="1"/>
  <c r="P1887" i="17"/>
  <c r="Q1887" i="17" s="1"/>
  <c r="P1888" i="17"/>
  <c r="Q1888" i="17" s="1"/>
  <c r="P1889" i="17"/>
  <c r="Q1889" i="17" s="1"/>
  <c r="P1100" i="17"/>
  <c r="Q1100" i="17" s="1"/>
  <c r="P860" i="17"/>
  <c r="Q860" i="17" s="1"/>
  <c r="P1892" i="17"/>
  <c r="Q1892" i="17" s="1"/>
  <c r="P1570" i="17"/>
  <c r="Q1570" i="17" s="1"/>
  <c r="P1894" i="17"/>
  <c r="Q1894" i="17" s="1"/>
  <c r="P1895" i="17"/>
  <c r="Q1895" i="17" s="1"/>
  <c r="P1896" i="17"/>
  <c r="Q1896" i="17" s="1"/>
  <c r="P1897" i="17"/>
  <c r="Q1897" i="17" s="1"/>
  <c r="P1898" i="17"/>
  <c r="Q1898" i="17" s="1"/>
  <c r="P1899" i="17"/>
  <c r="Q1899" i="17" s="1"/>
  <c r="P1900" i="17"/>
  <c r="Q1900" i="17" s="1"/>
  <c r="P1901" i="17"/>
  <c r="Q1901" i="17" s="1"/>
  <c r="P1902" i="17"/>
  <c r="Q1902" i="17" s="1"/>
  <c r="P221" i="17"/>
  <c r="Q221" i="17" s="1"/>
  <c r="P1904" i="17"/>
  <c r="Q1904" i="17" s="1"/>
  <c r="P1905" i="17"/>
  <c r="Q1905" i="17" s="1"/>
  <c r="P744" i="17"/>
  <c r="Q744" i="17" s="1"/>
  <c r="P1907" i="17"/>
  <c r="Q1907" i="17" s="1"/>
  <c r="P1908" i="17"/>
  <c r="Q1908" i="17" s="1"/>
  <c r="P1909" i="17"/>
  <c r="Q1909" i="17" s="1"/>
  <c r="P1910" i="17"/>
  <c r="Q1910" i="17" s="1"/>
  <c r="P35" i="17"/>
  <c r="Q35" i="17" s="1"/>
  <c r="P532" i="17"/>
  <c r="Q532" i="17" s="1"/>
  <c r="P1913" i="17"/>
  <c r="Q1913" i="17" s="1"/>
  <c r="P1256" i="17"/>
  <c r="Q1256" i="17" s="1"/>
  <c r="P1164" i="17"/>
  <c r="Q1164" i="17" s="1"/>
  <c r="P1916" i="17"/>
  <c r="Q1916" i="17" s="1"/>
  <c r="P1917" i="17"/>
  <c r="Q1917" i="17" s="1"/>
  <c r="P1918" i="17"/>
  <c r="Q1918" i="17" s="1"/>
  <c r="P1919" i="17"/>
  <c r="Q1919" i="17" s="1"/>
  <c r="P1920" i="17"/>
  <c r="Q1920" i="17" s="1"/>
  <c r="P1921" i="17"/>
  <c r="Q1921" i="17" s="1"/>
  <c r="P1922" i="17"/>
  <c r="Q1922" i="17" s="1"/>
  <c r="P1923" i="17"/>
  <c r="Q1923" i="17" s="1"/>
  <c r="P1295" i="17"/>
  <c r="Q1295" i="17" s="1"/>
  <c r="P1925" i="17"/>
  <c r="Q1925" i="17" s="1"/>
  <c r="P1926" i="17"/>
  <c r="Q192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C6CD7A-3E1D-41EB-B061-F6D8872AF7D6}" name="Connection" type="4" refreshedVersion="6" background="1" saveData="1">
    <webPr xl2000="1" url="https://www.nseindia.com/products/content/sec_bhavdata_full.csv" htmlFormat="all"/>
  </connection>
</connections>
</file>

<file path=xl/sharedStrings.xml><?xml version="1.0" encoding="utf-8"?>
<sst xmlns="http://schemas.openxmlformats.org/spreadsheetml/2006/main" count="6120" uniqueCount="1874">
  <si>
    <t>SYMBOL</t>
  </si>
  <si>
    <t xml:space="preserve"> SERIES</t>
  </si>
  <si>
    <t xml:space="preserve"> DATE1</t>
  </si>
  <si>
    <t xml:space="preserve"> PREV_CLOSE</t>
  </si>
  <si>
    <t xml:space="preserve"> OPEN_PRICE</t>
  </si>
  <si>
    <t xml:space="preserve"> HIGH_PRICE</t>
  </si>
  <si>
    <t xml:space="preserve"> LOW_PRICE</t>
  </si>
  <si>
    <t xml:space="preserve"> LAST_PRICE</t>
  </si>
  <si>
    <t xml:space="preserve"> CLOSE_PRICE</t>
  </si>
  <si>
    <t xml:space="preserve"> AVG_PRICE</t>
  </si>
  <si>
    <t xml:space="preserve"> TTL_TRD_QNTY</t>
  </si>
  <si>
    <t xml:space="preserve"> TURNOVER_LACS</t>
  </si>
  <si>
    <t xml:space="preserve"> NO_OF_TRADES</t>
  </si>
  <si>
    <t xml:space="preserve"> DELIV_QTY</t>
  </si>
  <si>
    <t xml:space="preserve"> DELIV_PER</t>
  </si>
  <si>
    <t>20MICRONS</t>
  </si>
  <si>
    <t xml:space="preserve"> EQ</t>
  </si>
  <si>
    <t>21STCENMGM</t>
  </si>
  <si>
    <t>3IINFOTECH</t>
  </si>
  <si>
    <t>3MINDIA</t>
  </si>
  <si>
    <t>5PAISA</t>
  </si>
  <si>
    <t>63MOONS</t>
  </si>
  <si>
    <t xml:space="preserve"> GS</t>
  </si>
  <si>
    <t>8KMILES</t>
  </si>
  <si>
    <t xml:space="preserve"> BZ</t>
  </si>
  <si>
    <t xml:space="preserve"> -</t>
  </si>
  <si>
    <t>A2ZINFRA</t>
  </si>
  <si>
    <t>AARON</t>
  </si>
  <si>
    <t xml:space="preserve"> SM</t>
  </si>
  <si>
    <t>AARTIDRUGS</t>
  </si>
  <si>
    <t>AARTIIND</t>
  </si>
  <si>
    <t>AARVEEDEN</t>
  </si>
  <si>
    <t>AAVAS</t>
  </si>
  <si>
    <t>ABAN</t>
  </si>
  <si>
    <t>ABB</t>
  </si>
  <si>
    <t>ABBOTINDIA</t>
  </si>
  <si>
    <t>ABCAPITAL</t>
  </si>
  <si>
    <t>ABFRL</t>
  </si>
  <si>
    <t>ABINFRA</t>
  </si>
  <si>
    <t xml:space="preserve"> BE</t>
  </si>
  <si>
    <t>ABSLNN50ET</t>
  </si>
  <si>
    <t>ABSLRIF6RG</t>
  </si>
  <si>
    <t xml:space="preserve"> MF</t>
  </si>
  <si>
    <t>ACC</t>
  </si>
  <si>
    <t>ACCELYA</t>
  </si>
  <si>
    <t>ACCURACY</t>
  </si>
  <si>
    <t>ACE</t>
  </si>
  <si>
    <t>ADANIENT</t>
  </si>
  <si>
    <t>ADANIGAS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</si>
  <si>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</si>
  <si>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</si>
  <si>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</si>
  <si>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</si>
  <si>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</si>
  <si>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</si>
  <si>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</si>
  <si>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</si>
  <si>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</si>
  <si>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</si>
  <si>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</si>
  <si>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</si>
  <si>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</si>
  <si>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</si>
  <si>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AFFLE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</si>
  <si>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</si>
  <si>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</si>
  <si>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</si>
  <si>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</si>
  <si>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</si>
  <si>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</si>
  <si>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</si>
  <si>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</si>
  <si>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</si>
  <si>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AIONJSW</t>
  </si>
  <si>
    <t>AIRAN</t>
  </si>
  <si>
    <t>AISL</t>
  </si>
  <si>
    <t>AJANTPHARM</t>
  </si>
  <si>
    <t>AJMERA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</si>
  <si>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</si>
  <si>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</si>
  <si>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</si>
  <si>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</si>
  <si>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</si>
  <si>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</si>
  <si>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</si>
  <si>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</si>
  <si>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</si>
  <si>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</si>
  <si>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</si>
  <si>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</si>
  <si>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</si>
  <si>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</si>
  <si>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</si>
  <si>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ALOKTEXT</t>
  </si>
  <si>
    <t>ALPA</t>
  </si>
  <si>
    <t>ALPHAGEO</t>
  </si>
  <si>
    <t>ALPSINDUS</t>
  </si>
  <si>
    <t>AMARAJABAT</t>
  </si>
  <si>
    <t>AMBER</t>
  </si>
  <si>
    <t>AMBIKCO</t>
  </si>
  <si>
    <t>AMBUJACEM</t>
  </si>
  <si>
    <t>AMDIND</t>
  </si>
  <si>
    <t>AMJLAND</t>
  </si>
  <si>
    <t>AMRUTANJAN</t>
  </si>
  <si>
    <t>ANANTRAJ</t>
  </si>
  <si>
    <t>ANDHRABANK</t>
  </si>
  <si>
    <t>ANDHRACEMT</t>
  </si>
  <si>
    <t>ANDHRSUGAR</t>
  </si>
  <si>
    <t>ANIKINDS</t>
  </si>
  <si>
    <t>ANKITMETAL</t>
  </si>
  <si>
    <t>ANSALAPI</t>
  </si>
  <si>
    <t>ANSALHSG</t>
  </si>
  <si>
    <t>ANTGRAPHIC</t>
  </si>
  <si>
    <t>ANUP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</si>
  <si>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</si>
  <si>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</si>
  <si>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</si>
  <si>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</si>
  <si>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</si>
  <si>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</si>
  <si>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</si>
  <si>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</si>
  <si>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</si>
  <si>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</si>
  <si>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</si>
  <si>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</si>
  <si>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</si>
  <si>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</si>
  <si>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</si>
  <si>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</si>
  <si>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</si>
  <si>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</si>
  <si>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</si>
  <si>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</si>
  <si>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</si>
  <si>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</si>
  <si>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</si>
  <si>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ARVIND</t>
  </si>
  <si>
    <t>ARVINDFASN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</si>
  <si>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</si>
  <si>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</si>
  <si>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</si>
  <si>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</si>
  <si>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</si>
  <si>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</si>
  <si>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</si>
  <si>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</si>
  <si>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</si>
  <si>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</si>
  <si>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</si>
  <si>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</si>
  <si>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</si>
  <si>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</si>
  <si>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</si>
  <si>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</si>
  <si>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</si>
  <si>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</si>
  <si>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</si>
  <si>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</si>
  <si>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</si>
  <si>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</si>
  <si>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</si>
  <si>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</si>
  <si>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</si>
  <si>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</si>
  <si>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</si>
  <si>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</si>
  <si>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AUROPHARMA</t>
  </si>
  <si>
    <t>AUSOMENT</t>
  </si>
  <si>
    <t>AUTOAXLES</t>
  </si>
  <si>
    <t>AUTOIND</t>
  </si>
  <si>
    <t>AUTOLITIND</t>
  </si>
  <si>
    <t>AVADHSUGAR</t>
  </si>
  <si>
    <t>AVANTIFEED</t>
  </si>
  <si>
    <t>AVTNPL</t>
  </si>
  <si>
    <t>AXISBANK</t>
  </si>
  <si>
    <t>AXISCADES</t>
  </si>
  <si>
    <t>AXISGOLD</t>
  </si>
  <si>
    <t>AXISNIFTY</t>
  </si>
  <si>
    <t>AYMSYNTEX</t>
  </si>
  <si>
    <t>BAGFILMS</t>
  </si>
  <si>
    <t>BAJAJ-AUTO</t>
  </si>
  <si>
    <t>BAJAJCON</t>
  </si>
  <si>
    <t>BAJAJELEC</t>
  </si>
  <si>
    <t>BAJAJFINSV</t>
  </si>
  <si>
    <t>BAJAJHIND</t>
  </si>
  <si>
    <t>BAJAJHLDNG</t>
  </si>
  <si>
    <t>BAJFINANCE</t>
  </si>
  <si>
    <t>BALAJITELE</t>
  </si>
  <si>
    <t>BALAMINES</t>
  </si>
  <si>
    <t>BALAXI</t>
  </si>
  <si>
    <t>BALKRISHNA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</si>
  <si>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</si>
  <si>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</si>
  <si>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</si>
  <si>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</si>
  <si>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</si>
  <si>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</si>
  <si>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</si>
  <si>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</si>
  <si>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</si>
  <si>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</si>
  <si>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</si>
  <si>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</si>
  <si>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</si>
  <si>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</si>
  <si>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</si>
  <si>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</si>
  <si>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</si>
  <si>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</si>
  <si>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</si>
  <si>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</si>
  <si>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</si>
  <si>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</si>
  <si>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BCG</t>
  </si>
  <si>
    <t>BCP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</si>
  <si>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</si>
  <si>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</si>
  <si>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</si>
  <si>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</si>
  <si>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</si>
  <si>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</si>
  <si>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</si>
  <si>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</si>
  <si>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</si>
  <si>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</si>
  <si>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</si>
  <si>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</si>
  <si>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</si>
  <si>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</si>
  <si>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</si>
  <si>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BHARATFORG</t>
  </si>
  <si>
    <t>BHARATGEAR</t>
  </si>
  <si>
    <t>BHARATRAS</t>
  </si>
  <si>
    <t>BHARATWIRE</t>
  </si>
  <si>
    <t>BHARTIARTL</t>
  </si>
  <si>
    <t>BHEL</t>
  </si>
  <si>
    <t>BIGBLOC</t>
  </si>
  <si>
    <t>BIL</t>
  </si>
  <si>
    <t>BILENERGY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</si>
  <si>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</si>
  <si>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</si>
  <si>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</si>
  <si>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</si>
  <si>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</si>
  <si>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</si>
  <si>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</si>
  <si>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</si>
  <si>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</si>
  <si>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</si>
  <si>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</si>
  <si>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</si>
  <si>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BLUECOAST</t>
  </si>
  <si>
    <t>BLUEDART</t>
  </si>
  <si>
    <t xml:space="preserve"> N3</t>
  </si>
  <si>
    <t>BLUESTARCO</t>
  </si>
  <si>
    <t>BODALCHEM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</si>
  <si>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</si>
  <si>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</si>
  <si>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</si>
  <si>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</si>
  <si>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</si>
  <si>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</si>
  <si>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</si>
  <si>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</si>
  <si>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</si>
  <si>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</si>
  <si>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</si>
  <si>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</si>
  <si>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</si>
  <si>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</si>
  <si>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</si>
  <si>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</si>
  <si>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BSLNIFTY</t>
  </si>
  <si>
    <t>BSOFT</t>
  </si>
  <si>
    <t>BURNPUR</t>
  </si>
  <si>
    <t>BUTTERFLY</t>
  </si>
  <si>
    <t>BVCL</t>
  </si>
  <si>
    <t>BYKE</t>
  </si>
  <si>
    <t>CADILAHC</t>
  </si>
  <si>
    <t>CADSYS</t>
  </si>
  <si>
    <t>CALSOFT</t>
  </si>
  <si>
    <t>CAMLINFINE</t>
  </si>
  <si>
    <t>CANBK</t>
  </si>
  <si>
    <t>CANDC</t>
  </si>
  <si>
    <t>CANFINHOME</t>
  </si>
  <si>
    <t>CANTABIL</t>
  </si>
  <si>
    <t>CAPACITE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</si>
  <si>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</si>
  <si>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</si>
  <si>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</si>
  <si>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</si>
  <si>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</si>
  <si>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</si>
  <si>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</si>
  <si>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</si>
  <si>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</si>
  <si>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</si>
  <si>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</si>
  <si>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</si>
  <si>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</si>
  <si>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</si>
  <si>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</si>
  <si>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</si>
  <si>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</si>
  <si>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</si>
  <si>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</si>
  <si>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</si>
  <si>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</si>
  <si>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</si>
  <si>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</si>
  <si>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</si>
  <si>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</si>
  <si>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CESCVENT</t>
  </si>
  <si>
    <t>CGCL</t>
  </si>
  <si>
    <t>CGPOWER</t>
  </si>
  <si>
    <t>CHALET</t>
  </si>
  <si>
    <t>CHAMBLFERT</t>
  </si>
  <si>
    <t>CHEMFAB</t>
  </si>
  <si>
    <t>CHENNPETRO</t>
  </si>
  <si>
    <t>CHOLAFIN</t>
  </si>
  <si>
    <t>CHOLAHLDNG</t>
  </si>
  <si>
    <t>CIGNITITEC</t>
  </si>
  <si>
    <t>CIMMCO</t>
  </si>
  <si>
    <t>CINELINE</t>
  </si>
  <si>
    <t>CINEVISTA</t>
  </si>
  <si>
    <t>CIPLA</t>
  </si>
  <si>
    <t>CKFSL</t>
  </si>
  <si>
    <t>CKPLEISURE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</si>
  <si>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</si>
  <si>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</si>
  <si>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</si>
  <si>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</si>
  <si>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</si>
  <si>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</si>
  <si>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</si>
  <si>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</si>
  <si>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</si>
  <si>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</si>
  <si>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</si>
  <si>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</si>
  <si>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CONFIPET</t>
  </si>
  <si>
    <t>CONSOFINVT</t>
  </si>
  <si>
    <t>CONTROLPR</t>
  </si>
  <si>
    <t>CORALFINAC</t>
  </si>
  <si>
    <t>CORDSCABLE</t>
  </si>
  <si>
    <t>COROMANDEL</t>
  </si>
  <si>
    <t>CORPBANK</t>
  </si>
  <si>
    <t>COSMOFILMS</t>
  </si>
  <si>
    <t>COUNCODOS</t>
  </si>
  <si>
    <t>COX&amp;KINGS</t>
  </si>
  <si>
    <t>CPSEETF</t>
  </si>
  <si>
    <t>CREDITACC</t>
  </si>
  <si>
    <t>CREST</t>
  </si>
  <si>
    <t>CRISIL</t>
  </si>
  <si>
    <t>CROMPTON</t>
  </si>
  <si>
    <t>CROWN</t>
  </si>
  <si>
    <t>CTE</t>
  </si>
  <si>
    <t>CUB</t>
  </si>
  <si>
    <t>CUBEXTUB</t>
  </si>
  <si>
    <t>CUMMINSIND</t>
  </si>
  <si>
    <t>CUPID</t>
  </si>
  <si>
    <t>CYBERTECH</t>
  </si>
  <si>
    <t>CYIENT</t>
  </si>
  <si>
    <t>DAAWAT</t>
  </si>
  <si>
    <t>DABUR</t>
  </si>
  <si>
    <t>DALBHARAT</t>
  </si>
  <si>
    <t>DALMIASUG</t>
  </si>
  <si>
    <t>DAMODARIND</t>
  </si>
  <si>
    <t>DANGEE</t>
  </si>
  <si>
    <t>DATAMATICS</t>
  </si>
  <si>
    <t>DBCORP</t>
  </si>
  <si>
    <t>DBL</t>
  </si>
  <si>
    <t>DBREALTY</t>
  </si>
  <si>
    <t>DCAL</t>
  </si>
  <si>
    <t>DCBBANK</t>
  </si>
  <si>
    <t>DCM</t>
  </si>
  <si>
    <t>DCMNVL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</si>
  <si>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</si>
  <si>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</si>
  <si>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</si>
  <si>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</si>
  <si>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</si>
  <si>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</si>
  <si>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</si>
  <si>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</si>
  <si>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</si>
  <si>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DENORA</t>
  </si>
  <si>
    <t>DFMFOODS</t>
  </si>
  <si>
    <t>DGCONTENT</t>
  </si>
  <si>
    <t>DHAMPURSUG</t>
  </si>
  <si>
    <t>DHANBANK</t>
  </si>
  <si>
    <t>DHANUKA</t>
  </si>
  <si>
    <t>DHARSUGAR</t>
  </si>
  <si>
    <t>DHFL</t>
  </si>
  <si>
    <t xml:space="preserve"> N4</t>
  </si>
  <si>
    <t xml:space="preserve"> N6</t>
  </si>
  <si>
    <t xml:space="preserve"> NA</t>
  </si>
  <si>
    <t xml:space="preserve"> NC</t>
  </si>
  <si>
    <t xml:space="preserve"> NF</t>
  </si>
  <si>
    <t xml:space="preserve"> NN</t>
  </si>
  <si>
    <t xml:space="preserve"> NP</t>
  </si>
  <si>
    <t xml:space="preserve"> NQ</t>
  </si>
  <si>
    <t xml:space="preserve"> NS</t>
  </si>
  <si>
    <t xml:space="preserve"> NX</t>
  </si>
  <si>
    <t xml:space="preserve"> Y1</t>
  </si>
  <si>
    <t>DHUNINV</t>
  </si>
  <si>
    <t>DIAMONDYD</t>
  </si>
  <si>
    <t>DIAPOWER</t>
  </si>
  <si>
    <t>DICIND</t>
  </si>
  <si>
    <t>DIGISPICE</t>
  </si>
  <si>
    <t>DIGJAMLTD</t>
  </si>
  <si>
    <t>DISHTV</t>
  </si>
  <si>
    <t>DIVISLAB</t>
  </si>
  <si>
    <t>DIXON</t>
  </si>
  <si>
    <t>DLF</t>
  </si>
  <si>
    <t>DLINKINDIA</t>
  </si>
  <si>
    <t>DMART</t>
  </si>
  <si>
    <t>DNAMEDIA</t>
  </si>
  <si>
    <t>DOLAT</t>
  </si>
  <si>
    <t>DOLLAR</t>
  </si>
  <si>
    <t>DOLPHINOFF</t>
  </si>
  <si>
    <t>DONEAR</t>
  </si>
  <si>
    <t>DPABHUSHAN</t>
  </si>
  <si>
    <t>DPSCLTD</t>
  </si>
  <si>
    <t>DQE</t>
  </si>
  <si>
    <t>DREDGECORP</t>
  </si>
  <si>
    <t>DRREDDY</t>
  </si>
  <si>
    <t>DSSL</t>
  </si>
  <si>
    <t>DTIL</t>
  </si>
  <si>
    <t>DUCON</t>
  </si>
  <si>
    <t>DVL</t>
  </si>
  <si>
    <t>DWARKESH</t>
  </si>
  <si>
    <t>DYNAMATECH</t>
  </si>
  <si>
    <t>DYNPRO</t>
  </si>
  <si>
    <t>EASTSILK</t>
  </si>
  <si>
    <t>EASUNREYRL</t>
  </si>
  <si>
    <t>ECLERX</t>
  </si>
  <si>
    <t>ECLFINANCE</t>
  </si>
  <si>
    <t xml:space="preserve"> N5</t>
  </si>
  <si>
    <t xml:space="preserve"> N7</t>
  </si>
  <si>
    <t xml:space="preserve"> NB</t>
  </si>
  <si>
    <t xml:space="preserve"> NG</t>
  </si>
  <si>
    <t xml:space="preserve"> NJ</t>
  </si>
  <si>
    <t xml:space="preserve"> NM</t>
  </si>
  <si>
    <t xml:space="preserve"> NO</t>
  </si>
  <si>
    <t xml:space="preserve"> NR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</si>
  <si>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</si>
  <si>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</si>
  <si>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</si>
  <si>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</si>
  <si>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</si>
  <si>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</si>
  <si>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</si>
  <si>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</si>
  <si>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</si>
  <si>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</si>
  <si>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</si>
  <si>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</si>
  <si>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</si>
  <si>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</si>
  <si>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</si>
  <si>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</si>
  <si>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EMAMILTD</t>
  </si>
  <si>
    <t>EMAMIPAP</t>
  </si>
  <si>
    <t>EMAMIREAL</t>
  </si>
  <si>
    <t>EMBASSY</t>
  </si>
  <si>
    <t xml:space="preserve"> RR</t>
  </si>
  <si>
    <t>EMCO</t>
  </si>
  <si>
    <t>EMKAY</t>
  </si>
  <si>
    <t>EMMBI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</si>
  <si>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</si>
  <si>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</si>
  <si>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</si>
  <si>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</si>
  <si>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</si>
  <si>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</si>
  <si>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</si>
  <si>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</si>
  <si>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</si>
  <si>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 xml:space="preserve"> N2</t>
  </si>
  <si>
    <t>ERIS</t>
  </si>
  <si>
    <t>EROSMEDIA</t>
  </si>
  <si>
    <t>ESABINDIA</t>
  </si>
  <si>
    <t>ESCORTS</t>
  </si>
  <si>
    <t>ESSARSHPNG</t>
  </si>
  <si>
    <t>ESSELPACK</t>
  </si>
  <si>
    <t>ESTER</t>
  </si>
  <si>
    <t>EUROCERA</t>
  </si>
  <si>
    <t>EVEREADY</t>
  </si>
  <si>
    <t>EVERESTIND</t>
  </si>
  <si>
    <t>EXCEL</t>
  </si>
  <si>
    <t>EXCELINDUS</t>
  </si>
  <si>
    <t>EXIDEIND</t>
  </si>
  <si>
    <t>EXPLEOSOL</t>
  </si>
  <si>
    <t>FACT</t>
  </si>
  <si>
    <t>FAIRCHEM</t>
  </si>
  <si>
    <t>FCL</t>
  </si>
  <si>
    <t>FCONSUMER</t>
  </si>
  <si>
    <t>FCSSOFT</t>
  </si>
  <si>
    <t>FDC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</si>
  <si>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</si>
  <si>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</si>
  <si>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</si>
  <si>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</si>
  <si>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</si>
  <si>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</si>
  <si>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</si>
  <si>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</si>
  <si>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FLEXITUFF</t>
  </si>
  <si>
    <t>FLFL</t>
  </si>
  <si>
    <t>FMGOETZE</t>
  </si>
  <si>
    <t>FMNL</t>
  </si>
  <si>
    <t>FORCEMOT</t>
  </si>
  <si>
    <t>FORTIS</t>
  </si>
  <si>
    <t>FOSECOIND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</si>
  <si>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</si>
  <si>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</si>
  <si>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</si>
  <si>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</si>
  <si>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</si>
  <si>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</si>
  <si>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</si>
  <si>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</si>
  <si>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</si>
  <si>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</si>
  <si>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</si>
  <si>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</si>
  <si>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</si>
  <si>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</si>
  <si>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GANGESSECU</t>
  </si>
  <si>
    <t>GANGOTRI</t>
  </si>
  <si>
    <t>GARDENSILK</t>
  </si>
  <si>
    <t>GARFIBRES</t>
  </si>
  <si>
    <t>GATI</t>
  </si>
  <si>
    <t>GAYAHWS</t>
  </si>
  <si>
    <t>GAYAPROJ</t>
  </si>
  <si>
    <t>GDL</t>
  </si>
  <si>
    <t>GEECEE</t>
  </si>
  <si>
    <t>GENESYS</t>
  </si>
  <si>
    <t>GENUSPAPER</t>
  </si>
  <si>
    <t>GENUSPOWER</t>
  </si>
  <si>
    <t>GEOJITFSL</t>
  </si>
  <si>
    <t>GEPIL</t>
  </si>
  <si>
    <t>GESHIP</t>
  </si>
  <si>
    <t>GET&amp;D</t>
  </si>
  <si>
    <t>GFLLIMITED</t>
  </si>
  <si>
    <t>GFSTEELS</t>
  </si>
  <si>
    <t>GHCL</t>
  </si>
  <si>
    <t>GICHSGFIN</t>
  </si>
  <si>
    <t>GICL</t>
  </si>
  <si>
    <t>GICRE</t>
  </si>
  <si>
    <t>GILLANDERS</t>
  </si>
  <si>
    <t>GILLETTE</t>
  </si>
  <si>
    <t>GINNIFILA</t>
  </si>
  <si>
    <t>GIPCL</t>
  </si>
  <si>
    <t>GKWLIMITED</t>
  </si>
  <si>
    <t>GLAXO</t>
  </si>
  <si>
    <t>GLENMARK</t>
  </si>
  <si>
    <t>GLOBALVECT</t>
  </si>
  <si>
    <t>GLOBOFFS</t>
  </si>
  <si>
    <t>GLOBUSSPR</t>
  </si>
  <si>
    <t>GMBREW</t>
  </si>
  <si>
    <t>GMDCLTD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</si>
  <si>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</si>
  <si>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</si>
  <si>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</si>
  <si>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</si>
  <si>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</si>
  <si>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</si>
  <si>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</si>
  <si>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</si>
  <si>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</si>
  <si>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</si>
  <si>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</si>
  <si>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</si>
  <si>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</si>
  <si>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</si>
  <si>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</si>
  <si>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</si>
  <si>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</si>
  <si>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</si>
  <si>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</si>
  <si>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</si>
  <si>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</si>
  <si>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</si>
  <si>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</si>
  <si>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</si>
  <si>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</si>
  <si>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</si>
  <si>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</si>
  <si>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</si>
  <si>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</si>
  <si>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</si>
  <si>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</si>
  <si>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</si>
  <si>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</si>
  <si>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</si>
  <si>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</si>
  <si>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GRSE</t>
  </si>
  <si>
    <t>GRUH</t>
  </si>
  <si>
    <t>GSCLCEMENT</t>
  </si>
  <si>
    <t>GSFC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</si>
  <si>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</si>
  <si>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</si>
  <si>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</si>
  <si>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</si>
  <si>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</si>
  <si>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</si>
  <si>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</si>
  <si>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</si>
  <si>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</si>
  <si>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</si>
  <si>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</si>
  <si>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GUJGASLTD</t>
  </si>
  <si>
    <t>GUJRAFFIA</t>
  </si>
  <si>
    <t>GULFOILLUB</t>
  </si>
  <si>
    <t>GULFPETRO</t>
  </si>
  <si>
    <t>GULPOLY</t>
  </si>
  <si>
    <t>GVKPIL</t>
  </si>
  <si>
    <t>HAL</t>
  </si>
  <si>
    <t>HARITASEAT</t>
  </si>
  <si>
    <t>HARRMALAYA</t>
  </si>
  <si>
    <t>HATHWAY</t>
  </si>
  <si>
    <t>HATSUN</t>
  </si>
  <si>
    <t xml:space="preserve"> E1</t>
  </si>
  <si>
    <t>HAVELLS</t>
  </si>
  <si>
    <t>HAVISHA</t>
  </si>
  <si>
    <t>HBLPOWER</t>
  </si>
  <si>
    <t>HCC</t>
  </si>
  <si>
    <t>HCG</t>
  </si>
  <si>
    <t>HCL-INSYS</t>
  </si>
  <si>
    <t>HCLTECH</t>
  </si>
  <si>
    <t>HDFC</t>
  </si>
  <si>
    <t>HDFCAMC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</si>
  <si>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</si>
  <si>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</si>
  <si>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</si>
  <si>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</si>
  <si>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</si>
  <si>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</si>
  <si>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</si>
  <si>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</si>
  <si>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HEOF1100RG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</si>
  <si>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</si>
  <si>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</si>
  <si>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</si>
  <si>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</si>
  <si>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</si>
  <si>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</si>
  <si>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</si>
  <si>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</si>
  <si>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</si>
  <si>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</si>
  <si>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</si>
  <si>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</si>
  <si>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</si>
  <si>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</si>
  <si>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</si>
  <si>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</si>
  <si>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</si>
  <si>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</si>
  <si>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</si>
  <si>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</si>
  <si>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</si>
  <si>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</si>
  <si>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</si>
  <si>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</si>
  <si>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</si>
  <si>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</si>
  <si>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</si>
  <si>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</si>
  <si>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</si>
  <si>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</si>
  <si>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</si>
  <si>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</si>
  <si>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HNDFDS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</si>
  <si>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</si>
  <si>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</si>
  <si>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</si>
  <si>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</si>
  <si>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</si>
  <si>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</si>
  <si>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</si>
  <si>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</si>
  <si>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</si>
  <si>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</si>
  <si>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 xml:space="preserve"> N9</t>
  </si>
  <si>
    <t xml:space="preserve"> ND</t>
  </si>
  <si>
    <t xml:space="preserve"> NE</t>
  </si>
  <si>
    <t>IBMFNIFTY</t>
  </si>
  <si>
    <t>IBREALEST</t>
  </si>
  <si>
    <t>IBUCCREDIT</t>
  </si>
  <si>
    <t>IBULHSGFIN</t>
  </si>
  <si>
    <t xml:space="preserve"> N8</t>
  </si>
  <si>
    <t>IBULISL</t>
  </si>
  <si>
    <t>IBVENTURES</t>
  </si>
  <si>
    <t xml:space="preserve"> E3</t>
  </si>
  <si>
    <t>ICEMAKE</t>
  </si>
  <si>
    <t>ICFL</t>
  </si>
  <si>
    <t xml:space="preserve"> N1</t>
  </si>
  <si>
    <t>ICICI500</t>
  </si>
  <si>
    <t>ICICIB22</t>
  </si>
  <si>
    <t>ICICIBANK</t>
  </si>
  <si>
    <t>ICICIBANKN</t>
  </si>
  <si>
    <t>ICICIBANKP</t>
  </si>
  <si>
    <t>ICICIGI</t>
  </si>
  <si>
    <t>ICICIGOLD</t>
  </si>
  <si>
    <t>ICICILIQ</t>
  </si>
  <si>
    <t>ICICILOVOL</t>
  </si>
  <si>
    <t>ICICIMCAP</t>
  </si>
  <si>
    <t>ICICINF100</t>
  </si>
  <si>
    <t>ICICINIFTY</t>
  </si>
  <si>
    <t>ICICINV20</t>
  </si>
  <si>
    <t>ICICINXT50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</si>
  <si>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</si>
  <si>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</si>
  <si>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</si>
  <si>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</si>
  <si>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</si>
  <si>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</si>
  <si>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</si>
  <si>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</si>
  <si>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</si>
  <si>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IDFCFIRSTB</t>
  </si>
  <si>
    <t>IDFNIFTYET</t>
  </si>
  <si>
    <t>IEX</t>
  </si>
  <si>
    <t>IFBAGRO</t>
  </si>
  <si>
    <t>IFBIND</t>
  </si>
  <si>
    <t>IFCI</t>
  </si>
  <si>
    <t xml:space="preserve"> NH</t>
  </si>
  <si>
    <t xml:space="preserve"> NL</t>
  </si>
  <si>
    <t>IFGLEXPOR</t>
  </si>
  <si>
    <t>IGARASHI</t>
  </si>
  <si>
    <t>IGL</t>
  </si>
  <si>
    <t>IGPL</t>
  </si>
  <si>
    <t>IIFCL</t>
  </si>
  <si>
    <t>IIFL</t>
  </si>
  <si>
    <t>IIFLFIN</t>
  </si>
  <si>
    <t>IIFLSEC</t>
  </si>
  <si>
    <t>IIFLWAM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</si>
  <si>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</si>
  <si>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</si>
  <si>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</si>
  <si>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</si>
  <si>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</si>
  <si>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</si>
  <si>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</si>
  <si>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</si>
  <si>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</si>
  <si>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</si>
  <si>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INDIAMART</t>
  </si>
  <si>
    <t>INDIANB</t>
  </si>
  <si>
    <t>INDIANCARD</t>
  </si>
  <si>
    <t>INDIANHUME</t>
  </si>
  <si>
    <t>INDIGO</t>
  </si>
  <si>
    <t>INDIGRID</t>
  </si>
  <si>
    <t xml:space="preserve"> IV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</si>
  <si>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</si>
  <si>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</si>
  <si>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</si>
  <si>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</si>
  <si>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</si>
  <si>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</si>
  <si>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</si>
  <si>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</si>
  <si>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</si>
  <si>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</si>
  <si>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</si>
  <si>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</si>
  <si>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</si>
  <si>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</si>
  <si>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</si>
  <si>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</si>
  <si>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INFOBEAN</t>
  </si>
  <si>
    <t>INFRABEES</t>
  </si>
  <si>
    <t>INFRATEL</t>
  </si>
  <si>
    <t>INFY</t>
  </si>
  <si>
    <t>INGERRAND</t>
  </si>
  <si>
    <t>INNOVANA</t>
  </si>
  <si>
    <t>INNOVATIVE</t>
  </si>
  <si>
    <t>INOXLEISUR</t>
  </si>
  <si>
    <t>INOXWIND</t>
  </si>
  <si>
    <t>INSECTICID</t>
  </si>
  <si>
    <t>INSPIRISYS</t>
  </si>
  <si>
    <t>INTEGRA</t>
  </si>
  <si>
    <t>INTELLECT</t>
  </si>
  <si>
    <t>INTENTECH</t>
  </si>
  <si>
    <t>INVENTURE</t>
  </si>
  <si>
    <t>IOB</t>
  </si>
  <si>
    <t>IOC</t>
  </si>
  <si>
    <t>IOLCP</t>
  </si>
  <si>
    <t>IPAPPM</t>
  </si>
  <si>
    <t>IPCALAB</t>
  </si>
  <si>
    <t>IRB</t>
  </si>
  <si>
    <t>IRBINVIT</t>
  </si>
  <si>
    <t>IRCON</t>
  </si>
  <si>
    <t>IREDA</t>
  </si>
  <si>
    <t>IRFC</t>
  </si>
  <si>
    <t xml:space="preserve"> NK</t>
  </si>
  <si>
    <t>ISEC</t>
  </si>
  <si>
    <t>ISFT</t>
  </si>
  <si>
    <t>ISMTLTD</t>
  </si>
  <si>
    <t>ITC</t>
  </si>
  <si>
    <t>ITDC</t>
  </si>
  <si>
    <t>ITDCEM</t>
  </si>
  <si>
    <t>ITI</t>
  </si>
  <si>
    <t>IVC</t>
  </si>
  <si>
    <t>IVP</t>
  </si>
  <si>
    <t>IVZINGOLD</t>
  </si>
  <si>
    <t>IZMO</t>
  </si>
  <si>
    <t>J&amp;KBANK</t>
  </si>
  <si>
    <t>JAGRAN</t>
  </si>
  <si>
    <t>JAGSNPHARM</t>
  </si>
  <si>
    <t>JAIBALAJI</t>
  </si>
  <si>
    <t>JAICORPLTD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</si>
  <si>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</si>
  <si>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</si>
  <si>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</si>
  <si>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</si>
  <si>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</si>
  <si>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</si>
  <si>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</si>
  <si>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</si>
  <si>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</si>
  <si>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</si>
  <si>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</si>
  <si>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</si>
  <si>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</si>
  <si>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</si>
  <si>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</si>
  <si>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</si>
  <si>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</si>
  <si>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</si>
  <si>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</si>
  <si>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</si>
  <si>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</si>
  <si>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JIYAECO</t>
  </si>
  <si>
    <t>JKCEMENT</t>
  </si>
  <si>
    <t>JKIL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</si>
  <si>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</si>
  <si>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</si>
  <si>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</si>
  <si>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</si>
  <si>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</si>
  <si>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</si>
  <si>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</si>
  <si>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</si>
  <si>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</si>
  <si>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</si>
  <si>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</si>
  <si>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</si>
  <si>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</si>
  <si>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</si>
  <si>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</si>
  <si>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</si>
  <si>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</si>
  <si>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 xml:space="preserve"> P2</t>
  </si>
  <si>
    <t>JTEKTINDIA</t>
  </si>
  <si>
    <t>JUBILANT</t>
  </si>
  <si>
    <t>JUBLFOOD</t>
  </si>
  <si>
    <t>JUBLINDS</t>
  </si>
  <si>
    <t>JUMPNET</t>
  </si>
  <si>
    <t>JUNIORBEES</t>
  </si>
  <si>
    <t>JUSTDIAL</t>
  </si>
  <si>
    <t>JVLAGRO</t>
  </si>
  <si>
    <t>JYOTHYLAB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</si>
  <si>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</si>
  <si>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</si>
  <si>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</si>
  <si>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</si>
  <si>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</si>
  <si>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</si>
  <si>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</si>
  <si>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</si>
  <si>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</si>
  <si>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</si>
  <si>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KARDA</t>
  </si>
  <si>
    <t>KARMAENG</t>
  </si>
  <si>
    <t>KARURVYSYA</t>
  </si>
  <si>
    <t>KAVVERITEL</t>
  </si>
  <si>
    <t>KAYA</t>
  </si>
  <si>
    <t>KCP</t>
  </si>
  <si>
    <t>KCPSUGIND</t>
  </si>
  <si>
    <t>KDDL</t>
  </si>
  <si>
    <t>KEC</t>
  </si>
  <si>
    <t>KECL</t>
  </si>
  <si>
    <t>KEI</t>
  </si>
  <si>
    <t>KELLTONTEC</t>
  </si>
  <si>
    <t>KENNAMET</t>
  </si>
  <si>
    <t>KERNEX</t>
  </si>
  <si>
    <t>KESARENT</t>
  </si>
  <si>
    <t>KESORAMIND</t>
  </si>
  <si>
    <t>KGL</t>
  </si>
  <si>
    <t>KHADIM</t>
  </si>
  <si>
    <t>KHAITANLTD</t>
  </si>
  <si>
    <t>KHFM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</si>
  <si>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</si>
  <si>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</si>
  <si>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</si>
  <si>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</si>
  <si>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</si>
  <si>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</si>
  <si>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</si>
  <si>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</si>
  <si>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</si>
  <si>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</si>
  <si>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</si>
  <si>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</si>
  <si>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</si>
  <si>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</si>
  <si>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</si>
  <si>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</si>
  <si>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</si>
  <si>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</si>
  <si>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</si>
  <si>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</si>
  <si>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</si>
  <si>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</si>
  <si>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</si>
  <si>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</si>
  <si>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</si>
  <si>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KPITTECH</t>
  </si>
  <si>
    <t>KPRMILL</t>
  </si>
  <si>
    <t>KRBL</t>
  </si>
  <si>
    <t>KREBSBIO</t>
  </si>
  <si>
    <t>KRIDHANINF</t>
  </si>
  <si>
    <t>KRISHANA</t>
  </si>
  <si>
    <t>KSB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</si>
  <si>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</si>
  <si>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</si>
  <si>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</si>
  <si>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</si>
  <si>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</si>
  <si>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</si>
  <si>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</si>
  <si>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</si>
  <si>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</si>
  <si>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 xml:space="preserve"> NI</t>
  </si>
  <si>
    <t>L&amp;TINFRA</t>
  </si>
  <si>
    <t>LAKPRE</t>
  </si>
  <si>
    <t>LAKSHVILAS</t>
  </si>
  <si>
    <t>LALPATHLAB</t>
  </si>
  <si>
    <t>LAMBODHARA</t>
  </si>
  <si>
    <t>LAOPALA</t>
  </si>
  <si>
    <t>LASA</t>
  </si>
  <si>
    <t>LAURUSLABS</t>
  </si>
  <si>
    <t>LAXMIMACH</t>
  </si>
  <si>
    <t>LEMONTREE</t>
  </si>
  <si>
    <t>LEXUS</t>
  </si>
  <si>
    <t>LFIC</t>
  </si>
  <si>
    <t>LGBBROSLTD</t>
  </si>
  <si>
    <t>LGBFORGE</t>
  </si>
  <si>
    <t>LIBERTSHOE</t>
  </si>
  <si>
    <t>LICHSGFIN</t>
  </si>
  <si>
    <t>LICNETFGSC</t>
  </si>
  <si>
    <t>LICNETFN50</t>
  </si>
  <si>
    <t>LICNFNHGP</t>
  </si>
  <si>
    <t>LINCOLN</t>
  </si>
  <si>
    <t>LINCPEN</t>
  </si>
  <si>
    <t>LINDEINDIA</t>
  </si>
  <si>
    <t>LIQUIDBEES</t>
  </si>
  <si>
    <t>LIQUIDETF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</si>
  <si>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</si>
  <si>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</si>
  <si>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</si>
  <si>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</si>
  <si>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</si>
  <si>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</si>
  <si>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</si>
  <si>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</si>
  <si>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</si>
  <si>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</si>
  <si>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</si>
  <si>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</si>
  <si>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LYKALABS</t>
  </si>
  <si>
    <t>LYPSAGEMS</t>
  </si>
  <si>
    <t>M&amp;M</t>
  </si>
  <si>
    <t>M&amp;MFIN</t>
  </si>
  <si>
    <t>M100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</si>
  <si>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</si>
  <si>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</si>
  <si>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</si>
  <si>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</si>
  <si>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</si>
  <si>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</si>
  <si>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</si>
  <si>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</si>
  <si>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</si>
  <si>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</si>
  <si>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</si>
  <si>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</si>
  <si>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</si>
  <si>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</si>
  <si>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</si>
  <si>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</si>
  <si>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</si>
  <si>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</si>
  <si>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</si>
  <si>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</si>
  <si>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</si>
  <si>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</si>
  <si>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MAN50ETF</t>
  </si>
  <si>
    <t>MANAKALUCO</t>
  </si>
  <si>
    <t>MANAKCOAT</t>
  </si>
  <si>
    <t>MANAKSIA</t>
  </si>
  <si>
    <t>MANAKSTEEL</t>
  </si>
  <si>
    <t>MANALIPETC</t>
  </si>
  <si>
    <t>MANAPPURAM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</si>
  <si>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</si>
  <si>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</si>
  <si>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</si>
  <si>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</si>
  <si>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</si>
  <si>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</si>
  <si>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</si>
  <si>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</si>
  <si>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</si>
  <si>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</si>
  <si>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</si>
  <si>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MARINE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</si>
  <si>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</si>
  <si>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</si>
  <si>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</si>
  <si>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</si>
  <si>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</si>
  <si>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</si>
  <si>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</si>
  <si>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</si>
  <si>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</si>
  <si>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</si>
  <si>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</si>
  <si>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</si>
  <si>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</si>
  <si>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</si>
  <si>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</si>
  <si>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</si>
  <si>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</si>
  <si>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MDL</t>
  </si>
  <si>
    <t>MEGASOFT</t>
  </si>
  <si>
    <t>MEGH</t>
  </si>
  <si>
    <t>MELSTAR</t>
  </si>
  <si>
    <t>MENONBE</t>
  </si>
  <si>
    <t>MEP</t>
  </si>
  <si>
    <t>MERCATOR</t>
  </si>
  <si>
    <t>METALFORGE</t>
  </si>
  <si>
    <t>METKORE</t>
  </si>
  <si>
    <t>METROPOLIS</t>
  </si>
  <si>
    <t>MFSL</t>
  </si>
  <si>
    <t>MGL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</si>
  <si>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</si>
  <si>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</si>
  <si>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</si>
  <si>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</si>
  <si>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</si>
  <si>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</si>
  <si>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</si>
  <si>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</si>
  <si>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</si>
  <si>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MITTAL</t>
  </si>
  <si>
    <t>MMFL</t>
  </si>
  <si>
    <t>MMTC</t>
  </si>
  <si>
    <t>MOHITIND</t>
  </si>
  <si>
    <t>MOHOTAIND</t>
  </si>
  <si>
    <t>MOIL</t>
  </si>
  <si>
    <t>MOLDTECH</t>
  </si>
  <si>
    <t>MOLDTKPAC</t>
  </si>
  <si>
    <t>MONSANTO</t>
  </si>
  <si>
    <t>MONTECARLO</t>
  </si>
  <si>
    <t>MORARJEE</t>
  </si>
  <si>
    <t>MOREPENLAB</t>
  </si>
  <si>
    <t>MOTHERSUMI</t>
  </si>
  <si>
    <t>MOTILALOFS</t>
  </si>
  <si>
    <t>MOTOGENFIN</t>
  </si>
  <si>
    <t>MPHASIS</t>
  </si>
  <si>
    <t>MPSLTD</t>
  </si>
  <si>
    <t>MRF</t>
  </si>
  <si>
    <t>MRO-TEK</t>
  </si>
  <si>
    <t>MRPL</t>
  </si>
  <si>
    <t>MSPL</t>
  </si>
  <si>
    <t>MSTCLTD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</si>
  <si>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</si>
  <si>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</si>
  <si>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</si>
  <si>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</si>
  <si>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</si>
  <si>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</si>
  <si>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</si>
  <si>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</si>
  <si>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</si>
  <si>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</si>
  <si>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</si>
  <si>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</si>
  <si>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</si>
  <si>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</si>
  <si>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</si>
  <si>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</si>
  <si>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</si>
  <si>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</si>
  <si>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</si>
  <si>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</si>
  <si>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</si>
  <si>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</si>
  <si>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NANDANI</t>
  </si>
  <si>
    <t>NARMADA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</si>
  <si>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</si>
  <si>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</si>
  <si>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</si>
  <si>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</si>
  <si>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</si>
  <si>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</si>
  <si>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</si>
  <si>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</si>
  <si>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</si>
  <si>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</si>
  <si>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</si>
  <si>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</si>
  <si>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</si>
  <si>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</si>
  <si>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</si>
  <si>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</si>
  <si>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</si>
  <si>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</si>
  <si>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</si>
  <si>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</si>
  <si>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NEOGEN</t>
  </si>
  <si>
    <t>NESCO</t>
  </si>
  <si>
    <t>NESTLEIND</t>
  </si>
  <si>
    <t>NETF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</si>
  <si>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</si>
  <si>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</si>
  <si>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</si>
  <si>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</si>
  <si>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</si>
  <si>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</si>
  <si>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</si>
  <si>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</si>
  <si>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</si>
  <si>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</si>
  <si>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</si>
  <si>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</si>
  <si>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</si>
  <si>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</si>
  <si>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</si>
  <si>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</si>
  <si>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</si>
  <si>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NILASPACES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</si>
  <si>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</si>
  <si>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</si>
  <si>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</si>
  <si>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</si>
  <si>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</si>
  <si>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</si>
  <si>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</si>
  <si>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</si>
  <si>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NLCINDIA</t>
  </si>
  <si>
    <t>NMDC</t>
  </si>
  <si>
    <t>NOCIL</t>
  </si>
  <si>
    <t>NOIDATOLL</t>
  </si>
  <si>
    <t>NPBET</t>
  </si>
  <si>
    <t>NRAIL</t>
  </si>
  <si>
    <t>NRBBEARING</t>
  </si>
  <si>
    <t>NSIL</t>
  </si>
  <si>
    <t>NTL</t>
  </si>
  <si>
    <t>NTPC</t>
  </si>
  <si>
    <t>NUCLEUS</t>
  </si>
  <si>
    <t>OAL</t>
  </si>
  <si>
    <t>OBEROIRLTY</t>
  </si>
  <si>
    <t>OCCL</t>
  </si>
  <si>
    <t>OFSS</t>
  </si>
  <si>
    <t>OIL</t>
  </si>
  <si>
    <t>OILCOUNTUB</t>
  </si>
  <si>
    <t>OISL</t>
  </si>
  <si>
    <t>OLECTRA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</si>
  <si>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</si>
  <si>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</si>
  <si>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</si>
  <si>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</si>
  <si>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</si>
  <si>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</si>
  <si>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</si>
  <si>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</si>
  <si>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</si>
  <si>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</si>
  <si>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</si>
  <si>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</si>
  <si>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</si>
  <si>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</si>
  <si>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</si>
  <si>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</si>
  <si>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</si>
  <si>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</si>
  <si>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</si>
  <si>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</si>
  <si>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</si>
  <si>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</si>
  <si>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</si>
  <si>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</si>
  <si>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</si>
  <si>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</si>
  <si>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</si>
  <si>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PAGEIND</t>
  </si>
  <si>
    <t>PAISALO</t>
  </si>
  <si>
    <t>PALASHSECU</t>
  </si>
  <si>
    <t>PALREDTEC</t>
  </si>
  <si>
    <t>PANACEABIO</t>
  </si>
  <si>
    <t>PANAMAPET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</si>
  <si>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</si>
  <si>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</si>
  <si>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</si>
  <si>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</si>
  <si>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</si>
  <si>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</si>
  <si>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</si>
  <si>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</si>
  <si>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</si>
  <si>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</si>
  <si>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</si>
  <si>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</si>
  <si>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</si>
  <si>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</si>
  <si>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</si>
  <si>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</si>
  <si>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PERSISTENT</t>
  </si>
  <si>
    <t>PETRONENGG</t>
  </si>
  <si>
    <t>PETRONET</t>
  </si>
  <si>
    <t>PFC</t>
  </si>
  <si>
    <t>PFIZER</t>
  </si>
  <si>
    <t>PFOCUS</t>
  </si>
  <si>
    <t>PFS</t>
  </si>
  <si>
    <t>PGEL</t>
  </si>
  <si>
    <t>PGHH</t>
  </si>
  <si>
    <t>PGHL</t>
  </si>
  <si>
    <t>PGIL</t>
  </si>
  <si>
    <t>PHILIPCARB</t>
  </si>
  <si>
    <t>PHOENIXLTD</t>
  </si>
  <si>
    <t>PIDILITIND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</si>
  <si>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</si>
  <si>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</si>
  <si>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</si>
  <si>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</si>
  <si>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</si>
  <si>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</si>
  <si>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</si>
  <si>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</si>
  <si>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</si>
  <si>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</si>
  <si>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</si>
  <si>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</si>
  <si>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</si>
  <si>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</si>
  <si>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PODDARHOUS</t>
  </si>
  <si>
    <t>PODDARMENT</t>
  </si>
  <si>
    <t>POKARNA</t>
  </si>
  <si>
    <t>POLYCAB</t>
  </si>
  <si>
    <t>POLYMED</t>
  </si>
  <si>
    <t>POLYPLEX</t>
  </si>
  <si>
    <t>PONNIERODE</t>
  </si>
  <si>
    <t>POWERFUL</t>
  </si>
  <si>
    <t>POWERGRID</t>
  </si>
  <si>
    <t>POWERMECH</t>
  </si>
  <si>
    <t>PPAP</t>
  </si>
  <si>
    <t>PPL</t>
  </si>
  <si>
    <t>PRABHAT</t>
  </si>
  <si>
    <t>PRAENG</t>
  </si>
  <si>
    <t>PRAJIND</t>
  </si>
  <si>
    <t>PRAKASH</t>
  </si>
  <si>
    <t>PRAXIS</t>
  </si>
  <si>
    <t>PRECAM</t>
  </si>
  <si>
    <t>PRECOT</t>
  </si>
  <si>
    <t>PRECWIRE</t>
  </si>
  <si>
    <t>PREMEXPLN</t>
  </si>
  <si>
    <t>PREMIERPOL</t>
  </si>
  <si>
    <t>PRESSMN</t>
  </si>
  <si>
    <t>PRESTIGE</t>
  </si>
  <si>
    <t>PRICOLLTD</t>
  </si>
  <si>
    <t>PRIMESECU</t>
  </si>
  <si>
    <t>PRITI</t>
  </si>
  <si>
    <t>PROVOGE</t>
  </si>
  <si>
    <t>PROZONINTU</t>
  </si>
  <si>
    <t>PRSMJOHNSN</t>
  </si>
  <si>
    <t>PSB</t>
  </si>
  <si>
    <t>PSL</t>
  </si>
  <si>
    <t>PSPPROJECT</t>
  </si>
  <si>
    <t>PSUBNKBEES</t>
  </si>
  <si>
    <t>PTC</t>
  </si>
  <si>
    <t>PTL</t>
  </si>
  <si>
    <t>PULZ</t>
  </si>
  <si>
    <t>PUNJABCHEM</t>
  </si>
  <si>
    <t>PUNJLLOYD</t>
  </si>
  <si>
    <t>PURVA</t>
  </si>
  <si>
    <t>PUSHPREALM</t>
  </si>
  <si>
    <t>PVR</t>
  </si>
  <si>
    <t>QGOLDHALF</t>
  </si>
  <si>
    <t>QNIFTY</t>
  </si>
  <si>
    <t>QUESS</t>
  </si>
  <si>
    <t>QUICKHEAL</t>
  </si>
  <si>
    <t>QUINTEGRA</t>
  </si>
  <si>
    <t>RADAAN</t>
  </si>
  <si>
    <t>RADICO</t>
  </si>
  <si>
    <t>RADIOCITY</t>
  </si>
  <si>
    <t>RAIN</t>
  </si>
  <si>
    <t>RAJESHEXPO</t>
  </si>
  <si>
    <t>RAJRAYON</t>
  </si>
  <si>
    <t>RAJSREESUG</t>
  </si>
  <si>
    <t>RAJTV</t>
  </si>
  <si>
    <t>RALLIS</t>
  </si>
  <si>
    <t>RAMANEWS</t>
  </si>
  <si>
    <t>RAMASTEEL</t>
  </si>
  <si>
    <t>RAMCOCEM</t>
  </si>
  <si>
    <t>RAMCOIND</t>
  </si>
  <si>
    <t>RAMCOSYS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</si>
  <si>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</si>
  <si>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</si>
  <si>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</si>
  <si>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</si>
  <si>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</si>
  <si>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</si>
  <si>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</si>
  <si>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</si>
  <si>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</si>
  <si>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</si>
  <si>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</si>
  <si>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</si>
  <si>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</si>
  <si>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RELAXO</t>
  </si>
  <si>
    <t>RELCAPITAL</t>
  </si>
  <si>
    <t>RELCNX100</t>
  </si>
  <si>
    <t>RELCONS</t>
  </si>
  <si>
    <t>RELDIVOPP</t>
  </si>
  <si>
    <t>RELIANCE</t>
  </si>
  <si>
    <t>RELIGARE</t>
  </si>
  <si>
    <t>RELINFRA</t>
  </si>
  <si>
    <t>RELNV20</t>
  </si>
  <si>
    <t>REMSONSIND</t>
  </si>
  <si>
    <t>RENUKA</t>
  </si>
  <si>
    <t>REPCOHOME</t>
  </si>
  <si>
    <t>REPRO</t>
  </si>
  <si>
    <t>RESPONIND</t>
  </si>
  <si>
    <t>RETFMID150</t>
  </si>
  <si>
    <t>REVATHI</t>
  </si>
  <si>
    <t>RGL</t>
  </si>
  <si>
    <t>RHFL</t>
  </si>
  <si>
    <t>RICOAUTO</t>
  </si>
  <si>
    <t>RIIL</t>
  </si>
  <si>
    <t>RITES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</si>
  <si>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</si>
  <si>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</si>
  <si>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</si>
  <si>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</si>
  <si>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</si>
  <si>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</si>
  <si>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</si>
  <si>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</si>
  <si>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ROHLTD</t>
  </si>
  <si>
    <t>ROLTA</t>
  </si>
  <si>
    <t>ROSSELLIND</t>
  </si>
  <si>
    <t>RPGLIFE</t>
  </si>
  <si>
    <t>RPOWER</t>
  </si>
  <si>
    <t>RPPINFRA</t>
  </si>
  <si>
    <t>RRSLGETF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</si>
  <si>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</si>
  <si>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</si>
  <si>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</si>
  <si>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</si>
  <si>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</si>
  <si>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</si>
  <si>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</si>
  <si>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</si>
  <si>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</si>
  <si>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</si>
  <si>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</si>
  <si>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RVNL</t>
  </si>
  <si>
    <t>SABTN</t>
  </si>
  <si>
    <t>SADBHAV</t>
  </si>
  <si>
    <t>SADBHIN</t>
  </si>
  <si>
    <t>SAFARI</t>
  </si>
  <si>
    <t>SAGARDEEP</t>
  </si>
  <si>
    <t>SAGCEM</t>
  </si>
  <si>
    <t>SAIL</t>
  </si>
  <si>
    <t>SAKAR</t>
  </si>
  <si>
    <t>SAKHTISUG</t>
  </si>
  <si>
    <t>SAKSOFT</t>
  </si>
  <si>
    <t>SAKUMA</t>
  </si>
  <si>
    <t>SALASAR</t>
  </si>
  <si>
    <t>SALONA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</si>
  <si>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</si>
  <si>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</si>
  <si>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</si>
  <si>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</si>
  <si>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</si>
  <si>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</si>
  <si>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</si>
  <si>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</si>
  <si>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</si>
  <si>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</si>
  <si>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</si>
  <si>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</si>
  <si>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</si>
  <si>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</si>
  <si>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</si>
  <si>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</si>
  <si>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</si>
  <si>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</si>
  <si>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</si>
  <si>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</si>
  <si>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SATIA</t>
  </si>
  <si>
    <t>SATIN</t>
  </si>
  <si>
    <t>SBIETFQLTY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</si>
  <si>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</si>
  <si>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</si>
  <si>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</si>
  <si>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</si>
  <si>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</si>
  <si>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</si>
  <si>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</si>
  <si>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</si>
  <si>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</si>
  <si>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SECL</t>
  </si>
  <si>
    <t xml:space="preserve"> ST</t>
  </si>
  <si>
    <t>SECURCRED</t>
  </si>
  <si>
    <t>SELAN</t>
  </si>
  <si>
    <t>SELMCL</t>
  </si>
  <si>
    <t>SEQUENT</t>
  </si>
  <si>
    <t>SESHAPAPER</t>
  </si>
  <si>
    <t>SETCO</t>
  </si>
  <si>
    <t>SETF10GILT</t>
  </si>
  <si>
    <t>SETFGOLD</t>
  </si>
  <si>
    <t>SETFNIF50</t>
  </si>
  <si>
    <t>SETFNIFBK</t>
  </si>
  <si>
    <t>SETFNN50</t>
  </si>
  <si>
    <t>SETUINFRA</t>
  </si>
  <si>
    <t>SEYAIND</t>
  </si>
  <si>
    <t>SFL</t>
  </si>
  <si>
    <t>SGBAUG24</t>
  </si>
  <si>
    <t xml:space="preserve"> GB</t>
  </si>
  <si>
    <t>SGBAUG27</t>
  </si>
  <si>
    <t>SGBFEB24</t>
  </si>
  <si>
    <t>SGBJAN27</t>
  </si>
  <si>
    <t>SGBJUL25</t>
  </si>
  <si>
    <t>SGBJUN27</t>
  </si>
  <si>
    <t>SGBMAR24</t>
  </si>
  <si>
    <t>SGBMAR25</t>
  </si>
  <si>
    <t>SGBMAY25</t>
  </si>
  <si>
    <t>SGBMAY26</t>
  </si>
  <si>
    <t>SGBNOV23</t>
  </si>
  <si>
    <t>SGBNOV24</t>
  </si>
  <si>
    <t>SGBNOV25VI</t>
  </si>
  <si>
    <t>SGBOCT25</t>
  </si>
  <si>
    <t>SGBOCT25IV</t>
  </si>
  <si>
    <t>SGBSEP24</t>
  </si>
  <si>
    <t>SGBSEP27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</si>
  <si>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</si>
  <si>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</si>
  <si>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</si>
  <si>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</si>
  <si>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</si>
  <si>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</si>
  <si>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</si>
  <si>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</si>
  <si>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</si>
  <si>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</si>
  <si>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SHEMAROO</t>
  </si>
  <si>
    <t>SHILPAMED</t>
  </si>
  <si>
    <t>SHIRPUR-G</t>
  </si>
  <si>
    <t>SHIVAMAUTO</t>
  </si>
  <si>
    <t>SHIVAMILLS</t>
  </si>
  <si>
    <t>SHIVATEX</t>
  </si>
  <si>
    <t>SHK</t>
  </si>
  <si>
    <t>SHOPERSTOP</t>
  </si>
  <si>
    <t>SHREDIGCEM</t>
  </si>
  <si>
    <t>SHREECEM</t>
  </si>
  <si>
    <t>SHREEPUSHK</t>
  </si>
  <si>
    <t>SHREERAMA</t>
  </si>
  <si>
    <t>SHRENIK</t>
  </si>
  <si>
    <t>SHREYANIND</t>
  </si>
  <si>
    <t>SHREYAS</t>
  </si>
  <si>
    <t>SHRIRAMCIT</t>
  </si>
  <si>
    <t>SHRIRAMEPC</t>
  </si>
  <si>
    <t>SHUBHLAXMI</t>
  </si>
  <si>
    <t>SHYAMCENT</t>
  </si>
  <si>
    <t>SICAGEN</t>
  </si>
  <si>
    <t>SICAL</t>
  </si>
  <si>
    <t>SIEMENS</t>
  </si>
  <si>
    <t>SIGIND</t>
  </si>
  <si>
    <t>SIL</t>
  </si>
  <si>
    <t>SILINV</t>
  </si>
  <si>
    <t>SILVERTUC</t>
  </si>
  <si>
    <t>SIMBHALS</t>
  </si>
  <si>
    <t>SIMPLEXINF</t>
  </si>
  <si>
    <t>SINTEX</t>
  </si>
  <si>
    <t>SIRCA</t>
  </si>
  <si>
    <t>SIS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</si>
  <si>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</si>
  <si>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</si>
  <si>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</si>
  <si>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</si>
  <si>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</si>
  <si>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</si>
  <si>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</si>
  <si>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</si>
  <si>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</si>
  <si>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</si>
  <si>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</si>
  <si>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</si>
  <si>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SNOWMAN</t>
  </si>
  <si>
    <t>SOBHA</t>
  </si>
  <si>
    <t>SOFTTECH</t>
  </si>
  <si>
    <t>SOLARA</t>
  </si>
  <si>
    <t>SOLARINDS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</si>
  <si>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</si>
  <si>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</si>
  <si>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</si>
  <si>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</si>
  <si>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</si>
  <si>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</si>
  <si>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</si>
  <si>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</si>
  <si>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</si>
  <si>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</si>
  <si>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SPANDANA</t>
  </si>
  <si>
    <t>SPARC</t>
  </si>
  <si>
    <t>SPCENET</t>
  </si>
  <si>
    <t>SPECIALITY</t>
  </si>
  <si>
    <t>SPENCERS</t>
  </si>
  <si>
    <t>SPENTEX</t>
  </si>
  <si>
    <t>SPIC</t>
  </si>
  <si>
    <t>SPICEJET</t>
  </si>
  <si>
    <t>SPLIL</t>
  </si>
  <si>
    <t>SPMLINFRA</t>
  </si>
  <si>
    <t>SPTL</t>
  </si>
  <si>
    <t>SPYL</t>
  </si>
  <si>
    <t>SREEL</t>
  </si>
  <si>
    <t>SREIBNPNCD</t>
  </si>
  <si>
    <t>SREINFRA</t>
  </si>
  <si>
    <t xml:space="preserve"> NZ</t>
  </si>
  <si>
    <t>SRF</t>
  </si>
  <si>
    <t>SRHHYPOLTD</t>
  </si>
  <si>
    <t>SRIPIPES</t>
  </si>
  <si>
    <t>SRSLTD</t>
  </si>
  <si>
    <t>SRTRANSFIN</t>
  </si>
  <si>
    <t xml:space="preserve"> Y3</t>
  </si>
  <si>
    <t xml:space="preserve"> Y9</t>
  </si>
  <si>
    <t xml:space="preserve"> YB</t>
  </si>
  <si>
    <t xml:space="preserve"> YG</t>
  </si>
  <si>
    <t xml:space="preserve"> YL</t>
  </si>
  <si>
    <t xml:space="preserve"> YQ</t>
  </si>
  <si>
    <t xml:space="preserve"> YS</t>
  </si>
  <si>
    <t xml:space="preserve"> Z3</t>
  </si>
  <si>
    <t>SSWL</t>
  </si>
  <si>
    <t>STAMPEDE</t>
  </si>
  <si>
    <t>STAN</t>
  </si>
  <si>
    <t xml:space="preserve"> DR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</si>
  <si>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</si>
  <si>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</si>
  <si>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</si>
  <si>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</si>
  <si>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</si>
  <si>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</si>
  <si>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</si>
  <si>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</si>
  <si>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</si>
  <si>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</si>
  <si>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</si>
  <si>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</si>
  <si>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</si>
  <si>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</si>
  <si>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SUMIT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</si>
  <si>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</si>
  <si>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</si>
  <si>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</si>
  <si>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</si>
  <si>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</si>
  <si>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</si>
  <si>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</si>
  <si>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</si>
  <si>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SUNPHARMA</t>
  </si>
  <si>
    <t>SUNTECK</t>
  </si>
  <si>
    <t>SUNTV</t>
  </si>
  <si>
    <t>SUPERHOUSE</t>
  </si>
  <si>
    <t>SUPERSPIN</t>
  </si>
  <si>
    <t>SUPPETRO</t>
  </si>
  <si>
    <t>SUPRAJIT</t>
  </si>
  <si>
    <t>SUPREMEENG</t>
  </si>
  <si>
    <t>SUPREMEIND</t>
  </si>
  <si>
    <t>SUPREMEINF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</si>
  <si>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</si>
  <si>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</si>
  <si>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</si>
  <si>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</si>
  <si>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</si>
  <si>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</si>
  <si>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</si>
  <si>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</si>
  <si>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SVLL</t>
  </si>
  <si>
    <t>SWANENERGY</t>
  </si>
  <si>
    <t>SWARAJENG</t>
  </si>
  <si>
    <t>SWELECTES</t>
  </si>
  <si>
    <t>SWSOLAR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</si>
  <si>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</si>
  <si>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</si>
  <si>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</si>
  <si>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</si>
  <si>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</si>
  <si>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</si>
  <si>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</si>
  <si>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</si>
  <si>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</si>
  <si>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</si>
  <si>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</si>
  <si>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</si>
  <si>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</si>
  <si>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</si>
  <si>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</si>
  <si>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</si>
  <si>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</si>
  <si>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</si>
  <si>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</si>
  <si>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</si>
  <si>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</si>
  <si>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</si>
  <si>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</si>
  <si>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</si>
  <si>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</si>
  <si>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TATASTEEL</t>
  </si>
  <si>
    <t>TATASTLBSL</t>
  </si>
  <si>
    <t>TATASTLLP</t>
  </si>
  <si>
    <t>TBZ</t>
  </si>
  <si>
    <t>TCFSL</t>
  </si>
  <si>
    <t>TCI</t>
  </si>
  <si>
    <t>TCIDEVELOP</t>
  </si>
  <si>
    <t>TCIEXP</t>
  </si>
  <si>
    <t>TCIFINANCE</t>
  </si>
  <si>
    <t>TCNSBRANDS</t>
  </si>
  <si>
    <t>TCPLPACK</t>
  </si>
  <si>
    <t>TCS</t>
  </si>
  <si>
    <t>TDPOWERSYS</t>
  </si>
  <si>
    <t>TEAMLEASE</t>
  </si>
  <si>
    <t>TECHM</t>
  </si>
  <si>
    <t>TECHNOE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</si>
  <si>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</si>
  <si>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</si>
  <si>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</si>
  <si>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</si>
  <si>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</si>
  <si>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</si>
  <si>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</si>
  <si>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</si>
  <si>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</si>
  <si>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</si>
  <si>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THEINVEST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</si>
  <si>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</si>
  <si>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</si>
  <si>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</si>
  <si>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</si>
  <si>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</si>
  <si>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</si>
  <si>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</si>
  <si>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</si>
  <si>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</si>
  <si>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</si>
  <si>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</si>
  <si>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</si>
  <si>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</si>
  <si>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</si>
  <si>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</si>
  <si>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</si>
  <si>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</si>
  <si>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</si>
  <si>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</si>
  <si>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</si>
  <si>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</si>
  <si>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</si>
  <si>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</si>
  <si>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TOKYOPLAST</t>
  </si>
  <si>
    <t>TORNTPHARM</t>
  </si>
  <si>
    <t>TORNTPOWER</t>
  </si>
  <si>
    <t>TPLPLASTEH</t>
  </si>
  <si>
    <t>TREEHOUSE</t>
  </si>
  <si>
    <t>TREJHARA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</si>
  <si>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</si>
  <si>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</si>
  <si>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</si>
  <si>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</si>
  <si>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</si>
  <si>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</si>
  <si>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</si>
  <si>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</si>
  <si>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</si>
  <si>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</si>
  <si>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</si>
  <si>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TV18BRDCST</t>
  </si>
  <si>
    <t>TVSELECT</t>
  </si>
  <si>
    <t>TVSMOTOR</t>
  </si>
  <si>
    <t>TVSSRICHAK</t>
  </si>
  <si>
    <t>TVTODAY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</si>
  <si>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</si>
  <si>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</si>
  <si>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</si>
  <si>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</si>
  <si>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</si>
  <si>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</si>
  <si>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</si>
  <si>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</si>
  <si>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</si>
  <si>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</si>
  <si>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</si>
  <si>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UNICHEMLAB</t>
  </si>
  <si>
    <t>UNIENTER</t>
  </si>
  <si>
    <t>UNIINFO</t>
  </si>
  <si>
    <t>UNIONBANK</t>
  </si>
  <si>
    <t>UNIPLY</t>
  </si>
  <si>
    <t>UNITECH</t>
  </si>
  <si>
    <t>UNITEDBNK</t>
  </si>
  <si>
    <t>UNITEDTEA</t>
  </si>
  <si>
    <t>UNITY</t>
  </si>
  <si>
    <t>UNIVCABLES</t>
  </si>
  <si>
    <t>UPL</t>
  </si>
  <si>
    <t>URJA</t>
  </si>
  <si>
    <t>USHAMART</t>
  </si>
  <si>
    <t>UTIFEFRGR4</t>
  </si>
  <si>
    <t>UTINEXT50</t>
  </si>
  <si>
    <t>UTINIFTETF</t>
  </si>
  <si>
    <t>UTISENSETF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</si>
  <si>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</si>
  <si>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</si>
  <si>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</si>
  <si>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</si>
  <si>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</si>
  <si>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</si>
  <si>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</si>
  <si>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</si>
  <si>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</si>
  <si>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</si>
  <si>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</si>
  <si>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</si>
  <si>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</si>
  <si>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</si>
  <si>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</si>
  <si>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</si>
  <si>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</si>
  <si>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</si>
  <si>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</si>
  <si>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</si>
  <si>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</si>
  <si>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</si>
  <si>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</si>
  <si>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</si>
  <si>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VIJIFIN</t>
  </si>
  <si>
    <t>VIKASECO</t>
  </si>
  <si>
    <t>VIKASMCORP</t>
  </si>
  <si>
    <t>VIKASPROP</t>
  </si>
  <si>
    <t>VIKASWSP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</si>
  <si>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</si>
  <si>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</si>
  <si>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</si>
  <si>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</si>
  <si>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</si>
  <si>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</si>
  <si>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</si>
  <si>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</si>
  <si>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</si>
  <si>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</si>
  <si>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</si>
  <si>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</si>
  <si>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</si>
  <si>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</si>
  <si>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</si>
  <si>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</si>
  <si>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</si>
  <si>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</si>
  <si>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</si>
  <si>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</si>
  <si>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</si>
  <si>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</si>
  <si>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</si>
  <si>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</si>
  <si>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</si>
  <si>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</si>
  <si>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WATERBASE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</si>
  <si>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</si>
  <si>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</si>
  <si>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</si>
  <si>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</si>
  <si>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</si>
  <si>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</si>
  <si>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</si>
  <si>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</si>
  <si>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WESTLIFE</t>
  </si>
  <si>
    <t>WFL</t>
  </si>
  <si>
    <t>WHEELS</t>
  </si>
  <si>
    <t>WHIRLPOOL</t>
  </si>
  <si>
    <t>WILLAMAGOR</t>
  </si>
  <si>
    <t>WINDMACHIN</t>
  </si>
  <si>
    <t>WIPRO</t>
  </si>
  <si>
    <t>WOCKPHARMA</t>
  </si>
  <si>
    <t>WONDERLA</t>
  </si>
  <si>
    <t>WSI</t>
  </si>
  <si>
    <t>WSTCSTPAPR</t>
  </si>
  <si>
    <t>XCHANGING</t>
  </si>
  <si>
    <t>XELPMOC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</si>
  <si>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</si>
  <si>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</si>
  <si>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</si>
  <si>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</si>
  <si>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</si>
  <si>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</si>
  <si>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</si>
  <si>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</si>
  <si>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</si>
  <si>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</si>
  <si>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</si>
  <si>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ZODIACLOTH</t>
  </si>
  <si>
    <t>ZODJRDMKJ</t>
  </si>
  <si>
    <t>ZOTA</t>
  </si>
  <si>
    <t>ZUARI</t>
  </si>
  <si>
    <t>ZUARIGLOB</t>
  </si>
  <si>
    <t>ZYDUSWELL</t>
  </si>
  <si>
    <t>Change</t>
  </si>
  <si>
    <t>TR</t>
  </si>
  <si>
    <t xml:space="preserve"> </t>
  </si>
  <si>
    <t>% Change</t>
  </si>
  <si>
    <t>TR %</t>
  </si>
  <si>
    <t xml:space="preserve"> 25-Sep-2019</t>
  </si>
  <si>
    <t>3PLAND</t>
  </si>
  <si>
    <t>700GS2021</t>
  </si>
  <si>
    <t>763GS2059</t>
  </si>
  <si>
    <t>ACEINTEG</t>
  </si>
  <si>
    <t>AHLADA</t>
  </si>
  <si>
    <t>AVG</t>
  </si>
  <si>
    <t>CRMFGETF</t>
  </si>
  <si>
    <t>DPWIRES</t>
  </si>
  <si>
    <t>EBANK</t>
  </si>
  <si>
    <t>EMKAYTOOLS</t>
  </si>
  <si>
    <t>GLOBAL</t>
  </si>
  <si>
    <t>IITL</t>
  </si>
  <si>
    <t>JAIHINDPRO</t>
  </si>
  <si>
    <t>JASH</t>
  </si>
  <si>
    <t>JETFREIGHT</t>
  </si>
  <si>
    <t>JIKIND</t>
  </si>
  <si>
    <t>JNPT</t>
  </si>
  <si>
    <t>KHANDSE</t>
  </si>
  <si>
    <t xml:space="preserve"> NU</t>
  </si>
  <si>
    <t xml:space="preserve"> NW</t>
  </si>
  <si>
    <t>LAGNAM</t>
  </si>
  <si>
    <t>LAXMICOT</t>
  </si>
  <si>
    <t>LIBAS</t>
  </si>
  <si>
    <t>MASKINVEST</t>
  </si>
  <si>
    <t xml:space="preserve"> P1</t>
  </si>
  <si>
    <t>OSWALSEEDS</t>
  </si>
  <si>
    <t>PANACHE</t>
  </si>
  <si>
    <t>PREMIER</t>
  </si>
  <si>
    <t>SGBDEC25</t>
  </si>
  <si>
    <t>SGBDEC2513</t>
  </si>
  <si>
    <t>SGBNOV258</t>
  </si>
  <si>
    <t>SILLYMONKS</t>
  </si>
  <si>
    <t xml:space="preserve"> NV</t>
  </si>
  <si>
    <t xml:space="preserve"> Y8</t>
  </si>
  <si>
    <t xml:space="preserve"> YH</t>
  </si>
  <si>
    <t xml:space="preserve"> YJ</t>
  </si>
  <si>
    <t xml:space="preserve"> YK</t>
  </si>
  <si>
    <t xml:space="preserve"> YN</t>
  </si>
  <si>
    <t xml:space="preserve"> YO</t>
  </si>
  <si>
    <t xml:space="preserve"> YY</t>
  </si>
  <si>
    <t xml:space="preserve"> YZ</t>
  </si>
  <si>
    <t xml:space="preserve"> Z1</t>
  </si>
  <si>
    <t xml:space="preserve"> Z2</t>
  </si>
  <si>
    <t>SSINFRA</t>
  </si>
  <si>
    <t>TNTELE</t>
  </si>
  <si>
    <t>UCL</t>
  </si>
  <si>
    <t>UWCSL</t>
  </si>
  <si>
    <t>VSCL</t>
  </si>
  <si>
    <t>WIPL</t>
  </si>
  <si>
    <t>Close Swing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</si>
</sst>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7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49" fontId="0" fillId="0" borderId="0" xfId="0" applyNumberFormat="1"/>
    <xf numFmtId="49" fontId="18" fillId="33" borderId="10" xfId="0" applyNumberFormat="1" applyFont="1" applyFill="1" applyBorder="1" applyAlignment="1">
      <alignment horizontal="center"/>
    </xf>
    <xf numFmtId="0" fontId="18" fillId="33" borderId="10" xfId="0" applyFont="1" applyFill="1" applyBorder="1" applyAlignment="1">
      <alignment horizontal="center"/>
    </xf>
    <xf numFmtId="49" fontId="0" fillId="0" borderId="10" xfId="0" applyNumberFormat="1" applyBorder="1"/>
    <xf numFmtId="0" fontId="0" fillId="0" borderId="10" xfId="0" applyBorder="1"/>
    <xf numFmtId="10" fontId="0" fillId="0" borderId="10" xfId="0" applyNumberFormat="1" applyBorder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10</xdr:row>
          <xdr:rowOff>104775</xdr:rowOff>
        </xdr:from>
        <xdr:to>
          <xdr:col>17</xdr:col>
          <xdr:colOff>352425</xdr:colOff>
          <xdr:row>20</xdr:row>
          <xdr:rowOff>38100</xdr:rowOff>
        </xdr:to>
        <xdr:sp macro="" textlink="">
          <xdr:nvSpPr>
            <xdr:cNvPr id="3073" name="btnGetNS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0822A3-3525-4F3F-9CCD-B7B4504C5C9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D39"/>
  <sheetViews>
    <sheetView tabSelected="1" workbookViewId="0">
      <selection activeCell="F22" sqref="F22"/>
    </sheetView>
  </sheetViews>
  <sheetFormatPr defaultRowHeight="15" x14ac:dyDescent="0.25"/>
  <sheetData>
    <row r="1" spans="1:30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</row>
    <row r="2" spans="1:30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</row>
    <row r="3" spans="1:30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</row>
    <row r="5" spans="1:30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</row>
    <row r="6" spans="1:30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</row>
    <row r="8" spans="1:30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</row>
    <row r="9" spans="1:30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</row>
    <row r="10" spans="1:30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</row>
    <row r="11" spans="1:30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</row>
    <row r="12" spans="1:30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</row>
    <row r="13" spans="1:30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</row>
    <row r="14" spans="1:30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5" spans="1:30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</row>
    <row r="16" spans="1:30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7" spans="1:30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</row>
    <row r="18" spans="1:30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0" spans="1:30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</row>
    <row r="21" spans="1:30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</row>
    <row r="22" spans="1:30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</row>
    <row r="23" spans="1:30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</row>
    <row r="25" spans="1:30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</row>
    <row r="26" spans="1:30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</row>
    <row r="27" spans="1:30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</row>
    <row r="28" spans="1:30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GetNSE">
          <controlPr defaultSize="0" autoLine="0" r:id="rId4">
            <anchor moveWithCells="1">
              <from>
                <xdr:col>8</xdr:col>
                <xdr:colOff>333375</xdr:colOff>
                <xdr:row>10</xdr:row>
                <xdr:rowOff>104775</xdr:rowOff>
              </from>
              <to>
                <xdr:col>17</xdr:col>
                <xdr:colOff>352425</xdr:colOff>
                <xdr:row>20</xdr:row>
                <xdr:rowOff>38100</xdr:rowOff>
              </to>
            </anchor>
          </controlPr>
        </control>
      </mc:Choice>
      <mc:Fallback>
        <control shapeId="3073" r:id="rId3" name="btnGet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0880-3F81-44B7-A341-4BF0A0124F2E}">
  <sheetPr codeName="Sheet11" filterMode="1"/>
  <dimension ref="A1:T1927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2.7109375" customWidth="1"/>
    <col min="2" max="2" width="5.7109375" customWidth="1"/>
    <col min="3" max="3" width="12.7109375" customWidth="1"/>
    <col min="4" max="20" width="10.7109375" customWidth="1"/>
  </cols>
  <sheetData>
    <row r="1" spans="1:20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1818</v>
      </c>
      <c r="Q1" s="3" t="s">
        <v>1821</v>
      </c>
      <c r="R1" s="3" t="s">
        <v>1819</v>
      </c>
      <c r="S1" s="3" t="s">
        <v>1822</v>
      </c>
      <c r="T1" s="3" t="s">
        <v>1873</v>
      </c>
    </row>
    <row r="2" spans="1:20" hidden="1" x14ac:dyDescent="0.25">
      <c r="A2" s="4" t="s">
        <v>15</v>
      </c>
      <c r="B2" s="5" t="s">
        <v>16</v>
      </c>
      <c r="C2" s="5" t="s">
        <v>1823</v>
      </c>
      <c r="D2" s="5">
        <v>37.549999999999997</v>
      </c>
      <c r="E2" s="5">
        <v>37.5</v>
      </c>
      <c r="F2" s="5">
        <v>38.049999999999997</v>
      </c>
      <c r="G2" s="5">
        <v>37.5</v>
      </c>
      <c r="H2" s="5">
        <v>37.799999999999997</v>
      </c>
      <c r="I2" s="5">
        <v>37.700000000000003</v>
      </c>
      <c r="J2" s="5">
        <v>37.619999999999997</v>
      </c>
      <c r="K2" s="5">
        <v>29528</v>
      </c>
      <c r="L2" s="5">
        <v>11.11</v>
      </c>
      <c r="M2" s="5">
        <v>206</v>
      </c>
      <c r="N2" s="5">
        <v>18806</v>
      </c>
      <c r="O2" s="5">
        <v>63.69</v>
      </c>
      <c r="P2" s="5">
        <f t="shared" ref="P2:P11" si="0">I2-D2</f>
        <v>0.15000000000000568</v>
      </c>
      <c r="Q2" s="6">
        <f t="shared" ref="Q2:Q11" si="1">P2/D2</f>
        <v>3.9946737683090733E-3</v>
      </c>
      <c r="R2" s="5">
        <f t="shared" ref="R2:R11" si="2">ABS(F2-G2)</f>
        <v>0.54999999999999716</v>
      </c>
      <c r="S2" s="6">
        <f t="shared" ref="S2:S11" si="3">R2/D2</f>
        <v>1.4647137150465971E-2</v>
      </c>
      <c r="T2" s="6">
        <f t="shared" ref="T2:T11" si="4">(I2-J2)/AVERAGE(E2:G2,I2)</f>
        <v>2.1227197346601764E-3</v>
      </c>
    </row>
    <row r="3" spans="1:20" hidden="1" x14ac:dyDescent="0.25">
      <c r="A3" s="4" t="s">
        <v>17</v>
      </c>
      <c r="B3" s="5" t="s">
        <v>16</v>
      </c>
      <c r="C3" s="5" t="s">
        <v>1823</v>
      </c>
      <c r="D3" s="5">
        <v>12.2</v>
      </c>
      <c r="E3" s="5">
        <v>12.4</v>
      </c>
      <c r="F3" s="5">
        <v>12.4</v>
      </c>
      <c r="G3" s="5">
        <v>12.4</v>
      </c>
      <c r="H3" s="5">
        <v>12.4</v>
      </c>
      <c r="I3" s="5">
        <v>12.4</v>
      </c>
      <c r="J3" s="5">
        <v>12.4</v>
      </c>
      <c r="K3" s="5">
        <v>503</v>
      </c>
      <c r="L3" s="5">
        <v>0.06</v>
      </c>
      <c r="M3" s="5">
        <v>4</v>
      </c>
      <c r="N3" s="5">
        <v>252</v>
      </c>
      <c r="O3" s="5">
        <v>50.1</v>
      </c>
      <c r="P3" s="5">
        <f t="shared" si="0"/>
        <v>0.20000000000000107</v>
      </c>
      <c r="Q3" s="6">
        <f t="shared" si="1"/>
        <v>1.6393442622950907E-2</v>
      </c>
      <c r="R3" s="5">
        <f t="shared" si="2"/>
        <v>0</v>
      </c>
      <c r="S3" s="6">
        <f t="shared" si="3"/>
        <v>0</v>
      </c>
      <c r="T3" s="6">
        <f t="shared" si="4"/>
        <v>0</v>
      </c>
    </row>
    <row r="4" spans="1:20" hidden="1" x14ac:dyDescent="0.25">
      <c r="A4" s="4" t="s">
        <v>18</v>
      </c>
      <c r="B4" s="5" t="s">
        <v>16</v>
      </c>
      <c r="C4" s="5" t="s">
        <v>1823</v>
      </c>
      <c r="D4" s="5">
        <v>2.2000000000000002</v>
      </c>
      <c r="E4" s="5">
        <v>2.2000000000000002</v>
      </c>
      <c r="F4" s="5">
        <v>2.2000000000000002</v>
      </c>
      <c r="G4" s="5">
        <v>2.1</v>
      </c>
      <c r="H4" s="5">
        <v>2.2000000000000002</v>
      </c>
      <c r="I4" s="5">
        <v>2.15</v>
      </c>
      <c r="J4" s="5">
        <v>2.15</v>
      </c>
      <c r="K4" s="5">
        <v>576969</v>
      </c>
      <c r="L4" s="5">
        <v>12.42</v>
      </c>
      <c r="M4" s="5">
        <v>371</v>
      </c>
      <c r="N4" s="5">
        <v>289320</v>
      </c>
      <c r="O4" s="5">
        <v>50.14</v>
      </c>
      <c r="P4" s="5">
        <f t="shared" si="0"/>
        <v>-5.0000000000000266E-2</v>
      </c>
      <c r="Q4" s="6">
        <f t="shared" si="1"/>
        <v>-2.2727272727272846E-2</v>
      </c>
      <c r="R4" s="5">
        <f t="shared" si="2"/>
        <v>0.10000000000000009</v>
      </c>
      <c r="S4" s="6">
        <f t="shared" si="3"/>
        <v>4.5454545454545491E-2</v>
      </c>
      <c r="T4" s="6">
        <f t="shared" si="4"/>
        <v>0</v>
      </c>
    </row>
    <row r="5" spans="1:20" hidden="1" x14ac:dyDescent="0.25">
      <c r="A5" s="4" t="s">
        <v>19</v>
      </c>
      <c r="B5" s="5" t="s">
        <v>16</v>
      </c>
      <c r="C5" s="5" t="s">
        <v>1823</v>
      </c>
      <c r="D5" s="5">
        <v>19722.3</v>
      </c>
      <c r="E5" s="5">
        <v>19723</v>
      </c>
      <c r="F5" s="5">
        <v>20300</v>
      </c>
      <c r="G5" s="5">
        <v>19527.2</v>
      </c>
      <c r="H5" s="5">
        <v>20187.95</v>
      </c>
      <c r="I5" s="5">
        <v>20058.95</v>
      </c>
      <c r="J5" s="5">
        <v>20089.77</v>
      </c>
      <c r="K5" s="5">
        <v>4949</v>
      </c>
      <c r="L5" s="5">
        <v>994.24</v>
      </c>
      <c r="M5" s="5">
        <v>1195</v>
      </c>
      <c r="N5" s="5">
        <v>3711</v>
      </c>
      <c r="O5" s="5">
        <v>74.98</v>
      </c>
      <c r="P5" s="5">
        <f t="shared" si="0"/>
        <v>336.65000000000146</v>
      </c>
      <c r="Q5" s="6">
        <f t="shared" si="1"/>
        <v>1.7069510148410755E-2</v>
      </c>
      <c r="R5" s="5">
        <f t="shared" si="2"/>
        <v>772.79999999999927</v>
      </c>
      <c r="S5" s="6">
        <f t="shared" si="3"/>
        <v>3.9184070823382634E-2</v>
      </c>
      <c r="T5" s="6">
        <f t="shared" si="4"/>
        <v>-1.5485657113535171E-3</v>
      </c>
    </row>
    <row r="6" spans="1:20" hidden="1" x14ac:dyDescent="0.25">
      <c r="A6" s="4" t="s">
        <v>1824</v>
      </c>
      <c r="B6" s="5" t="s">
        <v>16</v>
      </c>
      <c r="C6" s="5" t="s">
        <v>1823</v>
      </c>
      <c r="D6" s="5">
        <v>6.1</v>
      </c>
      <c r="E6" s="5">
        <v>6</v>
      </c>
      <c r="F6" s="5">
        <v>6</v>
      </c>
      <c r="G6" s="5">
        <v>6</v>
      </c>
      <c r="H6" s="5">
        <v>6</v>
      </c>
      <c r="I6" s="5">
        <v>6</v>
      </c>
      <c r="J6" s="5">
        <v>6</v>
      </c>
      <c r="K6" s="5">
        <v>50</v>
      </c>
      <c r="L6" s="5">
        <v>0</v>
      </c>
      <c r="M6" s="5">
        <v>1</v>
      </c>
      <c r="N6" s="5">
        <v>50</v>
      </c>
      <c r="O6" s="5">
        <v>100</v>
      </c>
      <c r="P6" s="5">
        <f t="shared" si="0"/>
        <v>-9.9999999999999645E-2</v>
      </c>
      <c r="Q6" s="6">
        <f t="shared" si="1"/>
        <v>-1.6393442622950762E-2</v>
      </c>
      <c r="R6" s="5">
        <f t="shared" si="2"/>
        <v>0</v>
      </c>
      <c r="S6" s="6">
        <f t="shared" si="3"/>
        <v>0</v>
      </c>
      <c r="T6" s="6">
        <f t="shared" si="4"/>
        <v>0</v>
      </c>
    </row>
    <row r="7" spans="1:20" hidden="1" x14ac:dyDescent="0.25">
      <c r="A7" s="4" t="s">
        <v>20</v>
      </c>
      <c r="B7" s="5" t="s">
        <v>16</v>
      </c>
      <c r="C7" s="5" t="s">
        <v>1823</v>
      </c>
      <c r="D7" s="5">
        <v>156.65</v>
      </c>
      <c r="E7" s="5">
        <v>164.45</v>
      </c>
      <c r="F7" s="5">
        <v>164.45</v>
      </c>
      <c r="G7" s="5">
        <v>164.45</v>
      </c>
      <c r="H7" s="5">
        <v>164.45</v>
      </c>
      <c r="I7" s="5">
        <v>164.45</v>
      </c>
      <c r="J7" s="5">
        <v>164.45</v>
      </c>
      <c r="K7" s="5">
        <v>2298</v>
      </c>
      <c r="L7" s="5">
        <v>3.78</v>
      </c>
      <c r="M7" s="5">
        <v>40</v>
      </c>
      <c r="N7" s="5">
        <v>2298</v>
      </c>
      <c r="O7" s="5">
        <v>100</v>
      </c>
      <c r="P7" s="5">
        <f t="shared" si="0"/>
        <v>7.7999999999999829</v>
      </c>
      <c r="Q7" s="6">
        <f t="shared" si="1"/>
        <v>4.9792531120331843E-2</v>
      </c>
      <c r="R7" s="5">
        <f t="shared" si="2"/>
        <v>0</v>
      </c>
      <c r="S7" s="6">
        <f t="shared" si="3"/>
        <v>0</v>
      </c>
      <c r="T7" s="6">
        <f t="shared" si="4"/>
        <v>0</v>
      </c>
    </row>
    <row r="8" spans="1:20" hidden="1" x14ac:dyDescent="0.25">
      <c r="A8" s="4" t="s">
        <v>21</v>
      </c>
      <c r="B8" s="5" t="s">
        <v>16</v>
      </c>
      <c r="C8" s="5" t="s">
        <v>1823</v>
      </c>
      <c r="D8" s="5">
        <v>137.55000000000001</v>
      </c>
      <c r="E8" s="5">
        <v>130.69999999999999</v>
      </c>
      <c r="F8" s="5">
        <v>130.69999999999999</v>
      </c>
      <c r="G8" s="5">
        <v>130.69999999999999</v>
      </c>
      <c r="H8" s="5">
        <v>130.69999999999999</v>
      </c>
      <c r="I8" s="5">
        <v>130.69999999999999</v>
      </c>
      <c r="J8" s="5">
        <v>130.69999999999999</v>
      </c>
      <c r="K8" s="5">
        <v>114305</v>
      </c>
      <c r="L8" s="5">
        <v>149.4</v>
      </c>
      <c r="M8" s="5">
        <v>316</v>
      </c>
      <c r="N8" s="5">
        <v>99594</v>
      </c>
      <c r="O8" s="5">
        <v>87.13</v>
      </c>
      <c r="P8" s="5">
        <f t="shared" si="0"/>
        <v>-6.8500000000000227</v>
      </c>
      <c r="Q8" s="6">
        <f t="shared" si="1"/>
        <v>-4.9800072700836223E-2</v>
      </c>
      <c r="R8" s="5">
        <f t="shared" si="2"/>
        <v>0</v>
      </c>
      <c r="S8" s="6">
        <f t="shared" si="3"/>
        <v>0</v>
      </c>
      <c r="T8" s="6">
        <f t="shared" si="4"/>
        <v>0</v>
      </c>
    </row>
    <row r="9" spans="1:20" hidden="1" x14ac:dyDescent="0.25">
      <c r="A9" s="4" t="s">
        <v>1825</v>
      </c>
      <c r="B9" s="5" t="s">
        <v>22</v>
      </c>
      <c r="C9" s="5" t="s">
        <v>1823</v>
      </c>
      <c r="D9" s="5">
        <v>105</v>
      </c>
      <c r="E9" s="5">
        <v>99.8</v>
      </c>
      <c r="F9" s="5">
        <v>99.8</v>
      </c>
      <c r="G9" s="5">
        <v>99.8</v>
      </c>
      <c r="H9" s="5">
        <v>99.8</v>
      </c>
      <c r="I9" s="5">
        <v>99.8</v>
      </c>
      <c r="J9" s="5">
        <v>99.8</v>
      </c>
      <c r="K9" s="5">
        <v>100</v>
      </c>
      <c r="L9" s="5">
        <v>0.1</v>
      </c>
      <c r="M9" s="5">
        <v>1</v>
      </c>
      <c r="N9" s="5">
        <v>100</v>
      </c>
      <c r="O9" s="5">
        <v>100</v>
      </c>
      <c r="P9" s="5">
        <f t="shared" si="0"/>
        <v>-5.2000000000000028</v>
      </c>
      <c r="Q9" s="6">
        <f t="shared" si="1"/>
        <v>-4.9523809523809553E-2</v>
      </c>
      <c r="R9" s="5">
        <f t="shared" si="2"/>
        <v>0</v>
      </c>
      <c r="S9" s="6">
        <f t="shared" si="3"/>
        <v>0</v>
      </c>
      <c r="T9" s="6">
        <f t="shared" si="4"/>
        <v>0</v>
      </c>
    </row>
    <row r="10" spans="1:20" hidden="1" x14ac:dyDescent="0.25">
      <c r="A10" s="4" t="s">
        <v>1826</v>
      </c>
      <c r="B10" s="5" t="s">
        <v>22</v>
      </c>
      <c r="C10" s="5" t="s">
        <v>1823</v>
      </c>
      <c r="D10" s="5">
        <v>100</v>
      </c>
      <c r="E10" s="5">
        <v>95</v>
      </c>
      <c r="F10" s="5">
        <v>95</v>
      </c>
      <c r="G10" s="5">
        <v>95</v>
      </c>
      <c r="H10" s="5">
        <v>95</v>
      </c>
      <c r="I10" s="5">
        <v>95</v>
      </c>
      <c r="J10" s="5">
        <v>95</v>
      </c>
      <c r="K10" s="5">
        <v>5</v>
      </c>
      <c r="L10" s="5">
        <v>0</v>
      </c>
      <c r="M10" s="5">
        <v>1</v>
      </c>
      <c r="N10" s="5">
        <v>5</v>
      </c>
      <c r="O10" s="5">
        <v>100</v>
      </c>
      <c r="P10" s="5">
        <f t="shared" si="0"/>
        <v>-5</v>
      </c>
      <c r="Q10" s="6">
        <f t="shared" si="1"/>
        <v>-0.05</v>
      </c>
      <c r="R10" s="5">
        <f t="shared" si="2"/>
        <v>0</v>
      </c>
      <c r="S10" s="6">
        <f t="shared" si="3"/>
        <v>0</v>
      </c>
      <c r="T10" s="6">
        <f t="shared" si="4"/>
        <v>0</v>
      </c>
    </row>
    <row r="11" spans="1:20" hidden="1" x14ac:dyDescent="0.25">
      <c r="A11" s="4" t="s">
        <v>23</v>
      </c>
      <c r="B11" s="5" t="s">
        <v>24</v>
      </c>
      <c r="C11" s="5" t="s">
        <v>1823</v>
      </c>
      <c r="D11" s="5">
        <v>59</v>
      </c>
      <c r="E11" s="5">
        <v>56.05</v>
      </c>
      <c r="F11" s="5">
        <v>56.05</v>
      </c>
      <c r="G11" s="5">
        <v>56.05</v>
      </c>
      <c r="H11" s="5">
        <v>56.05</v>
      </c>
      <c r="I11" s="5">
        <v>56.05</v>
      </c>
      <c r="J11" s="5">
        <v>56.05</v>
      </c>
      <c r="K11" s="5">
        <v>8627</v>
      </c>
      <c r="L11" s="5">
        <v>4.84</v>
      </c>
      <c r="M11" s="5">
        <v>127</v>
      </c>
      <c r="N11" s="5" t="s">
        <v>25</v>
      </c>
      <c r="O11" s="5" t="s">
        <v>25</v>
      </c>
      <c r="P11" s="5">
        <f t="shared" si="0"/>
        <v>-2.9500000000000028</v>
      </c>
      <c r="Q11" s="6">
        <f t="shared" si="1"/>
        <v>-5.0000000000000051E-2</v>
      </c>
      <c r="R11" s="5">
        <f t="shared" si="2"/>
        <v>0</v>
      </c>
      <c r="S11" s="6">
        <f t="shared" si="3"/>
        <v>0</v>
      </c>
      <c r="T11" s="6">
        <f t="shared" si="4"/>
        <v>0</v>
      </c>
    </row>
    <row r="12" spans="1:20" x14ac:dyDescent="0.25">
      <c r="A12" s="4" t="s">
        <v>1578</v>
      </c>
      <c r="B12" s="5" t="s">
        <v>16</v>
      </c>
      <c r="C12" s="5" t="s">
        <v>1823</v>
      </c>
      <c r="D12" s="5">
        <v>473.05</v>
      </c>
      <c r="E12" s="5">
        <v>472.45</v>
      </c>
      <c r="F12" s="5">
        <v>472.45</v>
      </c>
      <c r="G12" s="5">
        <v>457</v>
      </c>
      <c r="H12" s="5">
        <v>461.8</v>
      </c>
      <c r="I12" s="5">
        <v>463.7</v>
      </c>
      <c r="J12" s="5">
        <v>462.1</v>
      </c>
      <c r="K12" s="5">
        <v>1761616</v>
      </c>
      <c r="L12" s="5">
        <v>8140.48</v>
      </c>
      <c r="M12" s="5">
        <v>20979</v>
      </c>
      <c r="N12" s="5">
        <v>91206</v>
      </c>
      <c r="O12" s="5">
        <v>5.18</v>
      </c>
      <c r="P12" s="5">
        <f t="shared" ref="P12:P75" si="5">I12-D12</f>
        <v>-9.3500000000000227</v>
      </c>
      <c r="Q12" s="6">
        <f t="shared" ref="Q12:Q75" si="6">P12/D12</f>
        <v>-1.9765352499735805E-2</v>
      </c>
      <c r="R12" s="5">
        <f t="shared" ref="R12:R75" si="7">ABS(F12-G12)</f>
        <v>15.449999999999989</v>
      </c>
      <c r="S12" s="6">
        <f t="shared" ref="S12:S75" si="8">R12/D12</f>
        <v>3.2660395307049971E-2</v>
      </c>
      <c r="T12" s="6">
        <f t="shared" ref="T12:T75" si="9">(I12-J12)/AVERAGE(E12:G12,I12)</f>
        <v>3.4305317324184515E-3</v>
      </c>
    </row>
    <row r="13" spans="1:20" hidden="1" x14ac:dyDescent="0.25">
      <c r="A13" s="4" t="s">
        <v>27</v>
      </c>
      <c r="B13" s="5" t="s">
        <v>28</v>
      </c>
      <c r="C13" s="5" t="s">
        <v>1823</v>
      </c>
      <c r="D13" s="5">
        <v>48</v>
      </c>
      <c r="E13" s="5">
        <v>48</v>
      </c>
      <c r="F13" s="5">
        <v>48</v>
      </c>
      <c r="G13" s="5">
        <v>48</v>
      </c>
      <c r="H13" s="5">
        <v>48</v>
      </c>
      <c r="I13" s="5">
        <v>48</v>
      </c>
      <c r="J13" s="5">
        <v>48</v>
      </c>
      <c r="K13" s="5">
        <v>3300</v>
      </c>
      <c r="L13" s="5">
        <v>1.58</v>
      </c>
      <c r="M13" s="5">
        <v>1</v>
      </c>
      <c r="N13" s="5">
        <v>3300</v>
      </c>
      <c r="O13" s="5">
        <v>100</v>
      </c>
      <c r="P13" s="5">
        <f t="shared" si="5"/>
        <v>0</v>
      </c>
      <c r="Q13" s="6">
        <f t="shared" si="6"/>
        <v>0</v>
      </c>
      <c r="R13" s="5">
        <f t="shared" si="7"/>
        <v>0</v>
      </c>
      <c r="S13" s="6">
        <f t="shared" si="8"/>
        <v>0</v>
      </c>
      <c r="T13" s="6">
        <f t="shared" si="9"/>
        <v>0</v>
      </c>
    </row>
    <row r="14" spans="1:20" hidden="1" x14ac:dyDescent="0.25">
      <c r="A14" s="4" t="s">
        <v>29</v>
      </c>
      <c r="B14" s="5" t="s">
        <v>16</v>
      </c>
      <c r="C14" s="5" t="s">
        <v>1823</v>
      </c>
      <c r="D14" s="5">
        <v>482.9</v>
      </c>
      <c r="E14" s="5">
        <v>485</v>
      </c>
      <c r="F14" s="5">
        <v>488.85</v>
      </c>
      <c r="G14" s="5">
        <v>464.3</v>
      </c>
      <c r="H14" s="5">
        <v>464.3</v>
      </c>
      <c r="I14" s="5">
        <v>465.95</v>
      </c>
      <c r="J14" s="5">
        <v>474.74</v>
      </c>
      <c r="K14" s="5">
        <v>49927</v>
      </c>
      <c r="L14" s="5">
        <v>237.02</v>
      </c>
      <c r="M14" s="5">
        <v>2107</v>
      </c>
      <c r="N14" s="5">
        <v>44238</v>
      </c>
      <c r="O14" s="5">
        <v>88.61</v>
      </c>
      <c r="P14" s="5">
        <f t="shared" si="5"/>
        <v>-16.949999999999989</v>
      </c>
      <c r="Q14" s="6">
        <f t="shared" si="6"/>
        <v>-3.5100434872644415E-2</v>
      </c>
      <c r="R14" s="5">
        <f t="shared" si="7"/>
        <v>24.550000000000011</v>
      </c>
      <c r="S14" s="6">
        <f t="shared" si="8"/>
        <v>5.0838682957134007E-2</v>
      </c>
      <c r="T14" s="6">
        <f t="shared" si="9"/>
        <v>-1.846541673231452E-2</v>
      </c>
    </row>
    <row r="15" spans="1:20" hidden="1" x14ac:dyDescent="0.25">
      <c r="A15" s="4" t="s">
        <v>30</v>
      </c>
      <c r="B15" s="5" t="s">
        <v>16</v>
      </c>
      <c r="C15" s="5" t="s">
        <v>1823</v>
      </c>
      <c r="D15" s="5">
        <v>1637.8</v>
      </c>
      <c r="E15" s="5">
        <v>1655</v>
      </c>
      <c r="F15" s="5">
        <v>1655</v>
      </c>
      <c r="G15" s="5">
        <v>1615</v>
      </c>
      <c r="H15" s="5">
        <v>1619.1</v>
      </c>
      <c r="I15" s="5">
        <v>1619.75</v>
      </c>
      <c r="J15" s="5">
        <v>1622.64</v>
      </c>
      <c r="K15" s="5">
        <v>154339</v>
      </c>
      <c r="L15" s="5">
        <v>2504.37</v>
      </c>
      <c r="M15" s="5">
        <v>6186</v>
      </c>
      <c r="N15" s="5">
        <v>140821</v>
      </c>
      <c r="O15" s="5">
        <v>91.24</v>
      </c>
      <c r="P15" s="5">
        <f t="shared" si="5"/>
        <v>-18.049999999999955</v>
      </c>
      <c r="Q15" s="6">
        <f t="shared" si="6"/>
        <v>-1.1020881670533614E-2</v>
      </c>
      <c r="R15" s="5">
        <f t="shared" si="7"/>
        <v>40</v>
      </c>
      <c r="S15" s="6">
        <f t="shared" si="8"/>
        <v>2.4423006472096716E-2</v>
      </c>
      <c r="T15" s="6">
        <f t="shared" si="9"/>
        <v>-1.7663012338134229E-3</v>
      </c>
    </row>
    <row r="16" spans="1:20" hidden="1" x14ac:dyDescent="0.25">
      <c r="A16" s="4" t="s">
        <v>31</v>
      </c>
      <c r="B16" s="5" t="s">
        <v>16</v>
      </c>
      <c r="C16" s="5" t="s">
        <v>1823</v>
      </c>
      <c r="D16" s="5">
        <v>17.45</v>
      </c>
      <c r="E16" s="5">
        <v>16.600000000000001</v>
      </c>
      <c r="F16" s="5">
        <v>18.7</v>
      </c>
      <c r="G16" s="5">
        <v>16.05</v>
      </c>
      <c r="H16" s="5">
        <v>16.2</v>
      </c>
      <c r="I16" s="5">
        <v>16.3</v>
      </c>
      <c r="J16" s="5">
        <v>16.54</v>
      </c>
      <c r="K16" s="5">
        <v>6719</v>
      </c>
      <c r="L16" s="5">
        <v>1.1100000000000001</v>
      </c>
      <c r="M16" s="5">
        <v>296</v>
      </c>
      <c r="N16" s="5">
        <v>5789</v>
      </c>
      <c r="O16" s="5">
        <v>86.16</v>
      </c>
      <c r="P16" s="5">
        <f t="shared" si="5"/>
        <v>-1.1499999999999986</v>
      </c>
      <c r="Q16" s="6">
        <f t="shared" si="6"/>
        <v>-6.5902578796561528E-2</v>
      </c>
      <c r="R16" s="5">
        <f t="shared" si="7"/>
        <v>2.6499999999999986</v>
      </c>
      <c r="S16" s="6">
        <f t="shared" si="8"/>
        <v>0.15186246418338101</v>
      </c>
      <c r="T16" s="6">
        <f t="shared" si="9"/>
        <v>-1.4190687361418979E-2</v>
      </c>
    </row>
    <row r="17" spans="1:20" hidden="1" x14ac:dyDescent="0.25">
      <c r="A17" s="4" t="s">
        <v>32</v>
      </c>
      <c r="B17" s="5" t="s">
        <v>16</v>
      </c>
      <c r="C17" s="5" t="s">
        <v>1823</v>
      </c>
      <c r="D17" s="5">
        <v>1585.25</v>
      </c>
      <c r="E17" s="5">
        <v>1610</v>
      </c>
      <c r="F17" s="5">
        <v>1610</v>
      </c>
      <c r="G17" s="5">
        <v>1556.2</v>
      </c>
      <c r="H17" s="5">
        <v>1566</v>
      </c>
      <c r="I17" s="5">
        <v>1586.5</v>
      </c>
      <c r="J17" s="5">
        <v>1577.35</v>
      </c>
      <c r="K17" s="5">
        <v>8054</v>
      </c>
      <c r="L17" s="5">
        <v>127.04</v>
      </c>
      <c r="M17" s="5">
        <v>2709</v>
      </c>
      <c r="N17" s="5">
        <v>5115</v>
      </c>
      <c r="O17" s="5">
        <v>63.51</v>
      </c>
      <c r="P17" s="5">
        <f t="shared" si="5"/>
        <v>1.25</v>
      </c>
      <c r="Q17" s="6">
        <f t="shared" si="6"/>
        <v>7.8851916101561263E-4</v>
      </c>
      <c r="R17" s="5">
        <f t="shared" si="7"/>
        <v>53.799999999999955</v>
      </c>
      <c r="S17" s="6">
        <f t="shared" si="8"/>
        <v>3.3937864690111938E-2</v>
      </c>
      <c r="T17" s="6">
        <f t="shared" si="9"/>
        <v>5.7522749776039049E-3</v>
      </c>
    </row>
    <row r="18" spans="1:20" x14ac:dyDescent="0.25">
      <c r="A18" s="4" t="s">
        <v>1338</v>
      </c>
      <c r="B18" s="5" t="s">
        <v>16</v>
      </c>
      <c r="C18" s="5" t="s">
        <v>1823</v>
      </c>
      <c r="D18" s="5">
        <v>94.25</v>
      </c>
      <c r="E18" s="5">
        <v>95.5</v>
      </c>
      <c r="F18" s="5">
        <v>95.55</v>
      </c>
      <c r="G18" s="5">
        <v>91.65</v>
      </c>
      <c r="H18" s="5">
        <v>92.1</v>
      </c>
      <c r="I18" s="5">
        <v>92.2</v>
      </c>
      <c r="J18" s="5">
        <v>92.47</v>
      </c>
      <c r="K18" s="5">
        <v>145666</v>
      </c>
      <c r="L18" s="5">
        <v>134.69999999999999</v>
      </c>
      <c r="M18" s="5">
        <v>1743</v>
      </c>
      <c r="N18" s="5">
        <v>8572</v>
      </c>
      <c r="O18" s="5">
        <v>5.88</v>
      </c>
      <c r="P18" s="5">
        <f t="shared" si="5"/>
        <v>-2.0499999999999972</v>
      </c>
      <c r="Q18" s="6">
        <f t="shared" si="6"/>
        <v>-2.1750663129973445E-2</v>
      </c>
      <c r="R18" s="5">
        <f t="shared" si="7"/>
        <v>3.8999999999999915</v>
      </c>
      <c r="S18" s="6">
        <f t="shared" si="8"/>
        <v>4.1379310344827495E-2</v>
      </c>
      <c r="T18" s="6">
        <f t="shared" si="9"/>
        <v>-2.8807682048545852E-3</v>
      </c>
    </row>
    <row r="19" spans="1:20" hidden="1" x14ac:dyDescent="0.25">
      <c r="A19" s="4" t="s">
        <v>34</v>
      </c>
      <c r="B19" s="5" t="s">
        <v>16</v>
      </c>
      <c r="C19" s="5" t="s">
        <v>1823</v>
      </c>
      <c r="D19" s="5">
        <v>1573.35</v>
      </c>
      <c r="E19" s="5">
        <v>1571</v>
      </c>
      <c r="F19" s="5">
        <v>1575</v>
      </c>
      <c r="G19" s="5">
        <v>1510</v>
      </c>
      <c r="H19" s="5">
        <v>1525.95</v>
      </c>
      <c r="I19" s="5">
        <v>1539.6</v>
      </c>
      <c r="J19" s="5">
        <v>1544.35</v>
      </c>
      <c r="K19" s="5">
        <v>82712</v>
      </c>
      <c r="L19" s="5">
        <v>1277.3599999999999</v>
      </c>
      <c r="M19" s="5">
        <v>9200</v>
      </c>
      <c r="N19" s="5">
        <v>37781</v>
      </c>
      <c r="O19" s="5">
        <v>45.68</v>
      </c>
      <c r="P19" s="5">
        <f t="shared" si="5"/>
        <v>-33.75</v>
      </c>
      <c r="Q19" s="6">
        <f t="shared" si="6"/>
        <v>-2.1451043950805607E-2</v>
      </c>
      <c r="R19" s="5">
        <f t="shared" si="7"/>
        <v>65</v>
      </c>
      <c r="S19" s="6">
        <f t="shared" si="8"/>
        <v>4.131312168303302E-2</v>
      </c>
      <c r="T19" s="6">
        <f t="shared" si="9"/>
        <v>-3.066692491445542E-3</v>
      </c>
    </row>
    <row r="20" spans="1:20" hidden="1" x14ac:dyDescent="0.25">
      <c r="A20" s="4" t="s">
        <v>35</v>
      </c>
      <c r="B20" s="5" t="s">
        <v>16</v>
      </c>
      <c r="C20" s="5" t="s">
        <v>1823</v>
      </c>
      <c r="D20" s="5">
        <v>10807.45</v>
      </c>
      <c r="E20" s="5">
        <v>10807.45</v>
      </c>
      <c r="F20" s="5">
        <v>10807.45</v>
      </c>
      <c r="G20" s="5">
        <v>10395.299999999999</v>
      </c>
      <c r="H20" s="5">
        <v>10718</v>
      </c>
      <c r="I20" s="5">
        <v>10629.7</v>
      </c>
      <c r="J20" s="5">
        <v>10609.88</v>
      </c>
      <c r="K20" s="5">
        <v>6146</v>
      </c>
      <c r="L20" s="5">
        <v>652.08000000000004</v>
      </c>
      <c r="M20" s="5">
        <v>1996</v>
      </c>
      <c r="N20" s="5">
        <v>3673</v>
      </c>
      <c r="O20" s="5">
        <v>59.76</v>
      </c>
      <c r="P20" s="5">
        <f t="shared" si="5"/>
        <v>-177.75</v>
      </c>
      <c r="Q20" s="6">
        <f t="shared" si="6"/>
        <v>-1.644698795738125E-2</v>
      </c>
      <c r="R20" s="5">
        <f t="shared" si="7"/>
        <v>412.15000000000146</v>
      </c>
      <c r="S20" s="6">
        <f t="shared" si="8"/>
        <v>3.8135730445202284E-2</v>
      </c>
      <c r="T20" s="6">
        <f t="shared" si="9"/>
        <v>1.8592914148486772E-3</v>
      </c>
    </row>
    <row r="21" spans="1:20" x14ac:dyDescent="0.25">
      <c r="A21" s="4" t="s">
        <v>51</v>
      </c>
      <c r="B21" s="5" t="s">
        <v>16</v>
      </c>
      <c r="C21" s="5" t="s">
        <v>1823</v>
      </c>
      <c r="D21" s="5">
        <v>67.599999999999994</v>
      </c>
      <c r="E21" s="5">
        <v>67.55</v>
      </c>
      <c r="F21" s="5">
        <v>69.900000000000006</v>
      </c>
      <c r="G21" s="5">
        <v>66.849999999999994</v>
      </c>
      <c r="H21" s="5">
        <v>68.05</v>
      </c>
      <c r="I21" s="5">
        <v>68.45</v>
      </c>
      <c r="J21" s="5">
        <v>68.569999999999993</v>
      </c>
      <c r="K21" s="5">
        <v>27753848</v>
      </c>
      <c r="L21" s="5">
        <v>19030.45</v>
      </c>
      <c r="M21" s="5">
        <v>84235</v>
      </c>
      <c r="N21" s="5">
        <v>2314835</v>
      </c>
      <c r="O21" s="5">
        <v>8.34</v>
      </c>
      <c r="P21" s="5">
        <f t="shared" si="5"/>
        <v>0.85000000000000853</v>
      </c>
      <c r="Q21" s="6">
        <f t="shared" si="6"/>
        <v>1.2573964497041547E-2</v>
      </c>
      <c r="R21" s="5">
        <f t="shared" si="7"/>
        <v>3.0500000000000114</v>
      </c>
      <c r="S21" s="6">
        <f t="shared" si="8"/>
        <v>4.5118343195266447E-2</v>
      </c>
      <c r="T21" s="6">
        <f t="shared" si="9"/>
        <v>-1.7598533455543955E-3</v>
      </c>
    </row>
    <row r="22" spans="1:20" x14ac:dyDescent="0.25">
      <c r="A22" s="4" t="s">
        <v>47</v>
      </c>
      <c r="B22" s="5" t="s">
        <v>16</v>
      </c>
      <c r="C22" s="5" t="s">
        <v>1823</v>
      </c>
      <c r="D22" s="5">
        <v>148.05000000000001</v>
      </c>
      <c r="E22" s="5">
        <v>149.69999999999999</v>
      </c>
      <c r="F22" s="5">
        <v>151</v>
      </c>
      <c r="G22" s="5">
        <v>145.5</v>
      </c>
      <c r="H22" s="5">
        <v>147.1</v>
      </c>
      <c r="I22" s="5">
        <v>147.55000000000001</v>
      </c>
      <c r="J22" s="5">
        <v>148.44999999999999</v>
      </c>
      <c r="K22" s="5">
        <v>4572108</v>
      </c>
      <c r="L22" s="5">
        <v>6787.1</v>
      </c>
      <c r="M22" s="5">
        <v>27829</v>
      </c>
      <c r="N22" s="5">
        <v>443957</v>
      </c>
      <c r="O22" s="5">
        <v>9.7100000000000009</v>
      </c>
      <c r="P22" s="5">
        <f t="shared" si="5"/>
        <v>-0.5</v>
      </c>
      <c r="Q22" s="6">
        <f t="shared" si="6"/>
        <v>-3.3772374197906111E-3</v>
      </c>
      <c r="R22" s="5">
        <f t="shared" si="7"/>
        <v>5.5</v>
      </c>
      <c r="S22" s="6">
        <f t="shared" si="8"/>
        <v>3.7149611617696719E-2</v>
      </c>
      <c r="T22" s="6">
        <f t="shared" si="9"/>
        <v>-6.0631578947366888E-3</v>
      </c>
    </row>
    <row r="23" spans="1:20" hidden="1" x14ac:dyDescent="0.25">
      <c r="A23" s="4" t="s">
        <v>38</v>
      </c>
      <c r="B23" s="5" t="s">
        <v>28</v>
      </c>
      <c r="C23" s="5" t="s">
        <v>1823</v>
      </c>
      <c r="D23" s="5">
        <v>19.25</v>
      </c>
      <c r="E23" s="5">
        <v>20.100000000000001</v>
      </c>
      <c r="F23" s="5">
        <v>20.100000000000001</v>
      </c>
      <c r="G23" s="5">
        <v>20.100000000000001</v>
      </c>
      <c r="H23" s="5">
        <v>20.100000000000001</v>
      </c>
      <c r="I23" s="5">
        <v>20.100000000000001</v>
      </c>
      <c r="J23" s="5">
        <v>20.100000000000001</v>
      </c>
      <c r="K23" s="5">
        <v>32000</v>
      </c>
      <c r="L23" s="5">
        <v>6.43</v>
      </c>
      <c r="M23" s="5">
        <v>1</v>
      </c>
      <c r="N23" s="5">
        <v>32000</v>
      </c>
      <c r="O23" s="5">
        <v>100</v>
      </c>
      <c r="P23" s="5">
        <f t="shared" si="5"/>
        <v>0.85000000000000142</v>
      </c>
      <c r="Q23" s="6">
        <f t="shared" si="6"/>
        <v>4.4155844155844233E-2</v>
      </c>
      <c r="R23" s="5">
        <f t="shared" si="7"/>
        <v>0</v>
      </c>
      <c r="S23" s="6">
        <f t="shared" si="8"/>
        <v>0</v>
      </c>
      <c r="T23" s="6">
        <f t="shared" si="9"/>
        <v>0</v>
      </c>
    </row>
    <row r="24" spans="1:20" hidden="1" x14ac:dyDescent="0.25">
      <c r="A24" s="4" t="s">
        <v>40</v>
      </c>
      <c r="B24" s="5" t="s">
        <v>16</v>
      </c>
      <c r="C24" s="5" t="s">
        <v>1823</v>
      </c>
      <c r="D24" s="5">
        <v>278.52</v>
      </c>
      <c r="E24" s="5">
        <v>277.7</v>
      </c>
      <c r="F24" s="5">
        <v>277.7</v>
      </c>
      <c r="G24" s="5">
        <v>274.35000000000002</v>
      </c>
      <c r="H24" s="5">
        <v>274.35000000000002</v>
      </c>
      <c r="I24" s="5">
        <v>274.35000000000002</v>
      </c>
      <c r="J24" s="5">
        <v>276.3</v>
      </c>
      <c r="K24" s="5">
        <v>344</v>
      </c>
      <c r="L24" s="5">
        <v>0.95</v>
      </c>
      <c r="M24" s="5">
        <v>10</v>
      </c>
      <c r="N24" s="5">
        <v>342</v>
      </c>
      <c r="O24" s="5">
        <v>99.42</v>
      </c>
      <c r="P24" s="5">
        <f t="shared" si="5"/>
        <v>-4.1699999999999591</v>
      </c>
      <c r="Q24" s="6">
        <f t="shared" si="6"/>
        <v>-1.4971994829814589E-2</v>
      </c>
      <c r="R24" s="5">
        <f t="shared" si="7"/>
        <v>3.3499999999999659</v>
      </c>
      <c r="S24" s="6">
        <f t="shared" si="8"/>
        <v>1.2027861553927783E-2</v>
      </c>
      <c r="T24" s="6">
        <f t="shared" si="9"/>
        <v>-7.0645774839235174E-3</v>
      </c>
    </row>
    <row r="25" spans="1:20" hidden="1" x14ac:dyDescent="0.25">
      <c r="A25" s="4" t="s">
        <v>41</v>
      </c>
      <c r="B25" s="5" t="s">
        <v>42</v>
      </c>
      <c r="C25" s="5" t="s">
        <v>1823</v>
      </c>
      <c r="D25" s="5">
        <v>7.12</v>
      </c>
      <c r="E25" s="5">
        <v>6.91</v>
      </c>
      <c r="F25" s="5">
        <v>7.11</v>
      </c>
      <c r="G25" s="5">
        <v>6.41</v>
      </c>
      <c r="H25" s="5">
        <v>6.98</v>
      </c>
      <c r="I25" s="5">
        <v>6.98</v>
      </c>
      <c r="J25" s="5">
        <v>6.89</v>
      </c>
      <c r="K25" s="5">
        <v>25560</v>
      </c>
      <c r="L25" s="5">
        <v>1.76</v>
      </c>
      <c r="M25" s="5">
        <v>14</v>
      </c>
      <c r="N25" s="5">
        <v>25560</v>
      </c>
      <c r="O25" s="5">
        <v>100</v>
      </c>
      <c r="P25" s="5">
        <f t="shared" si="5"/>
        <v>-0.13999999999999968</v>
      </c>
      <c r="Q25" s="6">
        <f t="shared" si="6"/>
        <v>-1.9662921348314561E-2</v>
      </c>
      <c r="R25" s="5">
        <f t="shared" si="7"/>
        <v>0.70000000000000018</v>
      </c>
      <c r="S25" s="6">
        <f t="shared" si="8"/>
        <v>9.8314606741573052E-2</v>
      </c>
      <c r="T25" s="6">
        <f t="shared" si="9"/>
        <v>1.3133892739876066E-2</v>
      </c>
    </row>
    <row r="26" spans="1:20" hidden="1" x14ac:dyDescent="0.25">
      <c r="A26" s="4" t="s">
        <v>43</v>
      </c>
      <c r="B26" s="5" t="s">
        <v>16</v>
      </c>
      <c r="C26" s="5" t="s">
        <v>1823</v>
      </c>
      <c r="D26" s="5">
        <v>1650.8</v>
      </c>
      <c r="E26" s="5">
        <v>1648.55</v>
      </c>
      <c r="F26" s="5">
        <v>1659</v>
      </c>
      <c r="G26" s="5">
        <v>1615.6</v>
      </c>
      <c r="H26" s="5">
        <v>1632.5</v>
      </c>
      <c r="I26" s="5">
        <v>1633.65</v>
      </c>
      <c r="J26" s="5">
        <v>1638.39</v>
      </c>
      <c r="K26" s="5">
        <v>703402</v>
      </c>
      <c r="L26" s="5">
        <v>11524.5</v>
      </c>
      <c r="M26" s="5">
        <v>25692</v>
      </c>
      <c r="N26" s="5">
        <v>56132</v>
      </c>
      <c r="O26" s="5">
        <v>7.98</v>
      </c>
      <c r="P26" s="5">
        <f t="shared" si="5"/>
        <v>-17.149999999999864</v>
      </c>
      <c r="Q26" s="6">
        <f t="shared" si="6"/>
        <v>-1.0388902350375493E-2</v>
      </c>
      <c r="R26" s="5">
        <f t="shared" si="7"/>
        <v>43.400000000000091</v>
      </c>
      <c r="S26" s="6">
        <f t="shared" si="8"/>
        <v>2.6290283498909675E-2</v>
      </c>
      <c r="T26" s="6">
        <f t="shared" si="9"/>
        <v>-2.8916544655929782E-3</v>
      </c>
    </row>
    <row r="27" spans="1:20" hidden="1" x14ac:dyDescent="0.25">
      <c r="A27" s="4" t="s">
        <v>44</v>
      </c>
      <c r="B27" s="5" t="s">
        <v>16</v>
      </c>
      <c r="C27" s="5" t="s">
        <v>1823</v>
      </c>
      <c r="D27" s="5">
        <v>854.15</v>
      </c>
      <c r="E27" s="5">
        <v>854.15</v>
      </c>
      <c r="F27" s="5">
        <v>866.05</v>
      </c>
      <c r="G27" s="5">
        <v>843</v>
      </c>
      <c r="H27" s="5">
        <v>844</v>
      </c>
      <c r="I27" s="5">
        <v>847.25</v>
      </c>
      <c r="J27" s="5">
        <v>851.18</v>
      </c>
      <c r="K27" s="5">
        <v>5810</v>
      </c>
      <c r="L27" s="5">
        <v>49.45</v>
      </c>
      <c r="M27" s="5">
        <v>313</v>
      </c>
      <c r="N27" s="5">
        <v>5229</v>
      </c>
      <c r="O27" s="5">
        <v>90</v>
      </c>
      <c r="P27" s="5">
        <f t="shared" si="5"/>
        <v>-6.8999999999999773</v>
      </c>
      <c r="Q27" s="6">
        <f t="shared" si="6"/>
        <v>-8.0782064040273698E-3</v>
      </c>
      <c r="R27" s="5">
        <f t="shared" si="7"/>
        <v>23.049999999999955</v>
      </c>
      <c r="S27" s="6">
        <f t="shared" si="8"/>
        <v>2.6985892407656684E-2</v>
      </c>
      <c r="T27" s="6">
        <f t="shared" si="9"/>
        <v>-4.6093624008561335E-3</v>
      </c>
    </row>
    <row r="28" spans="1:20" hidden="1" x14ac:dyDescent="0.25">
      <c r="A28" s="4" t="s">
        <v>45</v>
      </c>
      <c r="B28" s="5" t="s">
        <v>28</v>
      </c>
      <c r="C28" s="5" t="s">
        <v>1823</v>
      </c>
      <c r="D28" s="5">
        <v>36.85</v>
      </c>
      <c r="E28" s="5">
        <v>38.65</v>
      </c>
      <c r="F28" s="5">
        <v>38.65</v>
      </c>
      <c r="G28" s="5">
        <v>35.049999999999997</v>
      </c>
      <c r="H28" s="5">
        <v>35.049999999999997</v>
      </c>
      <c r="I28" s="5">
        <v>35.049999999999997</v>
      </c>
      <c r="J28" s="5">
        <v>36.25</v>
      </c>
      <c r="K28" s="5">
        <v>51200</v>
      </c>
      <c r="L28" s="5">
        <v>18.559999999999999</v>
      </c>
      <c r="M28" s="5">
        <v>16</v>
      </c>
      <c r="N28" s="5">
        <v>33600</v>
      </c>
      <c r="O28" s="5">
        <v>65.63</v>
      </c>
      <c r="P28" s="5">
        <f t="shared" si="5"/>
        <v>-1.8000000000000043</v>
      </c>
      <c r="Q28" s="6">
        <f t="shared" si="6"/>
        <v>-4.8846675712347465E-2</v>
      </c>
      <c r="R28" s="5">
        <f t="shared" si="7"/>
        <v>3.6000000000000014</v>
      </c>
      <c r="S28" s="6">
        <f t="shared" si="8"/>
        <v>9.7693351424694749E-2</v>
      </c>
      <c r="T28" s="6">
        <f t="shared" si="9"/>
        <v>-3.2564450474898317E-2</v>
      </c>
    </row>
    <row r="29" spans="1:20" x14ac:dyDescent="0.25">
      <c r="A29" s="4" t="s">
        <v>394</v>
      </c>
      <c r="B29" s="5" t="s">
        <v>16</v>
      </c>
      <c r="C29" s="5" t="s">
        <v>1823</v>
      </c>
      <c r="D29" s="5">
        <v>44.95</v>
      </c>
      <c r="E29" s="5">
        <v>45.5</v>
      </c>
      <c r="F29" s="5">
        <v>49.3</v>
      </c>
      <c r="G29" s="5">
        <v>45.3</v>
      </c>
      <c r="H29" s="5">
        <v>45.9</v>
      </c>
      <c r="I29" s="5">
        <v>47.15</v>
      </c>
      <c r="J29" s="5">
        <v>47.65</v>
      </c>
      <c r="K29" s="5">
        <v>32355139</v>
      </c>
      <c r="L29" s="5">
        <v>15416.28</v>
      </c>
      <c r="M29" s="5">
        <v>110382</v>
      </c>
      <c r="N29" s="5">
        <v>3271026</v>
      </c>
      <c r="O29" s="5">
        <v>10.11</v>
      </c>
      <c r="P29" s="5">
        <f t="shared" si="5"/>
        <v>2.1999999999999957</v>
      </c>
      <c r="Q29" s="6">
        <f t="shared" si="6"/>
        <v>4.8943270300333609E-2</v>
      </c>
      <c r="R29" s="5">
        <f t="shared" si="7"/>
        <v>4</v>
      </c>
      <c r="S29" s="6">
        <f t="shared" si="8"/>
        <v>8.8987764182424905E-2</v>
      </c>
      <c r="T29" s="6">
        <f t="shared" si="9"/>
        <v>-1.0680907877169559E-2</v>
      </c>
    </row>
    <row r="30" spans="1:20" hidden="1" x14ac:dyDescent="0.25">
      <c r="A30" s="4" t="s">
        <v>1827</v>
      </c>
      <c r="B30" s="5" t="s">
        <v>28</v>
      </c>
      <c r="C30" s="5" t="s">
        <v>1823</v>
      </c>
      <c r="D30" s="5">
        <v>23.35</v>
      </c>
      <c r="E30" s="5">
        <v>22.25</v>
      </c>
      <c r="F30" s="5">
        <v>22.25</v>
      </c>
      <c r="G30" s="5">
        <v>22.25</v>
      </c>
      <c r="H30" s="5">
        <v>22.25</v>
      </c>
      <c r="I30" s="5">
        <v>22.25</v>
      </c>
      <c r="J30" s="5">
        <v>22.25</v>
      </c>
      <c r="K30" s="5">
        <v>3000</v>
      </c>
      <c r="L30" s="5">
        <v>0.67</v>
      </c>
      <c r="M30" s="5">
        <v>1</v>
      </c>
      <c r="N30" s="5">
        <v>3000</v>
      </c>
      <c r="O30" s="5">
        <v>100</v>
      </c>
      <c r="P30" s="5">
        <f t="shared" si="5"/>
        <v>-1.1000000000000014</v>
      </c>
      <c r="Q30" s="6">
        <f t="shared" si="6"/>
        <v>-4.7109207708779501E-2</v>
      </c>
      <c r="R30" s="5">
        <f t="shared" si="7"/>
        <v>0</v>
      </c>
      <c r="S30" s="6">
        <f t="shared" si="8"/>
        <v>0</v>
      </c>
      <c r="T30" s="6">
        <f t="shared" si="9"/>
        <v>0</v>
      </c>
    </row>
    <row r="31" spans="1:20" x14ac:dyDescent="0.25">
      <c r="A31" s="4" t="s">
        <v>1326</v>
      </c>
      <c r="B31" s="5" t="s">
        <v>16</v>
      </c>
      <c r="C31" s="5" t="s">
        <v>1823</v>
      </c>
      <c r="D31" s="5">
        <v>30.45</v>
      </c>
      <c r="E31" s="5">
        <v>30.5</v>
      </c>
      <c r="F31" s="5">
        <v>32</v>
      </c>
      <c r="G31" s="5">
        <v>29.6</v>
      </c>
      <c r="H31" s="5">
        <v>30.7</v>
      </c>
      <c r="I31" s="5">
        <v>31.15</v>
      </c>
      <c r="J31" s="5">
        <v>30.66</v>
      </c>
      <c r="K31" s="5">
        <v>18024539</v>
      </c>
      <c r="L31" s="5">
        <v>5527.22</v>
      </c>
      <c r="M31" s="5">
        <v>46592</v>
      </c>
      <c r="N31" s="5">
        <v>1982660</v>
      </c>
      <c r="O31" s="5">
        <v>11</v>
      </c>
      <c r="P31" s="5">
        <f t="shared" si="5"/>
        <v>0.69999999999999929</v>
      </c>
      <c r="Q31" s="6">
        <f t="shared" si="6"/>
        <v>2.2988505747126416E-2</v>
      </c>
      <c r="R31" s="5">
        <f t="shared" si="7"/>
        <v>2.3999999999999986</v>
      </c>
      <c r="S31" s="6">
        <f t="shared" si="8"/>
        <v>7.8817733990147743E-2</v>
      </c>
      <c r="T31" s="6">
        <f t="shared" si="9"/>
        <v>1.590263691683565E-2</v>
      </c>
    </row>
    <row r="32" spans="1:20" x14ac:dyDescent="0.25">
      <c r="A32" s="4" t="s">
        <v>1617</v>
      </c>
      <c r="B32" s="5" t="s">
        <v>16</v>
      </c>
      <c r="C32" s="5" t="s">
        <v>1823</v>
      </c>
      <c r="D32" s="5">
        <v>685.5</v>
      </c>
      <c r="E32" s="5">
        <v>681</v>
      </c>
      <c r="F32" s="5">
        <v>700.6</v>
      </c>
      <c r="G32" s="5">
        <v>660</v>
      </c>
      <c r="H32" s="5">
        <v>668.05</v>
      </c>
      <c r="I32" s="5">
        <v>667.4</v>
      </c>
      <c r="J32" s="5">
        <v>681.63</v>
      </c>
      <c r="K32" s="5">
        <v>2089065</v>
      </c>
      <c r="L32" s="5">
        <v>14239.76</v>
      </c>
      <c r="M32" s="5">
        <v>54102</v>
      </c>
      <c r="N32" s="5">
        <v>240741</v>
      </c>
      <c r="O32" s="5">
        <v>11.52</v>
      </c>
      <c r="P32" s="5">
        <f t="shared" si="5"/>
        <v>-18.100000000000023</v>
      </c>
      <c r="Q32" s="6">
        <f t="shared" si="6"/>
        <v>-2.640408460977392E-2</v>
      </c>
      <c r="R32" s="5">
        <f t="shared" si="7"/>
        <v>40.600000000000023</v>
      </c>
      <c r="S32" s="6">
        <f t="shared" si="8"/>
        <v>5.9226841721371298E-2</v>
      </c>
      <c r="T32" s="6">
        <f t="shared" si="9"/>
        <v>-2.101144333702476E-2</v>
      </c>
    </row>
    <row r="33" spans="1:20" x14ac:dyDescent="0.25">
      <c r="A33" s="4" t="s">
        <v>283</v>
      </c>
      <c r="B33" s="5" t="s">
        <v>16</v>
      </c>
      <c r="C33" s="5" t="s">
        <v>1823</v>
      </c>
      <c r="D33" s="5">
        <v>203.25</v>
      </c>
      <c r="E33" s="5">
        <v>202</v>
      </c>
      <c r="F33" s="5">
        <v>202</v>
      </c>
      <c r="G33" s="5">
        <v>190.4</v>
      </c>
      <c r="H33" s="5">
        <v>191.3</v>
      </c>
      <c r="I33" s="5">
        <v>191.75</v>
      </c>
      <c r="J33" s="5">
        <v>195.32</v>
      </c>
      <c r="K33" s="5">
        <v>8344926</v>
      </c>
      <c r="L33" s="5">
        <v>16299.49</v>
      </c>
      <c r="M33" s="5">
        <v>50730</v>
      </c>
      <c r="N33" s="5">
        <v>1089477</v>
      </c>
      <c r="O33" s="5">
        <v>13.06</v>
      </c>
      <c r="P33" s="5">
        <f t="shared" si="5"/>
        <v>-11.5</v>
      </c>
      <c r="Q33" s="6">
        <f t="shared" si="6"/>
        <v>-5.6580565805658053E-2</v>
      </c>
      <c r="R33" s="5">
        <f t="shared" si="7"/>
        <v>11.599999999999994</v>
      </c>
      <c r="S33" s="6">
        <f t="shared" si="8"/>
        <v>5.7072570725707227E-2</v>
      </c>
      <c r="T33" s="6">
        <f t="shared" si="9"/>
        <v>-1.8164472428925743E-2</v>
      </c>
    </row>
    <row r="34" spans="1:20" hidden="1" x14ac:dyDescent="0.25">
      <c r="A34" s="4" t="s">
        <v>50</v>
      </c>
      <c r="B34" s="5" t="s">
        <v>16</v>
      </c>
      <c r="C34" s="5" t="s">
        <v>1823</v>
      </c>
      <c r="D34" s="5">
        <v>413.85</v>
      </c>
      <c r="E34" s="5">
        <v>409.3</v>
      </c>
      <c r="F34" s="5">
        <v>417.95</v>
      </c>
      <c r="G34" s="5">
        <v>409.1</v>
      </c>
      <c r="H34" s="5">
        <v>416</v>
      </c>
      <c r="I34" s="5">
        <v>414.8</v>
      </c>
      <c r="J34" s="5">
        <v>414.9</v>
      </c>
      <c r="K34" s="5">
        <v>2997555</v>
      </c>
      <c r="L34" s="5">
        <v>12437</v>
      </c>
      <c r="M34" s="5">
        <v>84469</v>
      </c>
      <c r="N34" s="5">
        <v>1577476</v>
      </c>
      <c r="O34" s="5">
        <v>52.63</v>
      </c>
      <c r="P34" s="5">
        <f t="shared" si="5"/>
        <v>0.94999999999998863</v>
      </c>
      <c r="Q34" s="6">
        <f t="shared" si="6"/>
        <v>2.2955176996496038E-3</v>
      </c>
      <c r="R34" s="5">
        <f t="shared" si="7"/>
        <v>8.8499999999999659</v>
      </c>
      <c r="S34" s="6">
        <f t="shared" si="8"/>
        <v>2.1384559623051747E-2</v>
      </c>
      <c r="T34" s="6">
        <f t="shared" si="9"/>
        <v>-2.4225539775299859E-4</v>
      </c>
    </row>
    <row r="35" spans="1:20" x14ac:dyDescent="0.25">
      <c r="A35" s="4" t="s">
        <v>1803</v>
      </c>
      <c r="B35" s="5" t="s">
        <v>16</v>
      </c>
      <c r="C35" s="5" t="s">
        <v>1823</v>
      </c>
      <c r="D35" s="5">
        <v>56.05</v>
      </c>
      <c r="E35" s="5">
        <v>55.9</v>
      </c>
      <c r="F35" s="5">
        <v>56.85</v>
      </c>
      <c r="G35" s="5">
        <v>53.1</v>
      </c>
      <c r="H35" s="5">
        <v>53.25</v>
      </c>
      <c r="I35" s="5">
        <v>53.7</v>
      </c>
      <c r="J35" s="5">
        <v>55.08</v>
      </c>
      <c r="K35" s="5">
        <v>152430784</v>
      </c>
      <c r="L35" s="5">
        <v>83966.23</v>
      </c>
      <c r="M35" s="5">
        <v>401291</v>
      </c>
      <c r="N35" s="5">
        <v>20078939</v>
      </c>
      <c r="O35" s="5">
        <v>13.17</v>
      </c>
      <c r="P35" s="5">
        <f t="shared" si="5"/>
        <v>-2.3499999999999943</v>
      </c>
      <c r="Q35" s="6">
        <f t="shared" si="6"/>
        <v>-4.1926851025869662E-2</v>
      </c>
      <c r="R35" s="5">
        <f t="shared" si="7"/>
        <v>3.75</v>
      </c>
      <c r="S35" s="6">
        <f t="shared" si="8"/>
        <v>6.690454950936664E-2</v>
      </c>
      <c r="T35" s="6">
        <f t="shared" si="9"/>
        <v>-2.5142336597585888E-2</v>
      </c>
    </row>
    <row r="36" spans="1:20" x14ac:dyDescent="0.25">
      <c r="A36" s="4" t="s">
        <v>1220</v>
      </c>
      <c r="B36" s="5" t="s">
        <v>16</v>
      </c>
      <c r="C36" s="5" t="s">
        <v>1823</v>
      </c>
      <c r="D36" s="5">
        <v>1848.85</v>
      </c>
      <c r="E36" s="5">
        <v>1835</v>
      </c>
      <c r="F36" s="5">
        <v>1889.95</v>
      </c>
      <c r="G36" s="5">
        <v>1812.2</v>
      </c>
      <c r="H36" s="5">
        <v>1817.5</v>
      </c>
      <c r="I36" s="5">
        <v>1824.25</v>
      </c>
      <c r="J36" s="5">
        <v>1849.87</v>
      </c>
      <c r="K36" s="5">
        <v>968867</v>
      </c>
      <c r="L36" s="5">
        <v>17922.77</v>
      </c>
      <c r="M36" s="5">
        <v>43060</v>
      </c>
      <c r="N36" s="5">
        <v>129133</v>
      </c>
      <c r="O36" s="5">
        <v>13.33</v>
      </c>
      <c r="P36" s="5">
        <f t="shared" si="5"/>
        <v>-24.599999999999909</v>
      </c>
      <c r="Q36" s="6">
        <f t="shared" si="6"/>
        <v>-1.3305568326256813E-2</v>
      </c>
      <c r="R36" s="5">
        <f t="shared" si="7"/>
        <v>77.75</v>
      </c>
      <c r="S36" s="6">
        <f t="shared" si="8"/>
        <v>4.205316818562891E-2</v>
      </c>
      <c r="T36" s="6">
        <f t="shared" si="9"/>
        <v>-1.3921264976770664E-2</v>
      </c>
    </row>
    <row r="37" spans="1:20" hidden="1" x14ac:dyDescent="0.25">
      <c r="A37" s="4" t="s">
        <v>53</v>
      </c>
      <c r="B37" s="5" t="s">
        <v>16</v>
      </c>
      <c r="C37" s="5" t="s">
        <v>1823</v>
      </c>
      <c r="D37" s="5">
        <v>283.75</v>
      </c>
      <c r="E37" s="5">
        <v>283</v>
      </c>
      <c r="F37" s="5">
        <v>287.5</v>
      </c>
      <c r="G37" s="5">
        <v>278.05</v>
      </c>
      <c r="H37" s="5">
        <v>281</v>
      </c>
      <c r="I37" s="5">
        <v>281.39999999999998</v>
      </c>
      <c r="J37" s="5">
        <v>282.07</v>
      </c>
      <c r="K37" s="5">
        <v>23903</v>
      </c>
      <c r="L37" s="5">
        <v>67.42</v>
      </c>
      <c r="M37" s="5">
        <v>1377</v>
      </c>
      <c r="N37" s="5">
        <v>6329</v>
      </c>
      <c r="O37" s="5">
        <v>26.48</v>
      </c>
      <c r="P37" s="5">
        <f t="shared" si="5"/>
        <v>-2.3500000000000227</v>
      </c>
      <c r="Q37" s="6">
        <f t="shared" si="6"/>
        <v>-8.2819383259912695E-3</v>
      </c>
      <c r="R37" s="5">
        <f t="shared" si="7"/>
        <v>9.4499999999999886</v>
      </c>
      <c r="S37" s="6">
        <f t="shared" si="8"/>
        <v>3.3303964757709213E-2</v>
      </c>
      <c r="T37" s="6">
        <f t="shared" si="9"/>
        <v>-2.3717863622284741E-3</v>
      </c>
    </row>
    <row r="38" spans="1:20" hidden="1" x14ac:dyDescent="0.25">
      <c r="A38" s="4" t="s">
        <v>54</v>
      </c>
      <c r="B38" s="5" t="s">
        <v>24</v>
      </c>
      <c r="C38" s="5" t="s">
        <v>1823</v>
      </c>
      <c r="D38" s="5">
        <v>1.05</v>
      </c>
      <c r="E38" s="5">
        <v>1</v>
      </c>
      <c r="F38" s="5">
        <v>1.1000000000000001</v>
      </c>
      <c r="G38" s="5">
        <v>1</v>
      </c>
      <c r="H38" s="5">
        <v>1</v>
      </c>
      <c r="I38" s="5">
        <v>1</v>
      </c>
      <c r="J38" s="5">
        <v>1</v>
      </c>
      <c r="K38" s="5">
        <v>5680</v>
      </c>
      <c r="L38" s="5">
        <v>0.06</v>
      </c>
      <c r="M38" s="5">
        <v>22</v>
      </c>
      <c r="N38" s="5" t="s">
        <v>25</v>
      </c>
      <c r="O38" s="5" t="s">
        <v>25</v>
      </c>
      <c r="P38" s="5">
        <f t="shared" si="5"/>
        <v>-5.0000000000000044E-2</v>
      </c>
      <c r="Q38" s="6">
        <f t="shared" si="6"/>
        <v>-4.7619047619047658E-2</v>
      </c>
      <c r="R38" s="5">
        <f t="shared" si="7"/>
        <v>0.10000000000000009</v>
      </c>
      <c r="S38" s="6">
        <f t="shared" si="8"/>
        <v>9.5238095238095316E-2</v>
      </c>
      <c r="T38" s="6">
        <f t="shared" si="9"/>
        <v>0</v>
      </c>
    </row>
    <row r="39" spans="1:20" hidden="1" x14ac:dyDescent="0.25">
      <c r="A39" s="4" t="s">
        <v>55</v>
      </c>
      <c r="B39" s="5" t="s">
        <v>16</v>
      </c>
      <c r="C39" s="5" t="s">
        <v>1823</v>
      </c>
      <c r="D39" s="5">
        <v>99.55</v>
      </c>
      <c r="E39" s="5">
        <v>99.55</v>
      </c>
      <c r="F39" s="5">
        <v>100.9</v>
      </c>
      <c r="G39" s="5">
        <v>99.5</v>
      </c>
      <c r="H39" s="5">
        <v>100.3</v>
      </c>
      <c r="I39" s="5">
        <v>100.3</v>
      </c>
      <c r="J39" s="5">
        <v>100.11</v>
      </c>
      <c r="K39" s="5">
        <v>37162</v>
      </c>
      <c r="L39" s="5">
        <v>37.200000000000003</v>
      </c>
      <c r="M39" s="5">
        <v>388</v>
      </c>
      <c r="N39" s="5">
        <v>20703</v>
      </c>
      <c r="O39" s="5">
        <v>55.71</v>
      </c>
      <c r="P39" s="5">
        <f t="shared" si="5"/>
        <v>0.75</v>
      </c>
      <c r="Q39" s="6">
        <f t="shared" si="6"/>
        <v>7.5339025615268713E-3</v>
      </c>
      <c r="R39" s="5">
        <f t="shared" si="7"/>
        <v>1.4000000000000057</v>
      </c>
      <c r="S39" s="6">
        <f t="shared" si="8"/>
        <v>1.4063284781516883E-2</v>
      </c>
      <c r="T39" s="6">
        <f t="shared" si="9"/>
        <v>1.8988132417238999E-3</v>
      </c>
    </row>
    <row r="40" spans="1:20" hidden="1" x14ac:dyDescent="0.25">
      <c r="A40" s="4" t="s">
        <v>56</v>
      </c>
      <c r="B40" s="5" t="s">
        <v>16</v>
      </c>
      <c r="C40" s="5" t="s">
        <v>1823</v>
      </c>
      <c r="D40" s="5">
        <v>3.15</v>
      </c>
      <c r="E40" s="5">
        <v>3.2</v>
      </c>
      <c r="F40" s="5">
        <v>3.25</v>
      </c>
      <c r="G40" s="5">
        <v>3</v>
      </c>
      <c r="H40" s="5">
        <v>3</v>
      </c>
      <c r="I40" s="5">
        <v>3</v>
      </c>
      <c r="J40" s="5">
        <v>3.07</v>
      </c>
      <c r="K40" s="5">
        <v>144788</v>
      </c>
      <c r="L40" s="5">
        <v>4.4400000000000004</v>
      </c>
      <c r="M40" s="5">
        <v>276</v>
      </c>
      <c r="N40" s="5">
        <v>109762</v>
      </c>
      <c r="O40" s="5">
        <v>75.81</v>
      </c>
      <c r="P40" s="5">
        <f t="shared" si="5"/>
        <v>-0.14999999999999991</v>
      </c>
      <c r="Q40" s="6">
        <f t="shared" si="6"/>
        <v>-4.7619047619047596E-2</v>
      </c>
      <c r="R40" s="5">
        <f t="shared" si="7"/>
        <v>0.25</v>
      </c>
      <c r="S40" s="6">
        <f t="shared" si="8"/>
        <v>7.9365079365079361E-2</v>
      </c>
      <c r="T40" s="6">
        <f t="shared" si="9"/>
        <v>-2.2489959839357379E-2</v>
      </c>
    </row>
    <row r="41" spans="1:20" hidden="1" x14ac:dyDescent="0.25">
      <c r="A41" s="4" t="s">
        <v>57</v>
      </c>
      <c r="B41" s="5" t="s">
        <v>16</v>
      </c>
      <c r="C41" s="5" t="s">
        <v>1823</v>
      </c>
      <c r="D41" s="5">
        <v>321.25</v>
      </c>
      <c r="E41" s="5">
        <v>321.25</v>
      </c>
      <c r="F41" s="5">
        <v>321.5</v>
      </c>
      <c r="G41" s="5">
        <v>308.64999999999998</v>
      </c>
      <c r="H41" s="5">
        <v>311.05</v>
      </c>
      <c r="I41" s="5">
        <v>312.2</v>
      </c>
      <c r="J41" s="5">
        <v>315.68</v>
      </c>
      <c r="K41" s="5">
        <v>5224</v>
      </c>
      <c r="L41" s="5">
        <v>16.489999999999998</v>
      </c>
      <c r="M41" s="5">
        <v>347</v>
      </c>
      <c r="N41" s="5">
        <v>3023</v>
      </c>
      <c r="O41" s="5">
        <v>57.87</v>
      </c>
      <c r="P41" s="5">
        <f t="shared" si="5"/>
        <v>-9.0500000000000114</v>
      </c>
      <c r="Q41" s="6">
        <f t="shared" si="6"/>
        <v>-2.8171206225680968E-2</v>
      </c>
      <c r="R41" s="5">
        <f t="shared" si="7"/>
        <v>12.850000000000023</v>
      </c>
      <c r="S41" s="6">
        <f t="shared" si="8"/>
        <v>4.000000000000007E-2</v>
      </c>
      <c r="T41" s="6">
        <f t="shared" si="9"/>
        <v>-1.101614434947774E-2</v>
      </c>
    </row>
    <row r="42" spans="1:20" hidden="1" x14ac:dyDescent="0.25">
      <c r="A42" s="4" t="s">
        <v>58</v>
      </c>
      <c r="B42" s="5" t="s">
        <v>39</v>
      </c>
      <c r="C42" s="5" t="s">
        <v>1823</v>
      </c>
      <c r="D42" s="5">
        <v>8</v>
      </c>
      <c r="E42" s="5">
        <v>8</v>
      </c>
      <c r="F42" s="5">
        <v>8.35</v>
      </c>
      <c r="G42" s="5">
        <v>7.6</v>
      </c>
      <c r="H42" s="5">
        <v>7.6</v>
      </c>
      <c r="I42" s="5">
        <v>7.6</v>
      </c>
      <c r="J42" s="5">
        <v>8.31</v>
      </c>
      <c r="K42" s="5">
        <v>1395</v>
      </c>
      <c r="L42" s="5">
        <v>0.12</v>
      </c>
      <c r="M42" s="5">
        <v>9</v>
      </c>
      <c r="N42" s="5" t="s">
        <v>25</v>
      </c>
      <c r="O42" s="5" t="s">
        <v>25</v>
      </c>
      <c r="P42" s="5">
        <f t="shared" si="5"/>
        <v>-0.40000000000000036</v>
      </c>
      <c r="Q42" s="6">
        <f t="shared" si="6"/>
        <v>-5.0000000000000044E-2</v>
      </c>
      <c r="R42" s="5">
        <f t="shared" si="7"/>
        <v>0.75</v>
      </c>
      <c r="S42" s="6">
        <f t="shared" si="8"/>
        <v>9.375E-2</v>
      </c>
      <c r="T42" s="6">
        <f t="shared" si="9"/>
        <v>-9.0015847860538928E-2</v>
      </c>
    </row>
    <row r="43" spans="1:20" hidden="1" x14ac:dyDescent="0.25">
      <c r="A43" s="4" t="s">
        <v>59</v>
      </c>
      <c r="B43" s="5" t="s">
        <v>16</v>
      </c>
      <c r="C43" s="5" t="s">
        <v>1823</v>
      </c>
      <c r="D43" s="5">
        <v>14.9</v>
      </c>
      <c r="E43" s="5">
        <v>14.85</v>
      </c>
      <c r="F43" s="5">
        <v>14.85</v>
      </c>
      <c r="G43" s="5">
        <v>14</v>
      </c>
      <c r="H43" s="5">
        <v>14.5</v>
      </c>
      <c r="I43" s="5">
        <v>14.55</v>
      </c>
      <c r="J43" s="5">
        <v>14.51</v>
      </c>
      <c r="K43" s="5">
        <v>19556</v>
      </c>
      <c r="L43" s="5">
        <v>2.84</v>
      </c>
      <c r="M43" s="5">
        <v>112</v>
      </c>
      <c r="N43" s="5">
        <v>12942</v>
      </c>
      <c r="O43" s="5">
        <v>66.180000000000007</v>
      </c>
      <c r="P43" s="5">
        <f t="shared" si="5"/>
        <v>-0.34999999999999964</v>
      </c>
      <c r="Q43" s="6">
        <f t="shared" si="6"/>
        <v>-2.3489932885906017E-2</v>
      </c>
      <c r="R43" s="5">
        <f t="shared" si="7"/>
        <v>0.84999999999999964</v>
      </c>
      <c r="S43" s="6">
        <f t="shared" si="8"/>
        <v>5.7046979865771785E-2</v>
      </c>
      <c r="T43" s="6">
        <f t="shared" si="9"/>
        <v>2.7467811158798918E-3</v>
      </c>
    </row>
    <row r="44" spans="1:20" hidden="1" x14ac:dyDescent="0.25">
      <c r="A44" s="4" t="s">
        <v>60</v>
      </c>
      <c r="B44" s="5" t="s">
        <v>16</v>
      </c>
      <c r="C44" s="5" t="s">
        <v>1823</v>
      </c>
      <c r="D44" s="5">
        <v>58.4</v>
      </c>
      <c r="E44" s="5">
        <v>58.4</v>
      </c>
      <c r="F44" s="5">
        <v>58.45</v>
      </c>
      <c r="G44" s="5">
        <v>56.5</v>
      </c>
      <c r="H44" s="5">
        <v>57.5</v>
      </c>
      <c r="I44" s="5">
        <v>57.75</v>
      </c>
      <c r="J44" s="5">
        <v>57.28</v>
      </c>
      <c r="K44" s="5">
        <v>9916</v>
      </c>
      <c r="L44" s="5">
        <v>5.68</v>
      </c>
      <c r="M44" s="5">
        <v>238</v>
      </c>
      <c r="N44" s="5">
        <v>7332</v>
      </c>
      <c r="O44" s="5">
        <v>73.94</v>
      </c>
      <c r="P44" s="5">
        <f t="shared" si="5"/>
        <v>-0.64999999999999858</v>
      </c>
      <c r="Q44" s="6">
        <f t="shared" si="6"/>
        <v>-1.1130136986301345E-2</v>
      </c>
      <c r="R44" s="5">
        <f t="shared" si="7"/>
        <v>1.9500000000000028</v>
      </c>
      <c r="S44" s="6">
        <f t="shared" si="8"/>
        <v>3.339041095890416E-2</v>
      </c>
      <c r="T44" s="6">
        <f t="shared" si="9"/>
        <v>8.1350064906966484E-3</v>
      </c>
    </row>
    <row r="45" spans="1:20" hidden="1" x14ac:dyDescent="0.25">
      <c r="A45" s="4" t="s">
        <v>61</v>
      </c>
      <c r="B45" s="5" t="s">
        <v>16</v>
      </c>
      <c r="C45" s="5" t="s">
        <v>1823</v>
      </c>
      <c r="D45" s="5">
        <v>165.65</v>
      </c>
      <c r="E45" s="5">
        <v>165.45</v>
      </c>
      <c r="F45" s="5">
        <v>165.45</v>
      </c>
      <c r="G45" s="5">
        <v>161.55000000000001</v>
      </c>
      <c r="H45" s="5">
        <v>162</v>
      </c>
      <c r="I45" s="5">
        <v>161.94999999999999</v>
      </c>
      <c r="J45" s="5">
        <v>163.15</v>
      </c>
      <c r="K45" s="5">
        <v>23564</v>
      </c>
      <c r="L45" s="5">
        <v>38.44</v>
      </c>
      <c r="M45" s="5">
        <v>1415</v>
      </c>
      <c r="N45" s="5">
        <v>15513</v>
      </c>
      <c r="O45" s="5">
        <v>65.83</v>
      </c>
      <c r="P45" s="5">
        <f t="shared" si="5"/>
        <v>-3.7000000000000171</v>
      </c>
      <c r="Q45" s="6">
        <f t="shared" si="6"/>
        <v>-2.2336251131904721E-2</v>
      </c>
      <c r="R45" s="5">
        <f t="shared" si="7"/>
        <v>3.8999999999999773</v>
      </c>
      <c r="S45" s="6">
        <f t="shared" si="8"/>
        <v>2.3543616057953378E-2</v>
      </c>
      <c r="T45" s="6">
        <f t="shared" si="9"/>
        <v>-7.334963325183479E-3</v>
      </c>
    </row>
    <row r="46" spans="1:20" hidden="1" x14ac:dyDescent="0.25">
      <c r="A46" s="4" t="s">
        <v>62</v>
      </c>
      <c r="B46" s="5" t="s">
        <v>16</v>
      </c>
      <c r="C46" s="5" t="s">
        <v>1823</v>
      </c>
      <c r="D46" s="5">
        <v>183.2</v>
      </c>
      <c r="E46" s="5">
        <v>180.5</v>
      </c>
      <c r="F46" s="5">
        <v>183.45</v>
      </c>
      <c r="G46" s="5">
        <v>179</v>
      </c>
      <c r="H46" s="5">
        <v>180.4</v>
      </c>
      <c r="I46" s="5">
        <v>179.8</v>
      </c>
      <c r="J46" s="5">
        <v>180.58</v>
      </c>
      <c r="K46" s="5">
        <v>79414</v>
      </c>
      <c r="L46" s="5">
        <v>143.41</v>
      </c>
      <c r="M46" s="5">
        <v>2411</v>
      </c>
      <c r="N46" s="5">
        <v>42802</v>
      </c>
      <c r="O46" s="5">
        <v>53.9</v>
      </c>
      <c r="P46" s="5">
        <f t="shared" si="5"/>
        <v>-3.3999999999999773</v>
      </c>
      <c r="Q46" s="6">
        <f t="shared" si="6"/>
        <v>-1.8558951965065379E-2</v>
      </c>
      <c r="R46" s="5">
        <f t="shared" si="7"/>
        <v>4.4499999999999886</v>
      </c>
      <c r="S46" s="6">
        <f t="shared" si="8"/>
        <v>2.4290393013100375E-2</v>
      </c>
      <c r="T46" s="6">
        <f t="shared" si="9"/>
        <v>-4.3168453822206914E-3</v>
      </c>
    </row>
    <row r="47" spans="1:20" x14ac:dyDescent="0.25">
      <c r="A47" s="4" t="s">
        <v>693</v>
      </c>
      <c r="B47" s="5" t="s">
        <v>16</v>
      </c>
      <c r="C47" s="5" t="s">
        <v>1823</v>
      </c>
      <c r="D47" s="5">
        <v>435</v>
      </c>
      <c r="E47" s="5">
        <v>426</v>
      </c>
      <c r="F47" s="5">
        <v>433.8</v>
      </c>
      <c r="G47" s="5">
        <v>419.3</v>
      </c>
      <c r="H47" s="5">
        <v>421.3</v>
      </c>
      <c r="I47" s="5">
        <v>423.9</v>
      </c>
      <c r="J47" s="5">
        <v>425.68</v>
      </c>
      <c r="K47" s="5">
        <v>11630282</v>
      </c>
      <c r="L47" s="5">
        <v>49507.55</v>
      </c>
      <c r="M47" s="5">
        <v>165354</v>
      </c>
      <c r="N47" s="5">
        <v>1579719</v>
      </c>
      <c r="O47" s="5">
        <v>13.58</v>
      </c>
      <c r="P47" s="5">
        <f t="shared" si="5"/>
        <v>-11.100000000000023</v>
      </c>
      <c r="Q47" s="6">
        <f t="shared" si="6"/>
        <v>-2.5517241379310399E-2</v>
      </c>
      <c r="R47" s="5">
        <f t="shared" si="7"/>
        <v>14.5</v>
      </c>
      <c r="S47" s="6">
        <f t="shared" si="8"/>
        <v>3.3333333333333333E-2</v>
      </c>
      <c r="T47" s="6">
        <f t="shared" si="9"/>
        <v>-4.1808573106283725E-3</v>
      </c>
    </row>
    <row r="48" spans="1:20" hidden="1" x14ac:dyDescent="0.25">
      <c r="A48" s="4" t="s">
        <v>64</v>
      </c>
      <c r="B48" s="5" t="s">
        <v>16</v>
      </c>
      <c r="C48" s="5" t="s">
        <v>1823</v>
      </c>
      <c r="D48" s="5">
        <v>114.15</v>
      </c>
      <c r="E48" s="5">
        <v>116.05</v>
      </c>
      <c r="F48" s="5">
        <v>116.05</v>
      </c>
      <c r="G48" s="5">
        <v>108.1</v>
      </c>
      <c r="H48" s="5">
        <v>108.1</v>
      </c>
      <c r="I48" s="5">
        <v>111.05</v>
      </c>
      <c r="J48" s="5">
        <v>114.85</v>
      </c>
      <c r="K48" s="5">
        <v>15348</v>
      </c>
      <c r="L48" s="5">
        <v>17.63</v>
      </c>
      <c r="M48" s="5">
        <v>64</v>
      </c>
      <c r="N48" s="5">
        <v>14752</v>
      </c>
      <c r="O48" s="5">
        <v>96.12</v>
      </c>
      <c r="P48" s="5">
        <f t="shared" si="5"/>
        <v>-3.1000000000000085</v>
      </c>
      <c r="Q48" s="6">
        <f t="shared" si="6"/>
        <v>-2.7157249233464811E-2</v>
      </c>
      <c r="R48" s="5">
        <f t="shared" si="7"/>
        <v>7.9500000000000028</v>
      </c>
      <c r="S48" s="6">
        <f t="shared" si="8"/>
        <v>6.9645203679369272E-2</v>
      </c>
      <c r="T48" s="6">
        <f t="shared" si="9"/>
        <v>-3.3684210526315761E-2</v>
      </c>
    </row>
    <row r="49" spans="1:20" hidden="1" x14ac:dyDescent="0.25">
      <c r="A49" s="4" t="s">
        <v>65</v>
      </c>
      <c r="B49" s="5" t="s">
        <v>39</v>
      </c>
      <c r="C49" s="5" t="s">
        <v>1823</v>
      </c>
      <c r="D49" s="5">
        <v>120</v>
      </c>
      <c r="E49" s="5">
        <v>120</v>
      </c>
      <c r="F49" s="5">
        <v>124</v>
      </c>
      <c r="G49" s="5">
        <v>114</v>
      </c>
      <c r="H49" s="5">
        <v>118</v>
      </c>
      <c r="I49" s="5">
        <v>118.55</v>
      </c>
      <c r="J49" s="5">
        <v>119.29</v>
      </c>
      <c r="K49" s="5">
        <v>1138</v>
      </c>
      <c r="L49" s="5">
        <v>1.36</v>
      </c>
      <c r="M49" s="5">
        <v>26</v>
      </c>
      <c r="N49" s="5" t="s">
        <v>25</v>
      </c>
      <c r="O49" s="5" t="s">
        <v>25</v>
      </c>
      <c r="P49" s="5">
        <f t="shared" si="5"/>
        <v>-1.4500000000000028</v>
      </c>
      <c r="Q49" s="6">
        <f t="shared" si="6"/>
        <v>-1.2083333333333357E-2</v>
      </c>
      <c r="R49" s="5">
        <f t="shared" si="7"/>
        <v>10</v>
      </c>
      <c r="S49" s="6">
        <f t="shared" si="8"/>
        <v>8.3333333333333329E-2</v>
      </c>
      <c r="T49" s="6">
        <f t="shared" si="9"/>
        <v>-6.2113104606023213E-3</v>
      </c>
    </row>
    <row r="50" spans="1:20" hidden="1" x14ac:dyDescent="0.25">
      <c r="A50" s="4" t="s">
        <v>66</v>
      </c>
      <c r="B50" s="5" t="s">
        <v>16</v>
      </c>
      <c r="C50" s="5" t="s">
        <v>1823</v>
      </c>
      <c r="D50" s="5">
        <v>56.1</v>
      </c>
      <c r="E50" s="5">
        <v>55.05</v>
      </c>
      <c r="F50" s="5">
        <v>55.45</v>
      </c>
      <c r="G50" s="5">
        <v>50.1</v>
      </c>
      <c r="H50" s="5">
        <v>53.95</v>
      </c>
      <c r="I50" s="5">
        <v>52.3</v>
      </c>
      <c r="J50" s="5">
        <v>52.29</v>
      </c>
      <c r="K50" s="5">
        <v>1502</v>
      </c>
      <c r="L50" s="5">
        <v>0.79</v>
      </c>
      <c r="M50" s="5">
        <v>67</v>
      </c>
      <c r="N50" s="5">
        <v>876</v>
      </c>
      <c r="O50" s="5">
        <v>58.32</v>
      </c>
      <c r="P50" s="5">
        <f t="shared" si="5"/>
        <v>-3.8000000000000043</v>
      </c>
      <c r="Q50" s="6">
        <f t="shared" si="6"/>
        <v>-6.7736185383244288E-2</v>
      </c>
      <c r="R50" s="5">
        <f t="shared" si="7"/>
        <v>5.3500000000000014</v>
      </c>
      <c r="S50" s="6">
        <f t="shared" si="8"/>
        <v>9.5365418894830689E-2</v>
      </c>
      <c r="T50" s="6">
        <f t="shared" si="9"/>
        <v>1.8788163457018341E-4</v>
      </c>
    </row>
    <row r="51" spans="1:20" hidden="1" x14ac:dyDescent="0.25">
      <c r="A51" s="4" t="s">
        <v>67</v>
      </c>
      <c r="B51" s="5" t="s">
        <v>16</v>
      </c>
      <c r="C51" s="5" t="s">
        <v>1823</v>
      </c>
      <c r="D51" s="5">
        <v>49.2</v>
      </c>
      <c r="E51" s="5">
        <v>49.2</v>
      </c>
      <c r="F51" s="5">
        <v>53.9</v>
      </c>
      <c r="G51" s="5">
        <v>44.1</v>
      </c>
      <c r="H51" s="5">
        <v>49.25</v>
      </c>
      <c r="I51" s="5">
        <v>49.5</v>
      </c>
      <c r="J51" s="5">
        <v>47.32</v>
      </c>
      <c r="K51" s="5">
        <v>53681</v>
      </c>
      <c r="L51" s="5">
        <v>25.4</v>
      </c>
      <c r="M51" s="5">
        <v>1121</v>
      </c>
      <c r="N51" s="5">
        <v>12728</v>
      </c>
      <c r="O51" s="5">
        <v>23.71</v>
      </c>
      <c r="P51" s="5">
        <f t="shared" si="5"/>
        <v>0.29999999999999716</v>
      </c>
      <c r="Q51" s="6">
        <f t="shared" si="6"/>
        <v>6.0975609756096982E-3</v>
      </c>
      <c r="R51" s="5">
        <f t="shared" si="7"/>
        <v>9.7999999999999972</v>
      </c>
      <c r="S51" s="6">
        <f t="shared" si="8"/>
        <v>0.19918699186991862</v>
      </c>
      <c r="T51" s="6">
        <f t="shared" si="9"/>
        <v>4.4331469242501267E-2</v>
      </c>
    </row>
    <row r="52" spans="1:20" hidden="1" x14ac:dyDescent="0.25">
      <c r="A52" s="4" t="s">
        <v>68</v>
      </c>
      <c r="B52" s="5" t="s">
        <v>16</v>
      </c>
      <c r="C52" s="5" t="s">
        <v>1823</v>
      </c>
      <c r="D52" s="5">
        <v>96.75</v>
      </c>
      <c r="E52" s="5">
        <v>97.1</v>
      </c>
      <c r="F52" s="5">
        <v>98</v>
      </c>
      <c r="G52" s="5">
        <v>95</v>
      </c>
      <c r="H52" s="5">
        <v>97</v>
      </c>
      <c r="I52" s="5">
        <v>96.5</v>
      </c>
      <c r="J52" s="5">
        <v>96.45</v>
      </c>
      <c r="K52" s="5">
        <v>99237</v>
      </c>
      <c r="L52" s="5">
        <v>95.71</v>
      </c>
      <c r="M52" s="5">
        <v>1215</v>
      </c>
      <c r="N52" s="5">
        <v>52796</v>
      </c>
      <c r="O52" s="5">
        <v>53.2</v>
      </c>
      <c r="P52" s="5">
        <f t="shared" si="5"/>
        <v>-0.25</v>
      </c>
      <c r="Q52" s="6">
        <f t="shared" si="6"/>
        <v>-2.5839793281653748E-3</v>
      </c>
      <c r="R52" s="5">
        <f t="shared" si="7"/>
        <v>3</v>
      </c>
      <c r="S52" s="6">
        <f t="shared" si="8"/>
        <v>3.1007751937984496E-2</v>
      </c>
      <c r="T52" s="6">
        <f t="shared" si="9"/>
        <v>5.1733057423690801E-4</v>
      </c>
    </row>
    <row r="53" spans="1:20" x14ac:dyDescent="0.25">
      <c r="A53" s="4" t="s">
        <v>1332</v>
      </c>
      <c r="B53" s="5" t="s">
        <v>16</v>
      </c>
      <c r="C53" s="5" t="s">
        <v>1823</v>
      </c>
      <c r="D53" s="5">
        <v>36.65</v>
      </c>
      <c r="E53" s="5">
        <v>36.65</v>
      </c>
      <c r="F53" s="5">
        <v>37.049999999999997</v>
      </c>
      <c r="G53" s="5">
        <v>35.1</v>
      </c>
      <c r="H53" s="5">
        <v>35.450000000000003</v>
      </c>
      <c r="I53" s="5">
        <v>36</v>
      </c>
      <c r="J53" s="5">
        <v>36.18</v>
      </c>
      <c r="K53" s="5">
        <v>12106626</v>
      </c>
      <c r="L53" s="5">
        <v>4380.59</v>
      </c>
      <c r="M53" s="5">
        <v>28433</v>
      </c>
      <c r="N53" s="5">
        <v>1687088</v>
      </c>
      <c r="O53" s="5">
        <v>13.94</v>
      </c>
      <c r="P53" s="5">
        <f t="shared" si="5"/>
        <v>-0.64999999999999858</v>
      </c>
      <c r="Q53" s="6">
        <f t="shared" si="6"/>
        <v>-1.7735334242837617E-2</v>
      </c>
      <c r="R53" s="5">
        <f t="shared" si="7"/>
        <v>1.9499999999999957</v>
      </c>
      <c r="S53" s="6">
        <f t="shared" si="8"/>
        <v>5.320600272851285E-2</v>
      </c>
      <c r="T53" s="6">
        <f t="shared" si="9"/>
        <v>-4.9723756906077275E-3</v>
      </c>
    </row>
    <row r="54" spans="1:20" hidden="1" x14ac:dyDescent="0.25">
      <c r="A54" s="4" t="s">
        <v>69</v>
      </c>
      <c r="B54" s="5" t="s">
        <v>16</v>
      </c>
      <c r="C54" s="5" t="s">
        <v>1823</v>
      </c>
      <c r="D54" s="5">
        <v>179.95</v>
      </c>
      <c r="E54" s="5">
        <v>171.3</v>
      </c>
      <c r="F54" s="5">
        <v>187.15</v>
      </c>
      <c r="G54" s="5">
        <v>168.35</v>
      </c>
      <c r="H54" s="5">
        <v>172.75</v>
      </c>
      <c r="I54" s="5">
        <v>179.85</v>
      </c>
      <c r="J54" s="5">
        <v>180.25</v>
      </c>
      <c r="K54" s="5">
        <v>528</v>
      </c>
      <c r="L54" s="5">
        <v>0.95</v>
      </c>
      <c r="M54" s="5">
        <v>80</v>
      </c>
      <c r="N54" s="5">
        <v>418</v>
      </c>
      <c r="O54" s="5">
        <v>79.17</v>
      </c>
      <c r="P54" s="5">
        <f t="shared" si="5"/>
        <v>-9.9999999999994316E-2</v>
      </c>
      <c r="Q54" s="6">
        <f t="shared" si="6"/>
        <v>-5.5570991942203009E-4</v>
      </c>
      <c r="R54" s="5">
        <f t="shared" si="7"/>
        <v>18.800000000000011</v>
      </c>
      <c r="S54" s="6">
        <f t="shared" si="8"/>
        <v>0.10447346485134766</v>
      </c>
      <c r="T54" s="6">
        <f t="shared" si="9"/>
        <v>-2.2642043444421178E-3</v>
      </c>
    </row>
    <row r="55" spans="1:20" hidden="1" x14ac:dyDescent="0.25">
      <c r="A55" s="4" t="s">
        <v>70</v>
      </c>
      <c r="B55" s="5" t="s">
        <v>16</v>
      </c>
      <c r="C55" s="5" t="s">
        <v>1823</v>
      </c>
      <c r="D55" s="5">
        <v>317.25</v>
      </c>
      <c r="E55" s="5">
        <v>314.05</v>
      </c>
      <c r="F55" s="5">
        <v>315</v>
      </c>
      <c r="G55" s="5">
        <v>292.5</v>
      </c>
      <c r="H55" s="5">
        <v>297</v>
      </c>
      <c r="I55" s="5">
        <v>297</v>
      </c>
      <c r="J55" s="5">
        <v>300.58999999999997</v>
      </c>
      <c r="K55" s="5">
        <v>24092</v>
      </c>
      <c r="L55" s="5">
        <v>72.42</v>
      </c>
      <c r="M55" s="5">
        <v>1991</v>
      </c>
      <c r="N55" s="5">
        <v>14448</v>
      </c>
      <c r="O55" s="5">
        <v>59.97</v>
      </c>
      <c r="P55" s="5">
        <f t="shared" si="5"/>
        <v>-20.25</v>
      </c>
      <c r="Q55" s="6">
        <f t="shared" si="6"/>
        <v>-6.3829787234042548E-2</v>
      </c>
      <c r="R55" s="5">
        <f t="shared" si="7"/>
        <v>22.5</v>
      </c>
      <c r="S55" s="6">
        <f t="shared" si="8"/>
        <v>7.0921985815602842E-2</v>
      </c>
      <c r="T55" s="6">
        <f t="shared" si="9"/>
        <v>-1.1784497968897379E-2</v>
      </c>
    </row>
    <row r="56" spans="1:20" hidden="1" x14ac:dyDescent="0.25">
      <c r="A56" s="4" t="s">
        <v>71</v>
      </c>
      <c r="B56" s="5" t="s">
        <v>16</v>
      </c>
      <c r="C56" s="5" t="s">
        <v>1823</v>
      </c>
      <c r="D56" s="5">
        <v>338.6</v>
      </c>
      <c r="E56" s="5">
        <v>320</v>
      </c>
      <c r="F56" s="5">
        <v>345</v>
      </c>
      <c r="G56" s="5">
        <v>315.05</v>
      </c>
      <c r="H56" s="5">
        <v>337</v>
      </c>
      <c r="I56" s="5">
        <v>332.15</v>
      </c>
      <c r="J56" s="5">
        <v>333.19</v>
      </c>
      <c r="K56" s="5">
        <v>931</v>
      </c>
      <c r="L56" s="5">
        <v>3.1</v>
      </c>
      <c r="M56" s="5">
        <v>121</v>
      </c>
      <c r="N56" s="5">
        <v>250</v>
      </c>
      <c r="O56" s="5">
        <v>26.85</v>
      </c>
      <c r="P56" s="5">
        <f t="shared" si="5"/>
        <v>-6.4500000000000455</v>
      </c>
      <c r="Q56" s="6">
        <f t="shared" si="6"/>
        <v>-1.9049025398700663E-2</v>
      </c>
      <c r="R56" s="5">
        <f t="shared" si="7"/>
        <v>29.949999999999989</v>
      </c>
      <c r="S56" s="6">
        <f t="shared" si="8"/>
        <v>8.8452451269934992E-2</v>
      </c>
      <c r="T56" s="6">
        <f t="shared" si="9"/>
        <v>-3.1702484377382125E-3</v>
      </c>
    </row>
    <row r="57" spans="1:20" hidden="1" x14ac:dyDescent="0.25">
      <c r="A57" s="4" t="s">
        <v>72</v>
      </c>
      <c r="B57" s="5" t="s">
        <v>16</v>
      </c>
      <c r="C57" s="5" t="s">
        <v>1823</v>
      </c>
      <c r="D57" s="5">
        <v>1759.65</v>
      </c>
      <c r="E57" s="5">
        <v>1759.65</v>
      </c>
      <c r="F57" s="5">
        <v>1800</v>
      </c>
      <c r="G57" s="5">
        <v>1701.35</v>
      </c>
      <c r="H57" s="5">
        <v>1706</v>
      </c>
      <c r="I57" s="5">
        <v>1737.5</v>
      </c>
      <c r="J57" s="5">
        <v>1773.65</v>
      </c>
      <c r="K57" s="5">
        <v>62183</v>
      </c>
      <c r="L57" s="5">
        <v>1102.9100000000001</v>
      </c>
      <c r="M57" s="5">
        <v>5813</v>
      </c>
      <c r="N57" s="5">
        <v>50775</v>
      </c>
      <c r="O57" s="5">
        <v>81.650000000000006</v>
      </c>
      <c r="P57" s="5">
        <f t="shared" si="5"/>
        <v>-22.150000000000091</v>
      </c>
      <c r="Q57" s="6">
        <f t="shared" si="6"/>
        <v>-1.2587730514591021E-2</v>
      </c>
      <c r="R57" s="5">
        <f t="shared" si="7"/>
        <v>98.650000000000091</v>
      </c>
      <c r="S57" s="6">
        <f t="shared" si="8"/>
        <v>5.6062285113516942E-2</v>
      </c>
      <c r="T57" s="6">
        <f t="shared" si="9"/>
        <v>-2.0661570336500731E-2</v>
      </c>
    </row>
    <row r="58" spans="1:20" hidden="1" x14ac:dyDescent="0.25">
      <c r="A58" s="4" t="s">
        <v>73</v>
      </c>
      <c r="B58" s="5" t="s">
        <v>16</v>
      </c>
      <c r="C58" s="5" t="s">
        <v>1823</v>
      </c>
      <c r="D58" s="5">
        <v>12.5</v>
      </c>
      <c r="E58" s="5">
        <v>12.1</v>
      </c>
      <c r="F58" s="5">
        <v>12.5</v>
      </c>
      <c r="G58" s="5">
        <v>12.1</v>
      </c>
      <c r="H58" s="5">
        <v>12.25</v>
      </c>
      <c r="I58" s="5">
        <v>12.25</v>
      </c>
      <c r="J58" s="5">
        <v>12.35</v>
      </c>
      <c r="K58" s="5">
        <v>41842</v>
      </c>
      <c r="L58" s="5">
        <v>5.17</v>
      </c>
      <c r="M58" s="5">
        <v>143</v>
      </c>
      <c r="N58" s="5">
        <v>33539</v>
      </c>
      <c r="O58" s="5">
        <v>80.16</v>
      </c>
      <c r="P58" s="5">
        <f t="shared" si="5"/>
        <v>-0.25</v>
      </c>
      <c r="Q58" s="6">
        <f t="shared" si="6"/>
        <v>-0.02</v>
      </c>
      <c r="R58" s="5">
        <f t="shared" si="7"/>
        <v>0.40000000000000036</v>
      </c>
      <c r="S58" s="6">
        <f t="shared" si="8"/>
        <v>3.2000000000000028E-2</v>
      </c>
      <c r="T58" s="6">
        <f t="shared" si="9"/>
        <v>-8.1716036772216255E-3</v>
      </c>
    </row>
    <row r="59" spans="1:20" hidden="1" x14ac:dyDescent="0.25">
      <c r="A59" s="4" t="s">
        <v>74</v>
      </c>
      <c r="B59" s="5" t="s">
        <v>16</v>
      </c>
      <c r="C59" s="5" t="s">
        <v>1823</v>
      </c>
      <c r="D59" s="5">
        <v>14.5</v>
      </c>
      <c r="E59" s="5">
        <v>14.5</v>
      </c>
      <c r="F59" s="5">
        <v>14.5</v>
      </c>
      <c r="G59" s="5">
        <v>14.25</v>
      </c>
      <c r="H59" s="5">
        <v>14.5</v>
      </c>
      <c r="I59" s="5">
        <v>14.45</v>
      </c>
      <c r="J59" s="5">
        <v>14.42</v>
      </c>
      <c r="K59" s="5">
        <v>5790</v>
      </c>
      <c r="L59" s="5">
        <v>0.84</v>
      </c>
      <c r="M59" s="5">
        <v>34</v>
      </c>
      <c r="N59" s="5">
        <v>4740</v>
      </c>
      <c r="O59" s="5">
        <v>81.87</v>
      </c>
      <c r="P59" s="5">
        <f t="shared" si="5"/>
        <v>-5.0000000000000711E-2</v>
      </c>
      <c r="Q59" s="6">
        <f t="shared" si="6"/>
        <v>-3.4482758620690145E-3</v>
      </c>
      <c r="R59" s="5">
        <f t="shared" si="7"/>
        <v>0.25</v>
      </c>
      <c r="S59" s="6">
        <f t="shared" si="8"/>
        <v>1.7241379310344827E-2</v>
      </c>
      <c r="T59" s="6">
        <f t="shared" si="9"/>
        <v>2.0797227036394705E-3</v>
      </c>
    </row>
    <row r="60" spans="1:20" hidden="1" x14ac:dyDescent="0.25">
      <c r="A60" s="4" t="s">
        <v>75</v>
      </c>
      <c r="B60" s="5" t="s">
        <v>28</v>
      </c>
      <c r="C60" s="5" t="s">
        <v>1823</v>
      </c>
      <c r="D60" s="5">
        <v>33</v>
      </c>
      <c r="E60" s="5">
        <v>33</v>
      </c>
      <c r="F60" s="5">
        <v>33.049999999999997</v>
      </c>
      <c r="G60" s="5">
        <v>33</v>
      </c>
      <c r="H60" s="5">
        <v>33.049999999999997</v>
      </c>
      <c r="I60" s="5">
        <v>33.049999999999997</v>
      </c>
      <c r="J60" s="5">
        <v>33.03</v>
      </c>
      <c r="K60" s="5">
        <v>3600</v>
      </c>
      <c r="L60" s="5">
        <v>1.19</v>
      </c>
      <c r="M60" s="5">
        <v>2</v>
      </c>
      <c r="N60" s="5">
        <v>3600</v>
      </c>
      <c r="O60" s="5">
        <v>100</v>
      </c>
      <c r="P60" s="5">
        <f t="shared" si="5"/>
        <v>4.9999999999997158E-2</v>
      </c>
      <c r="Q60" s="6">
        <f t="shared" si="6"/>
        <v>1.5151515151514291E-3</v>
      </c>
      <c r="R60" s="5">
        <f t="shared" si="7"/>
        <v>4.9999999999997158E-2</v>
      </c>
      <c r="S60" s="6">
        <f t="shared" si="8"/>
        <v>1.5151515151514291E-3</v>
      </c>
      <c r="T60" s="6">
        <f t="shared" si="9"/>
        <v>6.0560181680532996E-4</v>
      </c>
    </row>
    <row r="61" spans="1:20" hidden="1" x14ac:dyDescent="0.25">
      <c r="A61" s="4" t="s">
        <v>76</v>
      </c>
      <c r="B61" s="5" t="s">
        <v>16</v>
      </c>
      <c r="C61" s="5" t="s">
        <v>1823</v>
      </c>
      <c r="D61" s="5">
        <v>1030.9000000000001</v>
      </c>
      <c r="E61" s="5">
        <v>1030.9000000000001</v>
      </c>
      <c r="F61" s="5">
        <v>1036.6500000000001</v>
      </c>
      <c r="G61" s="5">
        <v>1010.1</v>
      </c>
      <c r="H61" s="5">
        <v>1020</v>
      </c>
      <c r="I61" s="5">
        <v>1025.3499999999999</v>
      </c>
      <c r="J61" s="5">
        <v>1026.2</v>
      </c>
      <c r="K61" s="5">
        <v>72787</v>
      </c>
      <c r="L61" s="5">
        <v>746.94</v>
      </c>
      <c r="M61" s="5">
        <v>6733</v>
      </c>
      <c r="N61" s="5">
        <v>24071</v>
      </c>
      <c r="O61" s="5">
        <v>33.07</v>
      </c>
      <c r="P61" s="5">
        <f t="shared" si="5"/>
        <v>-5.5500000000001819</v>
      </c>
      <c r="Q61" s="6">
        <f t="shared" si="6"/>
        <v>-5.3836453584248534E-3</v>
      </c>
      <c r="R61" s="5">
        <f t="shared" si="7"/>
        <v>26.550000000000068</v>
      </c>
      <c r="S61" s="6">
        <f t="shared" si="8"/>
        <v>2.5754195363274873E-2</v>
      </c>
      <c r="T61" s="6">
        <f t="shared" si="9"/>
        <v>-8.2866195466744954E-4</v>
      </c>
    </row>
    <row r="62" spans="1:20" hidden="1" x14ac:dyDescent="0.25">
      <c r="A62" s="4" t="s">
        <v>77</v>
      </c>
      <c r="B62" s="5" t="s">
        <v>16</v>
      </c>
      <c r="C62" s="5" t="s">
        <v>1823</v>
      </c>
      <c r="D62" s="5">
        <v>147.35</v>
      </c>
      <c r="E62" s="5">
        <v>145</v>
      </c>
      <c r="F62" s="5">
        <v>145.9</v>
      </c>
      <c r="G62" s="5">
        <v>137.6</v>
      </c>
      <c r="H62" s="5">
        <v>139.44999999999999</v>
      </c>
      <c r="I62" s="5">
        <v>139.4</v>
      </c>
      <c r="J62" s="5">
        <v>141.16</v>
      </c>
      <c r="K62" s="5">
        <v>41384</v>
      </c>
      <c r="L62" s="5">
        <v>58.42</v>
      </c>
      <c r="M62" s="5">
        <v>1348</v>
      </c>
      <c r="N62" s="5">
        <v>26337</v>
      </c>
      <c r="O62" s="5">
        <v>63.64</v>
      </c>
      <c r="P62" s="5">
        <f t="shared" si="5"/>
        <v>-7.9499999999999886</v>
      </c>
      <c r="Q62" s="6">
        <f t="shared" si="6"/>
        <v>-5.395317271801825E-2</v>
      </c>
      <c r="R62" s="5">
        <f t="shared" si="7"/>
        <v>8.3000000000000114</v>
      </c>
      <c r="S62" s="6">
        <f t="shared" si="8"/>
        <v>5.6328469630132418E-2</v>
      </c>
      <c r="T62" s="6">
        <f t="shared" si="9"/>
        <v>-1.2396548688149258E-2</v>
      </c>
    </row>
    <row r="63" spans="1:20" hidden="1" x14ac:dyDescent="0.25">
      <c r="A63" s="4" t="s">
        <v>78</v>
      </c>
      <c r="B63" s="5" t="s">
        <v>16</v>
      </c>
      <c r="C63" s="5" t="s">
        <v>1823</v>
      </c>
      <c r="D63" s="5">
        <v>240.25</v>
      </c>
      <c r="E63" s="5">
        <v>242.95</v>
      </c>
      <c r="F63" s="5">
        <v>247</v>
      </c>
      <c r="G63" s="5">
        <v>235.15</v>
      </c>
      <c r="H63" s="5">
        <v>238.5</v>
      </c>
      <c r="I63" s="5">
        <v>238.5</v>
      </c>
      <c r="J63" s="5">
        <v>242.67</v>
      </c>
      <c r="K63" s="5">
        <v>3059</v>
      </c>
      <c r="L63" s="5">
        <v>7.42</v>
      </c>
      <c r="M63" s="5">
        <v>395</v>
      </c>
      <c r="N63" s="5">
        <v>1712</v>
      </c>
      <c r="O63" s="5">
        <v>55.97</v>
      </c>
      <c r="P63" s="5">
        <f t="shared" si="5"/>
        <v>-1.75</v>
      </c>
      <c r="Q63" s="6">
        <f t="shared" si="6"/>
        <v>-7.2840790842872011E-3</v>
      </c>
      <c r="R63" s="5">
        <f t="shared" si="7"/>
        <v>11.849999999999994</v>
      </c>
      <c r="S63" s="6">
        <f t="shared" si="8"/>
        <v>4.9323621227887596E-2</v>
      </c>
      <c r="T63" s="6">
        <f t="shared" si="9"/>
        <v>-1.731008717310082E-2</v>
      </c>
    </row>
    <row r="64" spans="1:20" hidden="1" x14ac:dyDescent="0.25">
      <c r="A64" s="4" t="s">
        <v>79</v>
      </c>
      <c r="B64" s="5" t="s">
        <v>16</v>
      </c>
      <c r="C64" s="5" t="s">
        <v>1823</v>
      </c>
      <c r="D64" s="5">
        <v>9</v>
      </c>
      <c r="E64" s="5">
        <v>9.1</v>
      </c>
      <c r="F64" s="5">
        <v>9.1</v>
      </c>
      <c r="G64" s="5">
        <v>8.65</v>
      </c>
      <c r="H64" s="5">
        <v>8.6999999999999993</v>
      </c>
      <c r="I64" s="5">
        <v>8.6999999999999993</v>
      </c>
      <c r="J64" s="5">
        <v>8.7899999999999991</v>
      </c>
      <c r="K64" s="5">
        <v>79024</v>
      </c>
      <c r="L64" s="5">
        <v>6.95</v>
      </c>
      <c r="M64" s="5">
        <v>291</v>
      </c>
      <c r="N64" s="5">
        <v>61653</v>
      </c>
      <c r="O64" s="5">
        <v>78.02</v>
      </c>
      <c r="P64" s="5">
        <f t="shared" si="5"/>
        <v>-0.30000000000000071</v>
      </c>
      <c r="Q64" s="6">
        <f t="shared" si="6"/>
        <v>-3.3333333333333409E-2</v>
      </c>
      <c r="R64" s="5">
        <f t="shared" si="7"/>
        <v>0.44999999999999929</v>
      </c>
      <c r="S64" s="6">
        <f t="shared" si="8"/>
        <v>4.999999999999992E-2</v>
      </c>
      <c r="T64" s="6">
        <f t="shared" si="9"/>
        <v>-1.0126582278480997E-2</v>
      </c>
    </row>
    <row r="65" spans="1:20" hidden="1" x14ac:dyDescent="0.25">
      <c r="A65" s="4" t="s">
        <v>80</v>
      </c>
      <c r="B65" s="5" t="s">
        <v>16</v>
      </c>
      <c r="C65" s="5" t="s">
        <v>1823</v>
      </c>
      <c r="D65" s="5">
        <v>1905.3</v>
      </c>
      <c r="E65" s="5">
        <v>1905</v>
      </c>
      <c r="F65" s="5">
        <v>1979.5</v>
      </c>
      <c r="G65" s="5">
        <v>1880</v>
      </c>
      <c r="H65" s="5">
        <v>1910</v>
      </c>
      <c r="I65" s="5">
        <v>1916.75</v>
      </c>
      <c r="J65" s="5">
        <v>1904.19</v>
      </c>
      <c r="K65" s="5">
        <v>55700</v>
      </c>
      <c r="L65" s="5">
        <v>1060.6400000000001</v>
      </c>
      <c r="M65" s="5">
        <v>2943</v>
      </c>
      <c r="N65" s="5">
        <v>42700</v>
      </c>
      <c r="O65" s="5">
        <v>76.66</v>
      </c>
      <c r="P65" s="5">
        <f t="shared" si="5"/>
        <v>11.450000000000045</v>
      </c>
      <c r="Q65" s="6">
        <f t="shared" si="6"/>
        <v>6.0095523014748577E-3</v>
      </c>
      <c r="R65" s="5">
        <f t="shared" si="7"/>
        <v>99.5</v>
      </c>
      <c r="S65" s="6">
        <f t="shared" si="8"/>
        <v>5.2222747073951609E-2</v>
      </c>
      <c r="T65" s="6">
        <f t="shared" si="9"/>
        <v>6.5406021155410615E-3</v>
      </c>
    </row>
    <row r="66" spans="1:20" x14ac:dyDescent="0.25">
      <c r="A66" s="4" t="s">
        <v>1710</v>
      </c>
      <c r="B66" s="5" t="s">
        <v>16</v>
      </c>
      <c r="C66" s="5" t="s">
        <v>1823</v>
      </c>
      <c r="D66" s="5">
        <v>59.9</v>
      </c>
      <c r="E66" s="5">
        <v>59.5</v>
      </c>
      <c r="F66" s="5">
        <v>59.5</v>
      </c>
      <c r="G66" s="5">
        <v>55.75</v>
      </c>
      <c r="H66" s="5">
        <v>56.6</v>
      </c>
      <c r="I66" s="5">
        <v>56.35</v>
      </c>
      <c r="J66" s="5">
        <v>57.14</v>
      </c>
      <c r="K66" s="5">
        <v>9728056</v>
      </c>
      <c r="L66" s="5">
        <v>5558.49</v>
      </c>
      <c r="M66" s="5">
        <v>22735</v>
      </c>
      <c r="N66" s="5">
        <v>1378299</v>
      </c>
      <c r="O66" s="5">
        <v>14.17</v>
      </c>
      <c r="P66" s="5">
        <f t="shared" si="5"/>
        <v>-3.5499999999999972</v>
      </c>
      <c r="Q66" s="6">
        <f t="shared" si="6"/>
        <v>-5.9265442404006635E-2</v>
      </c>
      <c r="R66" s="5">
        <f t="shared" si="7"/>
        <v>3.75</v>
      </c>
      <c r="S66" s="6">
        <f t="shared" si="8"/>
        <v>6.2604340567612687E-2</v>
      </c>
      <c r="T66" s="6">
        <f t="shared" si="9"/>
        <v>-1.3673734314149704E-2</v>
      </c>
    </row>
    <row r="67" spans="1:20" hidden="1" x14ac:dyDescent="0.25">
      <c r="A67" s="4" t="s">
        <v>82</v>
      </c>
      <c r="B67" s="5" t="s">
        <v>16</v>
      </c>
      <c r="C67" s="5" t="s">
        <v>1823</v>
      </c>
      <c r="D67" s="5">
        <v>368.2</v>
      </c>
      <c r="E67" s="5">
        <v>368.55</v>
      </c>
      <c r="F67" s="5">
        <v>371.9</v>
      </c>
      <c r="G67" s="5">
        <v>360.55</v>
      </c>
      <c r="H67" s="5">
        <v>362.75</v>
      </c>
      <c r="I67" s="5">
        <v>363.4</v>
      </c>
      <c r="J67" s="5">
        <v>367.36</v>
      </c>
      <c r="K67" s="5">
        <v>1517</v>
      </c>
      <c r="L67" s="5">
        <v>5.57</v>
      </c>
      <c r="M67" s="5">
        <v>90</v>
      </c>
      <c r="N67" s="5">
        <v>1274</v>
      </c>
      <c r="O67" s="5">
        <v>83.98</v>
      </c>
      <c r="P67" s="5">
        <f t="shared" si="5"/>
        <v>-4.8000000000000114</v>
      </c>
      <c r="Q67" s="6">
        <f t="shared" si="6"/>
        <v>-1.3036393264530178E-2</v>
      </c>
      <c r="R67" s="5">
        <f t="shared" si="7"/>
        <v>11.349999999999966</v>
      </c>
      <c r="S67" s="6">
        <f t="shared" si="8"/>
        <v>3.0825638240086817E-2</v>
      </c>
      <c r="T67" s="6">
        <f t="shared" si="9"/>
        <v>-1.08167167440591E-2</v>
      </c>
    </row>
    <row r="68" spans="1:20" x14ac:dyDescent="0.25">
      <c r="A68" s="4" t="s">
        <v>720</v>
      </c>
      <c r="B68" s="5" t="s">
        <v>16</v>
      </c>
      <c r="C68" s="5" t="s">
        <v>1823</v>
      </c>
      <c r="D68" s="5">
        <v>34.1</v>
      </c>
      <c r="E68" s="5">
        <v>33.5</v>
      </c>
      <c r="F68" s="5">
        <v>37.75</v>
      </c>
      <c r="G68" s="5">
        <v>32.700000000000003</v>
      </c>
      <c r="H68" s="5">
        <v>36.9</v>
      </c>
      <c r="I68" s="5">
        <v>36.9</v>
      </c>
      <c r="J68" s="5">
        <v>36.11</v>
      </c>
      <c r="K68" s="5">
        <v>33991754</v>
      </c>
      <c r="L68" s="5">
        <v>12275.26</v>
      </c>
      <c r="M68" s="5">
        <v>57942</v>
      </c>
      <c r="N68" s="5">
        <v>4879017</v>
      </c>
      <c r="O68" s="5">
        <v>14.35</v>
      </c>
      <c r="P68" s="5">
        <f t="shared" si="5"/>
        <v>2.7999999999999972</v>
      </c>
      <c r="Q68" s="6">
        <f t="shared" si="6"/>
        <v>8.2111436950146541E-2</v>
      </c>
      <c r="R68" s="5">
        <f t="shared" si="7"/>
        <v>5.0499999999999972</v>
      </c>
      <c r="S68" s="6">
        <f t="shared" si="8"/>
        <v>0.14809384164222866</v>
      </c>
      <c r="T68" s="6">
        <f t="shared" si="9"/>
        <v>2.2435214767483114E-2</v>
      </c>
    </row>
    <row r="69" spans="1:20" hidden="1" x14ac:dyDescent="0.25">
      <c r="A69" s="4" t="s">
        <v>84</v>
      </c>
      <c r="B69" s="5" t="s">
        <v>39</v>
      </c>
      <c r="C69" s="5" t="s">
        <v>1823</v>
      </c>
      <c r="D69" s="5">
        <v>1.05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190</v>
      </c>
      <c r="L69" s="5">
        <v>0</v>
      </c>
      <c r="M69" s="5">
        <v>2</v>
      </c>
      <c r="N69" s="5" t="s">
        <v>25</v>
      </c>
      <c r="O69" s="5" t="s">
        <v>25</v>
      </c>
      <c r="P69" s="5">
        <f t="shared" si="5"/>
        <v>-5.0000000000000044E-2</v>
      </c>
      <c r="Q69" s="6">
        <f t="shared" si="6"/>
        <v>-4.7619047619047658E-2</v>
      </c>
      <c r="R69" s="5">
        <f t="shared" si="7"/>
        <v>0</v>
      </c>
      <c r="S69" s="6">
        <f t="shared" si="8"/>
        <v>0</v>
      </c>
      <c r="T69" s="6">
        <f t="shared" si="9"/>
        <v>0</v>
      </c>
    </row>
    <row r="70" spans="1:20" x14ac:dyDescent="0.25">
      <c r="A70" s="4" t="s">
        <v>1116</v>
      </c>
      <c r="B70" s="5" t="s">
        <v>16</v>
      </c>
      <c r="C70" s="5" t="s">
        <v>1823</v>
      </c>
      <c r="D70" s="5">
        <v>64.75</v>
      </c>
      <c r="E70" s="5">
        <v>64.75</v>
      </c>
      <c r="F70" s="5">
        <v>64.8</v>
      </c>
      <c r="G70" s="5">
        <v>60.3</v>
      </c>
      <c r="H70" s="5">
        <v>61.6</v>
      </c>
      <c r="I70" s="5">
        <v>61.45</v>
      </c>
      <c r="J70" s="5">
        <v>62.23</v>
      </c>
      <c r="K70" s="5">
        <v>23034070</v>
      </c>
      <c r="L70" s="5">
        <v>14335.12</v>
      </c>
      <c r="M70" s="5">
        <v>92366</v>
      </c>
      <c r="N70" s="5">
        <v>3386529</v>
      </c>
      <c r="O70" s="5">
        <v>14.7</v>
      </c>
      <c r="P70" s="5">
        <f t="shared" si="5"/>
        <v>-3.2999999999999972</v>
      </c>
      <c r="Q70" s="6">
        <f t="shared" si="6"/>
        <v>-5.0965250965250924E-2</v>
      </c>
      <c r="R70" s="5">
        <f t="shared" si="7"/>
        <v>4.5</v>
      </c>
      <c r="S70" s="6">
        <f t="shared" si="8"/>
        <v>6.9498069498069498E-2</v>
      </c>
      <c r="T70" s="6">
        <f t="shared" si="9"/>
        <v>-1.2415439713489757E-2</v>
      </c>
    </row>
    <row r="71" spans="1:20" hidden="1" x14ac:dyDescent="0.25">
      <c r="A71" s="4" t="s">
        <v>86</v>
      </c>
      <c r="B71" s="5" t="s">
        <v>16</v>
      </c>
      <c r="C71" s="5" t="s">
        <v>1823</v>
      </c>
      <c r="D71" s="5">
        <v>395.4</v>
      </c>
      <c r="E71" s="5">
        <v>391</v>
      </c>
      <c r="F71" s="5">
        <v>402.9</v>
      </c>
      <c r="G71" s="5">
        <v>372.2</v>
      </c>
      <c r="H71" s="5">
        <v>381</v>
      </c>
      <c r="I71" s="5">
        <v>393.95</v>
      </c>
      <c r="J71" s="5">
        <v>391.72</v>
      </c>
      <c r="K71" s="5">
        <v>3807</v>
      </c>
      <c r="L71" s="5">
        <v>14.91</v>
      </c>
      <c r="M71" s="5">
        <v>288</v>
      </c>
      <c r="N71" s="5">
        <v>1778</v>
      </c>
      <c r="O71" s="5">
        <v>46.7</v>
      </c>
      <c r="P71" s="5">
        <f t="shared" si="5"/>
        <v>-1.4499999999999886</v>
      </c>
      <c r="Q71" s="6">
        <f t="shared" si="6"/>
        <v>-3.6671724835609224E-3</v>
      </c>
      <c r="R71" s="5">
        <f t="shared" si="7"/>
        <v>30.699999999999989</v>
      </c>
      <c r="S71" s="6">
        <f t="shared" si="8"/>
        <v>7.764289327263528E-2</v>
      </c>
      <c r="T71" s="6">
        <f t="shared" si="9"/>
        <v>5.7177654562352784E-3</v>
      </c>
    </row>
    <row r="72" spans="1:20" hidden="1" x14ac:dyDescent="0.25">
      <c r="A72" s="4" t="s">
        <v>87</v>
      </c>
      <c r="B72" s="5" t="s">
        <v>16</v>
      </c>
      <c r="C72" s="5" t="s">
        <v>1823</v>
      </c>
      <c r="D72" s="5">
        <v>50.2</v>
      </c>
      <c r="E72" s="5">
        <v>50.2</v>
      </c>
      <c r="F72" s="5">
        <v>52</v>
      </c>
      <c r="G72" s="5">
        <v>48.3</v>
      </c>
      <c r="H72" s="5">
        <v>49.5</v>
      </c>
      <c r="I72" s="5">
        <v>49.45</v>
      </c>
      <c r="J72" s="5">
        <v>49.37</v>
      </c>
      <c r="K72" s="5">
        <v>15806</v>
      </c>
      <c r="L72" s="5">
        <v>7.8</v>
      </c>
      <c r="M72" s="5">
        <v>155</v>
      </c>
      <c r="N72" s="5">
        <v>12425</v>
      </c>
      <c r="O72" s="5">
        <v>78.61</v>
      </c>
      <c r="P72" s="5">
        <f t="shared" si="5"/>
        <v>-0.75</v>
      </c>
      <c r="Q72" s="6">
        <f t="shared" si="6"/>
        <v>-1.49402390438247E-2</v>
      </c>
      <c r="R72" s="5">
        <f t="shared" si="7"/>
        <v>3.7000000000000028</v>
      </c>
      <c r="S72" s="6">
        <f t="shared" si="8"/>
        <v>7.3705179282868571E-2</v>
      </c>
      <c r="T72" s="6">
        <f t="shared" si="9"/>
        <v>1.6004001000251144E-3</v>
      </c>
    </row>
    <row r="73" spans="1:20" hidden="1" x14ac:dyDescent="0.25">
      <c r="A73" s="4" t="s">
        <v>88</v>
      </c>
      <c r="B73" s="5" t="s">
        <v>16</v>
      </c>
      <c r="C73" s="5" t="s">
        <v>1823</v>
      </c>
      <c r="D73" s="5">
        <v>1942.6</v>
      </c>
      <c r="E73" s="5">
        <v>1942.6</v>
      </c>
      <c r="F73" s="5">
        <v>1957.95</v>
      </c>
      <c r="G73" s="5">
        <v>1892.05</v>
      </c>
      <c r="H73" s="5">
        <v>1892.05</v>
      </c>
      <c r="I73" s="5">
        <v>1905.9</v>
      </c>
      <c r="J73" s="5">
        <v>1912.51</v>
      </c>
      <c r="K73" s="5">
        <v>14962</v>
      </c>
      <c r="L73" s="5">
        <v>286.14999999999998</v>
      </c>
      <c r="M73" s="5">
        <v>3374</v>
      </c>
      <c r="N73" s="5">
        <v>9641</v>
      </c>
      <c r="O73" s="5">
        <v>64.44</v>
      </c>
      <c r="P73" s="5">
        <f t="shared" si="5"/>
        <v>-36.699999999999818</v>
      </c>
      <c r="Q73" s="6">
        <f t="shared" si="6"/>
        <v>-1.8892206321424802E-2</v>
      </c>
      <c r="R73" s="5">
        <f t="shared" si="7"/>
        <v>65.900000000000091</v>
      </c>
      <c r="S73" s="6">
        <f t="shared" si="8"/>
        <v>3.3923607536291617E-2</v>
      </c>
      <c r="T73" s="6">
        <f t="shared" si="9"/>
        <v>-3.4344352795998702E-3</v>
      </c>
    </row>
    <row r="74" spans="1:20" hidden="1" x14ac:dyDescent="0.25">
      <c r="A74" s="4" t="s">
        <v>89</v>
      </c>
      <c r="B74" s="5" t="s">
        <v>16</v>
      </c>
      <c r="C74" s="5" t="s">
        <v>1823</v>
      </c>
      <c r="D74" s="5">
        <v>826.4</v>
      </c>
      <c r="E74" s="5">
        <v>826.4</v>
      </c>
      <c r="F74" s="5">
        <v>840</v>
      </c>
      <c r="G74" s="5">
        <v>822.15</v>
      </c>
      <c r="H74" s="5">
        <v>831.95</v>
      </c>
      <c r="I74" s="5">
        <v>829.1</v>
      </c>
      <c r="J74" s="5">
        <v>831.51</v>
      </c>
      <c r="K74" s="5">
        <v>7293</v>
      </c>
      <c r="L74" s="5">
        <v>60.64</v>
      </c>
      <c r="M74" s="5">
        <v>273</v>
      </c>
      <c r="N74" s="5">
        <v>6500</v>
      </c>
      <c r="O74" s="5">
        <v>89.13</v>
      </c>
      <c r="P74" s="5">
        <f t="shared" si="5"/>
        <v>2.7000000000000455</v>
      </c>
      <c r="Q74" s="6">
        <f t="shared" si="6"/>
        <v>3.2671829622459409E-3</v>
      </c>
      <c r="R74" s="5">
        <f t="shared" si="7"/>
        <v>17.850000000000023</v>
      </c>
      <c r="S74" s="6">
        <f t="shared" si="8"/>
        <v>2.1599709583736717E-2</v>
      </c>
      <c r="T74" s="6">
        <f t="shared" si="9"/>
        <v>-2.9056711829155797E-3</v>
      </c>
    </row>
    <row r="75" spans="1:20" x14ac:dyDescent="0.25">
      <c r="A75" s="4" t="s">
        <v>823</v>
      </c>
      <c r="B75" s="5" t="s">
        <v>16</v>
      </c>
      <c r="C75" s="5" t="s">
        <v>1823</v>
      </c>
      <c r="D75" s="5">
        <v>194.4</v>
      </c>
      <c r="E75" s="5">
        <v>204</v>
      </c>
      <c r="F75" s="5">
        <v>219</v>
      </c>
      <c r="G75" s="5">
        <v>198.2</v>
      </c>
      <c r="H75" s="5">
        <v>203.7</v>
      </c>
      <c r="I75" s="5">
        <v>202.85</v>
      </c>
      <c r="J75" s="5">
        <v>208.61</v>
      </c>
      <c r="K75" s="5">
        <v>1074187</v>
      </c>
      <c r="L75" s="5">
        <v>2240.86</v>
      </c>
      <c r="M75" s="5">
        <v>21190</v>
      </c>
      <c r="N75" s="5">
        <v>160482</v>
      </c>
      <c r="O75" s="5">
        <v>14.94</v>
      </c>
      <c r="P75" s="5">
        <f t="shared" si="5"/>
        <v>8.4499999999999886</v>
      </c>
      <c r="Q75" s="6">
        <f t="shared" si="6"/>
        <v>4.3467078189300352E-2</v>
      </c>
      <c r="R75" s="5">
        <f t="shared" si="7"/>
        <v>20.800000000000011</v>
      </c>
      <c r="S75" s="6">
        <f t="shared" si="8"/>
        <v>0.10699588477366261</v>
      </c>
      <c r="T75" s="6">
        <f t="shared" si="9"/>
        <v>-2.795946847885453E-2</v>
      </c>
    </row>
    <row r="76" spans="1:20" hidden="1" x14ac:dyDescent="0.25">
      <c r="A76" s="4" t="s">
        <v>91</v>
      </c>
      <c r="B76" s="5" t="s">
        <v>16</v>
      </c>
      <c r="C76" s="5" t="s">
        <v>1823</v>
      </c>
      <c r="D76" s="5">
        <v>297.95</v>
      </c>
      <c r="E76" s="5">
        <v>281</v>
      </c>
      <c r="F76" s="5">
        <v>307</v>
      </c>
      <c r="G76" s="5">
        <v>281</v>
      </c>
      <c r="H76" s="5">
        <v>301</v>
      </c>
      <c r="I76" s="5">
        <v>300.7</v>
      </c>
      <c r="J76" s="5">
        <v>298.7</v>
      </c>
      <c r="K76" s="5">
        <v>803</v>
      </c>
      <c r="L76" s="5">
        <v>2.4</v>
      </c>
      <c r="M76" s="5">
        <v>31</v>
      </c>
      <c r="N76" s="5">
        <v>644</v>
      </c>
      <c r="O76" s="5">
        <v>80.2</v>
      </c>
      <c r="P76" s="5">
        <f t="shared" ref="P76:P139" si="10">I76-D76</f>
        <v>2.75</v>
      </c>
      <c r="Q76" s="6">
        <f t="shared" ref="Q76:Q139" si="11">P76/D76</f>
        <v>9.2297365329753311E-3</v>
      </c>
      <c r="R76" s="5">
        <f t="shared" ref="R76:R139" si="12">ABS(F76-G76)</f>
        <v>26</v>
      </c>
      <c r="S76" s="6">
        <f t="shared" ref="S76:S139" si="13">R76/D76</f>
        <v>8.7262963584494049E-2</v>
      </c>
      <c r="T76" s="6">
        <f t="shared" ref="T76:T139" si="14">(I76-J76)/AVERAGE(E76:G76,I76)</f>
        <v>6.8393605197913992E-3</v>
      </c>
    </row>
    <row r="77" spans="1:20" hidden="1" x14ac:dyDescent="0.25">
      <c r="A77" s="4" t="s">
        <v>92</v>
      </c>
      <c r="B77" s="5" t="s">
        <v>16</v>
      </c>
      <c r="C77" s="5" t="s">
        <v>1823</v>
      </c>
      <c r="D77" s="5">
        <v>10.25</v>
      </c>
      <c r="E77" s="5">
        <v>10.35</v>
      </c>
      <c r="F77" s="5">
        <v>10.35</v>
      </c>
      <c r="G77" s="5">
        <v>9.8000000000000007</v>
      </c>
      <c r="H77" s="5">
        <v>10.35</v>
      </c>
      <c r="I77" s="5">
        <v>10.35</v>
      </c>
      <c r="J77" s="5">
        <v>10.220000000000001</v>
      </c>
      <c r="K77" s="5">
        <v>609</v>
      </c>
      <c r="L77" s="5">
        <v>0.06</v>
      </c>
      <c r="M77" s="5">
        <v>18</v>
      </c>
      <c r="N77" s="5">
        <v>607</v>
      </c>
      <c r="O77" s="5">
        <v>99.67</v>
      </c>
      <c r="P77" s="5">
        <f t="shared" si="10"/>
        <v>9.9999999999999645E-2</v>
      </c>
      <c r="Q77" s="6">
        <f t="shared" si="11"/>
        <v>9.7560975609755751E-3</v>
      </c>
      <c r="R77" s="5">
        <f t="shared" si="12"/>
        <v>0.54999999999999893</v>
      </c>
      <c r="S77" s="6">
        <f t="shared" si="13"/>
        <v>5.3658536585365749E-2</v>
      </c>
      <c r="T77" s="6">
        <f t="shared" si="14"/>
        <v>1.2729498164014591E-2</v>
      </c>
    </row>
    <row r="78" spans="1:20" hidden="1" x14ac:dyDescent="0.25">
      <c r="A78" s="4" t="s">
        <v>93</v>
      </c>
      <c r="B78" s="5" t="s">
        <v>16</v>
      </c>
      <c r="C78" s="5" t="s">
        <v>1823</v>
      </c>
      <c r="D78" s="5">
        <v>1.85</v>
      </c>
      <c r="E78" s="5">
        <v>1.8</v>
      </c>
      <c r="F78" s="5">
        <v>1.8</v>
      </c>
      <c r="G78" s="5">
        <v>1.8</v>
      </c>
      <c r="H78" s="5">
        <v>1.8</v>
      </c>
      <c r="I78" s="5">
        <v>1.8</v>
      </c>
      <c r="J78" s="5">
        <v>1.8</v>
      </c>
      <c r="K78" s="5">
        <v>611268</v>
      </c>
      <c r="L78" s="5">
        <v>11</v>
      </c>
      <c r="M78" s="5">
        <v>415</v>
      </c>
      <c r="N78" s="5">
        <v>611268</v>
      </c>
      <c r="O78" s="5">
        <v>100</v>
      </c>
      <c r="P78" s="5">
        <f t="shared" si="10"/>
        <v>-5.0000000000000044E-2</v>
      </c>
      <c r="Q78" s="6">
        <f t="shared" si="11"/>
        <v>-2.7027027027027049E-2</v>
      </c>
      <c r="R78" s="5">
        <f t="shared" si="12"/>
        <v>0</v>
      </c>
      <c r="S78" s="6">
        <f t="shared" si="13"/>
        <v>0</v>
      </c>
      <c r="T78" s="6">
        <f t="shared" si="14"/>
        <v>0</v>
      </c>
    </row>
    <row r="79" spans="1:20" hidden="1" x14ac:dyDescent="0.25">
      <c r="A79" s="4" t="s">
        <v>94</v>
      </c>
      <c r="B79" s="5" t="s">
        <v>16</v>
      </c>
      <c r="C79" s="5" t="s">
        <v>1823</v>
      </c>
      <c r="D79" s="5">
        <v>16.5</v>
      </c>
      <c r="E79" s="5">
        <v>16.149999999999999</v>
      </c>
      <c r="F79" s="5">
        <v>16.350000000000001</v>
      </c>
      <c r="G79" s="5">
        <v>15.7</v>
      </c>
      <c r="H79" s="5">
        <v>16.149999999999999</v>
      </c>
      <c r="I79" s="5">
        <v>16.149999999999999</v>
      </c>
      <c r="J79" s="5">
        <v>16.079999999999998</v>
      </c>
      <c r="K79" s="5">
        <v>14366</v>
      </c>
      <c r="L79" s="5">
        <v>2.31</v>
      </c>
      <c r="M79" s="5">
        <v>150</v>
      </c>
      <c r="N79" s="5">
        <v>10750</v>
      </c>
      <c r="O79" s="5">
        <v>74.83</v>
      </c>
      <c r="P79" s="5">
        <f t="shared" si="10"/>
        <v>-0.35000000000000142</v>
      </c>
      <c r="Q79" s="6">
        <f t="shared" si="11"/>
        <v>-2.1212121212121297E-2</v>
      </c>
      <c r="R79" s="5">
        <f t="shared" si="12"/>
        <v>0.65000000000000213</v>
      </c>
      <c r="S79" s="6">
        <f t="shared" si="13"/>
        <v>3.9393939393939523E-2</v>
      </c>
      <c r="T79" s="6">
        <f t="shared" si="14"/>
        <v>4.3512043512043694E-3</v>
      </c>
    </row>
    <row r="80" spans="1:20" hidden="1" x14ac:dyDescent="0.25">
      <c r="A80" s="4" t="s">
        <v>95</v>
      </c>
      <c r="B80" s="5" t="s">
        <v>16</v>
      </c>
      <c r="C80" s="5" t="s">
        <v>1823</v>
      </c>
      <c r="D80" s="5">
        <v>237.35</v>
      </c>
      <c r="E80" s="5">
        <v>241.85</v>
      </c>
      <c r="F80" s="5">
        <v>242.4</v>
      </c>
      <c r="G80" s="5">
        <v>228.5</v>
      </c>
      <c r="H80" s="5">
        <v>229.9</v>
      </c>
      <c r="I80" s="5">
        <v>229.5</v>
      </c>
      <c r="J80" s="5">
        <v>234.2</v>
      </c>
      <c r="K80" s="5">
        <v>9030</v>
      </c>
      <c r="L80" s="5">
        <v>21.15</v>
      </c>
      <c r="M80" s="5">
        <v>234</v>
      </c>
      <c r="N80" s="5">
        <v>6269</v>
      </c>
      <c r="O80" s="5">
        <v>69.42</v>
      </c>
      <c r="P80" s="5">
        <f t="shared" si="10"/>
        <v>-7.8499999999999943</v>
      </c>
      <c r="Q80" s="6">
        <f t="shared" si="11"/>
        <v>-3.307352011796922E-2</v>
      </c>
      <c r="R80" s="5">
        <f t="shared" si="12"/>
        <v>13.900000000000006</v>
      </c>
      <c r="S80" s="6">
        <f t="shared" si="13"/>
        <v>5.8563303138824546E-2</v>
      </c>
      <c r="T80" s="6">
        <f t="shared" si="14"/>
        <v>-1.995224197399836E-2</v>
      </c>
    </row>
    <row r="81" spans="1:20" hidden="1" x14ac:dyDescent="0.25">
      <c r="A81" s="4" t="s">
        <v>96</v>
      </c>
      <c r="B81" s="5" t="s">
        <v>39</v>
      </c>
      <c r="C81" s="5" t="s">
        <v>1823</v>
      </c>
      <c r="D81" s="5">
        <v>0.35</v>
      </c>
      <c r="E81" s="5">
        <v>0.35</v>
      </c>
      <c r="F81" s="5">
        <v>0.4</v>
      </c>
      <c r="G81" s="5">
        <v>0.35</v>
      </c>
      <c r="H81" s="5">
        <v>0.4</v>
      </c>
      <c r="I81" s="5">
        <v>0.4</v>
      </c>
      <c r="J81" s="5">
        <v>0.4</v>
      </c>
      <c r="K81" s="5">
        <v>5532</v>
      </c>
      <c r="L81" s="5">
        <v>0.02</v>
      </c>
      <c r="M81" s="5">
        <v>17</v>
      </c>
      <c r="N81" s="5" t="s">
        <v>25</v>
      </c>
      <c r="O81" s="5" t="s">
        <v>25</v>
      </c>
      <c r="P81" s="5">
        <f t="shared" si="10"/>
        <v>5.0000000000000044E-2</v>
      </c>
      <c r="Q81" s="6">
        <f t="shared" si="11"/>
        <v>0.14285714285714299</v>
      </c>
      <c r="R81" s="5">
        <f t="shared" si="12"/>
        <v>5.0000000000000044E-2</v>
      </c>
      <c r="S81" s="6">
        <f t="shared" si="13"/>
        <v>0.14285714285714299</v>
      </c>
      <c r="T81" s="6">
        <f t="shared" si="14"/>
        <v>0</v>
      </c>
    </row>
    <row r="82" spans="1:20" hidden="1" x14ac:dyDescent="0.25">
      <c r="A82" s="4" t="s">
        <v>97</v>
      </c>
      <c r="B82" s="5" t="s">
        <v>16</v>
      </c>
      <c r="C82" s="5" t="s">
        <v>1823</v>
      </c>
      <c r="D82" s="5">
        <v>728.15</v>
      </c>
      <c r="E82" s="5">
        <v>727</v>
      </c>
      <c r="F82" s="5">
        <v>727</v>
      </c>
      <c r="G82" s="5">
        <v>707.5</v>
      </c>
      <c r="H82" s="5">
        <v>718</v>
      </c>
      <c r="I82" s="5">
        <v>719.55</v>
      </c>
      <c r="J82" s="5">
        <v>717.03</v>
      </c>
      <c r="K82" s="5">
        <v>553899</v>
      </c>
      <c r="L82" s="5">
        <v>3971.61</v>
      </c>
      <c r="M82" s="5">
        <v>13600</v>
      </c>
      <c r="N82" s="5">
        <v>194543</v>
      </c>
      <c r="O82" s="5">
        <v>35.119999999999997</v>
      </c>
      <c r="P82" s="5">
        <f t="shared" si="10"/>
        <v>-8.6000000000000227</v>
      </c>
      <c r="Q82" s="6">
        <f t="shared" si="11"/>
        <v>-1.181075327885741E-2</v>
      </c>
      <c r="R82" s="5">
        <f t="shared" si="12"/>
        <v>19.5</v>
      </c>
      <c r="S82" s="6">
        <f t="shared" si="13"/>
        <v>2.6780196388106848E-2</v>
      </c>
      <c r="T82" s="6">
        <f t="shared" si="14"/>
        <v>3.4987244233872813E-3</v>
      </c>
    </row>
    <row r="83" spans="1:20" hidden="1" x14ac:dyDescent="0.25">
      <c r="A83" s="4" t="s">
        <v>98</v>
      </c>
      <c r="B83" s="5" t="s">
        <v>16</v>
      </c>
      <c r="C83" s="5" t="s">
        <v>1823</v>
      </c>
      <c r="D83" s="5">
        <v>908.9</v>
      </c>
      <c r="E83" s="5">
        <v>901.15</v>
      </c>
      <c r="F83" s="5">
        <v>925</v>
      </c>
      <c r="G83" s="5">
        <v>888</v>
      </c>
      <c r="H83" s="5">
        <v>893</v>
      </c>
      <c r="I83" s="5">
        <v>900.35</v>
      </c>
      <c r="J83" s="5">
        <v>911.13</v>
      </c>
      <c r="K83" s="5">
        <v>18214</v>
      </c>
      <c r="L83" s="5">
        <v>165.95</v>
      </c>
      <c r="M83" s="5">
        <v>1265</v>
      </c>
      <c r="N83" s="5">
        <v>9166</v>
      </c>
      <c r="O83" s="5">
        <v>50.32</v>
      </c>
      <c r="P83" s="5">
        <f t="shared" si="10"/>
        <v>-8.5499999999999545</v>
      </c>
      <c r="Q83" s="6">
        <f t="shared" si="11"/>
        <v>-9.4069754648475681E-3</v>
      </c>
      <c r="R83" s="5">
        <f t="shared" si="12"/>
        <v>37</v>
      </c>
      <c r="S83" s="6">
        <f t="shared" si="13"/>
        <v>4.0708548795247004E-2</v>
      </c>
      <c r="T83" s="6">
        <f t="shared" si="14"/>
        <v>-1.1929727486512626E-2</v>
      </c>
    </row>
    <row r="84" spans="1:20" hidden="1" x14ac:dyDescent="0.25">
      <c r="A84" s="4" t="s">
        <v>99</v>
      </c>
      <c r="B84" s="5" t="s">
        <v>16</v>
      </c>
      <c r="C84" s="5" t="s">
        <v>1823</v>
      </c>
      <c r="D84" s="5">
        <v>918</v>
      </c>
      <c r="E84" s="5">
        <v>918</v>
      </c>
      <c r="F84" s="5">
        <v>943</v>
      </c>
      <c r="G84" s="5">
        <v>918</v>
      </c>
      <c r="H84" s="5">
        <v>927.95</v>
      </c>
      <c r="I84" s="5">
        <v>925.8</v>
      </c>
      <c r="J84" s="5">
        <v>930.49</v>
      </c>
      <c r="K84" s="5">
        <v>1559</v>
      </c>
      <c r="L84" s="5">
        <v>14.51</v>
      </c>
      <c r="M84" s="5">
        <v>285</v>
      </c>
      <c r="N84" s="5">
        <v>1054</v>
      </c>
      <c r="O84" s="5">
        <v>67.61</v>
      </c>
      <c r="P84" s="5">
        <f t="shared" si="10"/>
        <v>7.7999999999999545</v>
      </c>
      <c r="Q84" s="6">
        <f t="shared" si="11"/>
        <v>8.4967320261437416E-3</v>
      </c>
      <c r="R84" s="5">
        <f t="shared" si="12"/>
        <v>25</v>
      </c>
      <c r="S84" s="6">
        <f t="shared" si="13"/>
        <v>2.7233115468409588E-2</v>
      </c>
      <c r="T84" s="6">
        <f t="shared" si="14"/>
        <v>-5.0637011444612983E-3</v>
      </c>
    </row>
    <row r="85" spans="1:20" x14ac:dyDescent="0.25">
      <c r="A85" s="4" t="s">
        <v>1595</v>
      </c>
      <c r="B85" s="5" t="s">
        <v>16</v>
      </c>
      <c r="C85" s="5" t="s">
        <v>1823</v>
      </c>
      <c r="D85" s="5">
        <v>109.8</v>
      </c>
      <c r="E85" s="5">
        <v>109.45</v>
      </c>
      <c r="F85" s="5">
        <v>110.45</v>
      </c>
      <c r="G85" s="5">
        <v>106.1</v>
      </c>
      <c r="H85" s="5">
        <v>110.45</v>
      </c>
      <c r="I85" s="5">
        <v>109.25</v>
      </c>
      <c r="J85" s="5">
        <v>108.32</v>
      </c>
      <c r="K85" s="5">
        <v>122163</v>
      </c>
      <c r="L85" s="5">
        <v>132.33000000000001</v>
      </c>
      <c r="M85" s="5">
        <v>2822</v>
      </c>
      <c r="N85" s="5">
        <v>18461</v>
      </c>
      <c r="O85" s="5">
        <v>15.11</v>
      </c>
      <c r="P85" s="5">
        <f t="shared" si="10"/>
        <v>-0.54999999999999716</v>
      </c>
      <c r="Q85" s="6">
        <f t="shared" si="11"/>
        <v>-5.0091074681238362E-3</v>
      </c>
      <c r="R85" s="5">
        <f t="shared" si="12"/>
        <v>4.3500000000000085</v>
      </c>
      <c r="S85" s="6">
        <f t="shared" si="13"/>
        <v>3.9617486338797893E-2</v>
      </c>
      <c r="T85" s="6">
        <f t="shared" si="14"/>
        <v>8.5468121769098852E-3</v>
      </c>
    </row>
    <row r="86" spans="1:20" hidden="1" x14ac:dyDescent="0.25">
      <c r="A86" s="4" t="s">
        <v>101</v>
      </c>
      <c r="B86" s="5" t="s">
        <v>16</v>
      </c>
      <c r="C86" s="5" t="s">
        <v>1823</v>
      </c>
      <c r="D86" s="5">
        <v>16.75</v>
      </c>
      <c r="E86" s="5">
        <v>16.350000000000001</v>
      </c>
      <c r="F86" s="5">
        <v>17.45</v>
      </c>
      <c r="G86" s="5">
        <v>16.350000000000001</v>
      </c>
      <c r="H86" s="5">
        <v>16.600000000000001</v>
      </c>
      <c r="I86" s="5">
        <v>16.55</v>
      </c>
      <c r="J86" s="5">
        <v>16.62</v>
      </c>
      <c r="K86" s="5">
        <v>8496</v>
      </c>
      <c r="L86" s="5">
        <v>1.41</v>
      </c>
      <c r="M86" s="5">
        <v>135</v>
      </c>
      <c r="N86" s="5">
        <v>5046</v>
      </c>
      <c r="O86" s="5">
        <v>59.39</v>
      </c>
      <c r="P86" s="5">
        <f t="shared" si="10"/>
        <v>-0.19999999999999929</v>
      </c>
      <c r="Q86" s="6">
        <f t="shared" si="11"/>
        <v>-1.1940298507462643E-2</v>
      </c>
      <c r="R86" s="5">
        <f t="shared" si="12"/>
        <v>1.0999999999999979</v>
      </c>
      <c r="S86" s="6">
        <f t="shared" si="13"/>
        <v>6.5671641791044649E-2</v>
      </c>
      <c r="T86" s="6">
        <f t="shared" si="14"/>
        <v>-4.1979010494752793E-3</v>
      </c>
    </row>
    <row r="87" spans="1:20" hidden="1" x14ac:dyDescent="0.25">
      <c r="A87" s="4" t="s">
        <v>102</v>
      </c>
      <c r="B87" s="5" t="s">
        <v>16</v>
      </c>
      <c r="C87" s="5" t="s">
        <v>1823</v>
      </c>
      <c r="D87" s="5">
        <v>17.55</v>
      </c>
      <c r="E87" s="5">
        <v>17.100000000000001</v>
      </c>
      <c r="F87" s="5">
        <v>19.95</v>
      </c>
      <c r="G87" s="5">
        <v>16.649999999999999</v>
      </c>
      <c r="H87" s="5">
        <v>17.75</v>
      </c>
      <c r="I87" s="5">
        <v>17.55</v>
      </c>
      <c r="J87" s="5">
        <v>17.27</v>
      </c>
      <c r="K87" s="5">
        <v>13376</v>
      </c>
      <c r="L87" s="5">
        <v>2.31</v>
      </c>
      <c r="M87" s="5">
        <v>44</v>
      </c>
      <c r="N87" s="5">
        <v>13069</v>
      </c>
      <c r="O87" s="5">
        <v>97.7</v>
      </c>
      <c r="P87" s="5">
        <f t="shared" si="10"/>
        <v>0</v>
      </c>
      <c r="Q87" s="6">
        <f t="shared" si="11"/>
        <v>0</v>
      </c>
      <c r="R87" s="5">
        <f t="shared" si="12"/>
        <v>3.3000000000000007</v>
      </c>
      <c r="S87" s="6">
        <f t="shared" si="13"/>
        <v>0.18803418803418806</v>
      </c>
      <c r="T87" s="6">
        <f t="shared" si="14"/>
        <v>1.5719298245614098E-2</v>
      </c>
    </row>
    <row r="88" spans="1:20" hidden="1" x14ac:dyDescent="0.25">
      <c r="A88" s="4" t="s">
        <v>103</v>
      </c>
      <c r="B88" s="5" t="s">
        <v>16</v>
      </c>
      <c r="C88" s="5" t="s">
        <v>1823</v>
      </c>
      <c r="D88" s="5">
        <v>332.35</v>
      </c>
      <c r="E88" s="5">
        <v>342</v>
      </c>
      <c r="F88" s="5">
        <v>342</v>
      </c>
      <c r="G88" s="5">
        <v>326.60000000000002</v>
      </c>
      <c r="H88" s="5">
        <v>327.05</v>
      </c>
      <c r="I88" s="5">
        <v>330.3</v>
      </c>
      <c r="J88" s="5">
        <v>333.35</v>
      </c>
      <c r="K88" s="5">
        <v>77323</v>
      </c>
      <c r="L88" s="5">
        <v>257.75</v>
      </c>
      <c r="M88" s="5">
        <v>3953</v>
      </c>
      <c r="N88" s="5">
        <v>33759</v>
      </c>
      <c r="O88" s="5">
        <v>43.66</v>
      </c>
      <c r="P88" s="5">
        <f t="shared" si="10"/>
        <v>-2.0500000000000114</v>
      </c>
      <c r="Q88" s="6">
        <f t="shared" si="11"/>
        <v>-6.1681961787272794E-3</v>
      </c>
      <c r="R88" s="5">
        <f t="shared" si="12"/>
        <v>15.399999999999977</v>
      </c>
      <c r="S88" s="6">
        <f t="shared" si="13"/>
        <v>4.6336693245072891E-2</v>
      </c>
      <c r="T88" s="6">
        <f t="shared" si="14"/>
        <v>-9.0983667685882955E-3</v>
      </c>
    </row>
    <row r="89" spans="1:20" x14ac:dyDescent="0.25">
      <c r="A89" s="4" t="s">
        <v>167</v>
      </c>
      <c r="B89" s="5" t="s">
        <v>16</v>
      </c>
      <c r="C89" s="5" t="s">
        <v>1823</v>
      </c>
      <c r="D89" s="5">
        <v>619.04999999999995</v>
      </c>
      <c r="E89" s="5">
        <v>617.6</v>
      </c>
      <c r="F89" s="5">
        <v>617.79999999999995</v>
      </c>
      <c r="G89" s="5">
        <v>595</v>
      </c>
      <c r="H89" s="5">
        <v>601</v>
      </c>
      <c r="I89" s="5">
        <v>602.20000000000005</v>
      </c>
      <c r="J89" s="5">
        <v>604.82000000000005</v>
      </c>
      <c r="K89" s="5">
        <v>1954169</v>
      </c>
      <c r="L89" s="5">
        <v>11819.14</v>
      </c>
      <c r="M89" s="5">
        <v>45107</v>
      </c>
      <c r="N89" s="5">
        <v>297341</v>
      </c>
      <c r="O89" s="5">
        <v>15.22</v>
      </c>
      <c r="P89" s="5">
        <f t="shared" si="10"/>
        <v>-16.849999999999909</v>
      </c>
      <c r="Q89" s="6">
        <f t="shared" si="11"/>
        <v>-2.7219126080284161E-2</v>
      </c>
      <c r="R89" s="5">
        <f t="shared" si="12"/>
        <v>22.799999999999955</v>
      </c>
      <c r="S89" s="6">
        <f t="shared" si="13"/>
        <v>3.6830627574509257E-2</v>
      </c>
      <c r="T89" s="6">
        <f t="shared" si="14"/>
        <v>-4.3081476609389199E-3</v>
      </c>
    </row>
    <row r="90" spans="1:20" hidden="1" x14ac:dyDescent="0.25">
      <c r="A90" s="4" t="s">
        <v>105</v>
      </c>
      <c r="B90" s="5" t="s">
        <v>16</v>
      </c>
      <c r="C90" s="5" t="s">
        <v>1823</v>
      </c>
      <c r="D90" s="5">
        <v>18.7</v>
      </c>
      <c r="E90" s="5">
        <v>18.75</v>
      </c>
      <c r="F90" s="5">
        <v>18.75</v>
      </c>
      <c r="G90" s="5">
        <v>18.25</v>
      </c>
      <c r="H90" s="5">
        <v>18.350000000000001</v>
      </c>
      <c r="I90" s="5">
        <v>18.3</v>
      </c>
      <c r="J90" s="5">
        <v>18.37</v>
      </c>
      <c r="K90" s="5">
        <v>379719</v>
      </c>
      <c r="L90" s="5">
        <v>69.75</v>
      </c>
      <c r="M90" s="5">
        <v>1218</v>
      </c>
      <c r="N90" s="5">
        <v>258181</v>
      </c>
      <c r="O90" s="5">
        <v>67.989999999999995</v>
      </c>
      <c r="P90" s="5">
        <f t="shared" si="10"/>
        <v>-0.39999999999999858</v>
      </c>
      <c r="Q90" s="6">
        <f t="shared" si="11"/>
        <v>-2.1390374331550728E-2</v>
      </c>
      <c r="R90" s="5">
        <f t="shared" si="12"/>
        <v>0.5</v>
      </c>
      <c r="S90" s="6">
        <f t="shared" si="13"/>
        <v>2.6737967914438502E-2</v>
      </c>
      <c r="T90" s="6">
        <f t="shared" si="14"/>
        <v>-3.7812288993923182E-3</v>
      </c>
    </row>
    <row r="91" spans="1:20" hidden="1" x14ac:dyDescent="0.25">
      <c r="A91" s="4" t="s">
        <v>106</v>
      </c>
      <c r="B91" s="5" t="s">
        <v>39</v>
      </c>
      <c r="C91" s="5" t="s">
        <v>1823</v>
      </c>
      <c r="D91" s="5">
        <v>3</v>
      </c>
      <c r="E91" s="5">
        <v>3</v>
      </c>
      <c r="F91" s="5">
        <v>3.15</v>
      </c>
      <c r="G91" s="5">
        <v>2.85</v>
      </c>
      <c r="H91" s="5">
        <v>2.95</v>
      </c>
      <c r="I91" s="5">
        <v>2.95</v>
      </c>
      <c r="J91" s="5">
        <v>2.9</v>
      </c>
      <c r="K91" s="5">
        <v>105220</v>
      </c>
      <c r="L91" s="5">
        <v>3.05</v>
      </c>
      <c r="M91" s="5">
        <v>124</v>
      </c>
      <c r="N91" s="5" t="s">
        <v>25</v>
      </c>
      <c r="O91" s="5" t="s">
        <v>25</v>
      </c>
      <c r="P91" s="5">
        <f t="shared" si="10"/>
        <v>-4.9999999999999822E-2</v>
      </c>
      <c r="Q91" s="6">
        <f t="shared" si="11"/>
        <v>-1.6666666666666607E-2</v>
      </c>
      <c r="R91" s="5">
        <f t="shared" si="12"/>
        <v>0.29999999999999982</v>
      </c>
      <c r="S91" s="6">
        <f t="shared" si="13"/>
        <v>9.9999999999999936E-2</v>
      </c>
      <c r="T91" s="6">
        <f t="shared" si="14"/>
        <v>1.6736401673640256E-2</v>
      </c>
    </row>
    <row r="92" spans="1:20" hidden="1" x14ac:dyDescent="0.25">
      <c r="A92" s="4" t="s">
        <v>107</v>
      </c>
      <c r="B92" s="5" t="s">
        <v>16</v>
      </c>
      <c r="C92" s="5" t="s">
        <v>1823</v>
      </c>
      <c r="D92" s="5">
        <v>308.10000000000002</v>
      </c>
      <c r="E92" s="5">
        <v>307.25</v>
      </c>
      <c r="F92" s="5">
        <v>319</v>
      </c>
      <c r="G92" s="5">
        <v>305</v>
      </c>
      <c r="H92" s="5">
        <v>306.05</v>
      </c>
      <c r="I92" s="5">
        <v>306.10000000000002</v>
      </c>
      <c r="J92" s="5">
        <v>312.39</v>
      </c>
      <c r="K92" s="5">
        <v>38564</v>
      </c>
      <c r="L92" s="5">
        <v>120.47</v>
      </c>
      <c r="M92" s="5">
        <v>2193</v>
      </c>
      <c r="N92" s="5">
        <v>13927</v>
      </c>
      <c r="O92" s="5">
        <v>36.11</v>
      </c>
      <c r="P92" s="5">
        <f t="shared" si="10"/>
        <v>-2</v>
      </c>
      <c r="Q92" s="6">
        <f t="shared" si="11"/>
        <v>-6.4913988964621873E-3</v>
      </c>
      <c r="R92" s="5">
        <f t="shared" si="12"/>
        <v>14</v>
      </c>
      <c r="S92" s="6">
        <f t="shared" si="13"/>
        <v>4.5439792275235306E-2</v>
      </c>
      <c r="T92" s="6">
        <f t="shared" si="14"/>
        <v>-2.0333777831656245E-2</v>
      </c>
    </row>
    <row r="93" spans="1:20" hidden="1" x14ac:dyDescent="0.25">
      <c r="A93" s="4" t="s">
        <v>108</v>
      </c>
      <c r="B93" s="5" t="s">
        <v>16</v>
      </c>
      <c r="C93" s="5" t="s">
        <v>1823</v>
      </c>
      <c r="D93" s="5">
        <v>7.6</v>
      </c>
      <c r="E93" s="5">
        <v>7.65</v>
      </c>
      <c r="F93" s="5">
        <v>7.75</v>
      </c>
      <c r="G93" s="5">
        <v>7.65</v>
      </c>
      <c r="H93" s="5">
        <v>7.75</v>
      </c>
      <c r="I93" s="5">
        <v>7.75</v>
      </c>
      <c r="J93" s="5">
        <v>7.7</v>
      </c>
      <c r="K93" s="5">
        <v>4</v>
      </c>
      <c r="L93" s="5">
        <v>0</v>
      </c>
      <c r="M93" s="5">
        <v>2</v>
      </c>
      <c r="N93" s="5">
        <v>2</v>
      </c>
      <c r="O93" s="5">
        <v>50</v>
      </c>
      <c r="P93" s="5">
        <f t="shared" si="10"/>
        <v>0.15000000000000036</v>
      </c>
      <c r="Q93" s="6">
        <f t="shared" si="11"/>
        <v>1.9736842105263205E-2</v>
      </c>
      <c r="R93" s="5">
        <f t="shared" si="12"/>
        <v>9.9999999999999645E-2</v>
      </c>
      <c r="S93" s="6">
        <f t="shared" si="13"/>
        <v>1.3157894736842059E-2</v>
      </c>
      <c r="T93" s="6">
        <f t="shared" si="14"/>
        <v>6.4935064935064705E-3</v>
      </c>
    </row>
    <row r="94" spans="1:20" hidden="1" x14ac:dyDescent="0.25">
      <c r="A94" s="4" t="s">
        <v>109</v>
      </c>
      <c r="B94" s="5" t="s">
        <v>39</v>
      </c>
      <c r="C94" s="5" t="s">
        <v>1823</v>
      </c>
      <c r="D94" s="5">
        <v>0.5</v>
      </c>
      <c r="E94" s="5">
        <v>0.45</v>
      </c>
      <c r="F94" s="5">
        <v>0.5</v>
      </c>
      <c r="G94" s="5">
        <v>0.45</v>
      </c>
      <c r="H94" s="5">
        <v>0.5</v>
      </c>
      <c r="I94" s="5">
        <v>0.5</v>
      </c>
      <c r="J94" s="5">
        <v>0.5</v>
      </c>
      <c r="K94" s="5">
        <v>3402</v>
      </c>
      <c r="L94" s="5">
        <v>0.02</v>
      </c>
      <c r="M94" s="5">
        <v>8</v>
      </c>
      <c r="N94" s="5" t="s">
        <v>25</v>
      </c>
      <c r="O94" s="5" t="s">
        <v>25</v>
      </c>
      <c r="P94" s="5">
        <f t="shared" si="10"/>
        <v>0</v>
      </c>
      <c r="Q94" s="6">
        <f t="shared" si="11"/>
        <v>0</v>
      </c>
      <c r="R94" s="5">
        <f t="shared" si="12"/>
        <v>4.9999999999999989E-2</v>
      </c>
      <c r="S94" s="6">
        <f t="shared" si="13"/>
        <v>9.9999999999999978E-2</v>
      </c>
      <c r="T94" s="6">
        <f t="shared" si="14"/>
        <v>0</v>
      </c>
    </row>
    <row r="95" spans="1:20" hidden="1" x14ac:dyDescent="0.25">
      <c r="A95" s="4" t="s">
        <v>110</v>
      </c>
      <c r="B95" s="5" t="s">
        <v>16</v>
      </c>
      <c r="C95" s="5" t="s">
        <v>1823</v>
      </c>
      <c r="D95" s="5">
        <v>5.4</v>
      </c>
      <c r="E95" s="5">
        <v>5.25</v>
      </c>
      <c r="F95" s="5">
        <v>5.5</v>
      </c>
      <c r="G95" s="5">
        <v>5.15</v>
      </c>
      <c r="H95" s="5">
        <v>5.3</v>
      </c>
      <c r="I95" s="5">
        <v>5.2</v>
      </c>
      <c r="J95" s="5">
        <v>5.28</v>
      </c>
      <c r="K95" s="5">
        <v>68801</v>
      </c>
      <c r="L95" s="5">
        <v>3.64</v>
      </c>
      <c r="M95" s="5">
        <v>156</v>
      </c>
      <c r="N95" s="5">
        <v>40982</v>
      </c>
      <c r="O95" s="5">
        <v>59.57</v>
      </c>
      <c r="P95" s="5">
        <f t="shared" si="10"/>
        <v>-0.20000000000000018</v>
      </c>
      <c r="Q95" s="6">
        <f t="shared" si="11"/>
        <v>-3.703703703703707E-2</v>
      </c>
      <c r="R95" s="5">
        <f t="shared" si="12"/>
        <v>0.34999999999999964</v>
      </c>
      <c r="S95" s="6">
        <f t="shared" si="13"/>
        <v>6.4814814814814742E-2</v>
      </c>
      <c r="T95" s="6">
        <f t="shared" si="14"/>
        <v>-1.5165876777251197E-2</v>
      </c>
    </row>
    <row r="96" spans="1:20" hidden="1" x14ac:dyDescent="0.25">
      <c r="A96" s="4" t="s">
        <v>111</v>
      </c>
      <c r="B96" s="5" t="s">
        <v>16</v>
      </c>
      <c r="C96" s="5" t="s">
        <v>1823</v>
      </c>
      <c r="D96" s="5">
        <v>5.65</v>
      </c>
      <c r="E96" s="5">
        <v>5.65</v>
      </c>
      <c r="F96" s="5">
        <v>5.65</v>
      </c>
      <c r="G96" s="5">
        <v>5.25</v>
      </c>
      <c r="H96" s="5">
        <v>5.3</v>
      </c>
      <c r="I96" s="5">
        <v>5.35</v>
      </c>
      <c r="J96" s="5">
        <v>5.38</v>
      </c>
      <c r="K96" s="5">
        <v>40076</v>
      </c>
      <c r="L96" s="5">
        <v>2.16</v>
      </c>
      <c r="M96" s="5">
        <v>292</v>
      </c>
      <c r="N96" s="5">
        <v>20036</v>
      </c>
      <c r="O96" s="5">
        <v>50</v>
      </c>
      <c r="P96" s="5">
        <f t="shared" si="10"/>
        <v>-0.30000000000000071</v>
      </c>
      <c r="Q96" s="6">
        <f t="shared" si="11"/>
        <v>-5.3097345132743487E-2</v>
      </c>
      <c r="R96" s="5">
        <f t="shared" si="12"/>
        <v>0.40000000000000036</v>
      </c>
      <c r="S96" s="6">
        <f t="shared" si="13"/>
        <v>7.0796460176991205E-2</v>
      </c>
      <c r="T96" s="6">
        <f t="shared" si="14"/>
        <v>-5.4794520547945666E-3</v>
      </c>
    </row>
    <row r="97" spans="1:20" hidden="1" x14ac:dyDescent="0.25">
      <c r="A97" s="4" t="s">
        <v>112</v>
      </c>
      <c r="B97" s="5" t="s">
        <v>39</v>
      </c>
      <c r="C97" s="5" t="s">
        <v>1823</v>
      </c>
      <c r="D97" s="5">
        <v>0.75</v>
      </c>
      <c r="E97" s="5">
        <v>0.7</v>
      </c>
      <c r="F97" s="5">
        <v>0.75</v>
      </c>
      <c r="G97" s="5">
        <v>0.7</v>
      </c>
      <c r="H97" s="5">
        <v>0.75</v>
      </c>
      <c r="I97" s="5">
        <v>0.75</v>
      </c>
      <c r="J97" s="5">
        <v>0.71</v>
      </c>
      <c r="K97" s="5">
        <v>13034</v>
      </c>
      <c r="L97" s="5">
        <v>0.09</v>
      </c>
      <c r="M97" s="5">
        <v>29</v>
      </c>
      <c r="N97" s="5" t="s">
        <v>25</v>
      </c>
      <c r="O97" s="5" t="s">
        <v>25</v>
      </c>
      <c r="P97" s="5">
        <f t="shared" si="10"/>
        <v>0</v>
      </c>
      <c r="Q97" s="6">
        <f t="shared" si="11"/>
        <v>0</v>
      </c>
      <c r="R97" s="5">
        <f t="shared" si="12"/>
        <v>5.0000000000000044E-2</v>
      </c>
      <c r="S97" s="6">
        <f t="shared" si="13"/>
        <v>6.6666666666666721E-2</v>
      </c>
      <c r="T97" s="6">
        <f t="shared" si="14"/>
        <v>5.5172413793103496E-2</v>
      </c>
    </row>
    <row r="98" spans="1:20" x14ac:dyDescent="0.25">
      <c r="A98" s="4" t="s">
        <v>451</v>
      </c>
      <c r="B98" s="5" t="s">
        <v>16</v>
      </c>
      <c r="C98" s="5" t="s">
        <v>1823</v>
      </c>
      <c r="D98" s="5">
        <v>18434.25</v>
      </c>
      <c r="E98" s="5">
        <v>18350</v>
      </c>
      <c r="F98" s="5">
        <v>18524</v>
      </c>
      <c r="G98" s="5">
        <v>17405</v>
      </c>
      <c r="H98" s="5">
        <v>17596.7</v>
      </c>
      <c r="I98" s="5">
        <v>17600.099999999999</v>
      </c>
      <c r="J98" s="5">
        <v>17800.78</v>
      </c>
      <c r="K98" s="5">
        <v>208549</v>
      </c>
      <c r="L98" s="5">
        <v>37123.35</v>
      </c>
      <c r="M98" s="5">
        <v>54984</v>
      </c>
      <c r="N98" s="5">
        <v>32040</v>
      </c>
      <c r="O98" s="5">
        <v>15.36</v>
      </c>
      <c r="P98" s="5">
        <f t="shared" si="10"/>
        <v>-834.15000000000146</v>
      </c>
      <c r="Q98" s="6">
        <f t="shared" si="11"/>
        <v>-4.5250010171284508E-2</v>
      </c>
      <c r="R98" s="5">
        <f t="shared" si="12"/>
        <v>1119</v>
      </c>
      <c r="S98" s="6">
        <f t="shared" si="13"/>
        <v>6.0702225477033238E-2</v>
      </c>
      <c r="T98" s="6">
        <f t="shared" si="14"/>
        <v>-1.1167641219770435E-2</v>
      </c>
    </row>
    <row r="99" spans="1:20" hidden="1" x14ac:dyDescent="0.25">
      <c r="A99" s="4" t="s">
        <v>114</v>
      </c>
      <c r="B99" s="5" t="s">
        <v>16</v>
      </c>
      <c r="C99" s="5" t="s">
        <v>1823</v>
      </c>
      <c r="D99" s="5">
        <v>577.6</v>
      </c>
      <c r="E99" s="5">
        <v>583.9</v>
      </c>
      <c r="F99" s="5">
        <v>595.45000000000005</v>
      </c>
      <c r="G99" s="5">
        <v>562</v>
      </c>
      <c r="H99" s="5">
        <v>569.95000000000005</v>
      </c>
      <c r="I99" s="5">
        <v>569</v>
      </c>
      <c r="J99" s="5">
        <v>572.88</v>
      </c>
      <c r="K99" s="5">
        <v>6459</v>
      </c>
      <c r="L99" s="5">
        <v>37</v>
      </c>
      <c r="M99" s="5">
        <v>546</v>
      </c>
      <c r="N99" s="5">
        <v>3657</v>
      </c>
      <c r="O99" s="5">
        <v>56.62</v>
      </c>
      <c r="P99" s="5">
        <f t="shared" si="10"/>
        <v>-8.6000000000000227</v>
      </c>
      <c r="Q99" s="6">
        <f t="shared" si="11"/>
        <v>-1.4889196675900315E-2</v>
      </c>
      <c r="R99" s="5">
        <f t="shared" si="12"/>
        <v>33.450000000000045</v>
      </c>
      <c r="S99" s="6">
        <f t="shared" si="13"/>
        <v>5.7912049861495923E-2</v>
      </c>
      <c r="T99" s="6">
        <f t="shared" si="14"/>
        <v>-6.7175969009024535E-3</v>
      </c>
    </row>
    <row r="100" spans="1:20" hidden="1" x14ac:dyDescent="0.25">
      <c r="A100" s="4" t="s">
        <v>115</v>
      </c>
      <c r="B100" s="5" t="s">
        <v>16</v>
      </c>
      <c r="C100" s="5" t="s">
        <v>1823</v>
      </c>
      <c r="D100" s="5">
        <v>150.19999999999999</v>
      </c>
      <c r="E100" s="5">
        <v>153.30000000000001</v>
      </c>
      <c r="F100" s="5">
        <v>153.44999999999999</v>
      </c>
      <c r="G100" s="5">
        <v>148.1</v>
      </c>
      <c r="H100" s="5">
        <v>149.5</v>
      </c>
      <c r="I100" s="5">
        <v>148.80000000000001</v>
      </c>
      <c r="J100" s="5">
        <v>149.94999999999999</v>
      </c>
      <c r="K100" s="5">
        <v>3023</v>
      </c>
      <c r="L100" s="5">
        <v>4.53</v>
      </c>
      <c r="M100" s="5">
        <v>44</v>
      </c>
      <c r="N100" s="5">
        <v>1417</v>
      </c>
      <c r="O100" s="5">
        <v>46.87</v>
      </c>
      <c r="P100" s="5">
        <f t="shared" si="10"/>
        <v>-1.3999999999999773</v>
      </c>
      <c r="Q100" s="6">
        <f t="shared" si="11"/>
        <v>-9.3209054593873329E-3</v>
      </c>
      <c r="R100" s="5">
        <f t="shared" si="12"/>
        <v>5.3499999999999943</v>
      </c>
      <c r="S100" s="6">
        <f t="shared" si="13"/>
        <v>3.5619174434087846E-2</v>
      </c>
      <c r="T100" s="6">
        <f t="shared" si="14"/>
        <v>-7.6203097821583837E-3</v>
      </c>
    </row>
    <row r="101" spans="1:20" x14ac:dyDescent="0.25">
      <c r="A101" s="4" t="s">
        <v>1037</v>
      </c>
      <c r="B101" s="5" t="s">
        <v>16</v>
      </c>
      <c r="C101" s="5" t="s">
        <v>1823</v>
      </c>
      <c r="D101" s="5">
        <v>991.85</v>
      </c>
      <c r="E101" s="5">
        <v>984</v>
      </c>
      <c r="F101" s="5">
        <v>1020</v>
      </c>
      <c r="G101" s="5">
        <v>971.05</v>
      </c>
      <c r="H101" s="5">
        <v>973</v>
      </c>
      <c r="I101" s="5">
        <v>984.45</v>
      </c>
      <c r="J101" s="5">
        <v>992.7</v>
      </c>
      <c r="K101" s="5">
        <v>1848081</v>
      </c>
      <c r="L101" s="5">
        <v>18345.990000000002</v>
      </c>
      <c r="M101" s="5">
        <v>61417</v>
      </c>
      <c r="N101" s="5">
        <v>286240</v>
      </c>
      <c r="O101" s="5">
        <v>15.49</v>
      </c>
      <c r="P101" s="5">
        <f t="shared" si="10"/>
        <v>-7.3999999999999773</v>
      </c>
      <c r="Q101" s="6">
        <f t="shared" si="11"/>
        <v>-7.4608055653576418E-3</v>
      </c>
      <c r="R101" s="5">
        <f t="shared" si="12"/>
        <v>48.950000000000045</v>
      </c>
      <c r="S101" s="6">
        <f t="shared" si="13"/>
        <v>4.9352220597872705E-2</v>
      </c>
      <c r="T101" s="6">
        <f t="shared" si="14"/>
        <v>-8.3343856547543876E-3</v>
      </c>
    </row>
    <row r="102" spans="1:20" x14ac:dyDescent="0.25">
      <c r="A102" s="4" t="s">
        <v>1344</v>
      </c>
      <c r="B102" s="5" t="s">
        <v>16</v>
      </c>
      <c r="C102" s="5" t="s">
        <v>1823</v>
      </c>
      <c r="D102" s="5">
        <v>281.55</v>
      </c>
      <c r="E102" s="5">
        <v>282.39999999999998</v>
      </c>
      <c r="F102" s="5">
        <v>286.5</v>
      </c>
      <c r="G102" s="5">
        <v>271</v>
      </c>
      <c r="H102" s="5">
        <v>274.39999999999998</v>
      </c>
      <c r="I102" s="5">
        <v>275.60000000000002</v>
      </c>
      <c r="J102" s="5">
        <v>280.76</v>
      </c>
      <c r="K102" s="5">
        <v>334303</v>
      </c>
      <c r="L102" s="5">
        <v>938.6</v>
      </c>
      <c r="M102" s="5">
        <v>9458</v>
      </c>
      <c r="N102" s="5">
        <v>52499</v>
      </c>
      <c r="O102" s="5">
        <v>15.7</v>
      </c>
      <c r="P102" s="5">
        <f t="shared" si="10"/>
        <v>-5.9499999999999886</v>
      </c>
      <c r="Q102" s="6">
        <f t="shared" si="11"/>
        <v>-2.1133013674302925E-2</v>
      </c>
      <c r="R102" s="5">
        <f t="shared" si="12"/>
        <v>15.5</v>
      </c>
      <c r="S102" s="6">
        <f t="shared" si="13"/>
        <v>5.5052388563310246E-2</v>
      </c>
      <c r="T102" s="6">
        <f t="shared" si="14"/>
        <v>-1.8502913491707639E-2</v>
      </c>
    </row>
    <row r="103" spans="1:20" hidden="1" x14ac:dyDescent="0.25">
      <c r="A103" s="4" t="s">
        <v>118</v>
      </c>
      <c r="B103" s="5" t="s">
        <v>16</v>
      </c>
      <c r="C103" s="5" t="s">
        <v>1823</v>
      </c>
      <c r="D103" s="5">
        <v>1417.45</v>
      </c>
      <c r="E103" s="5">
        <v>1439.9</v>
      </c>
      <c r="F103" s="5">
        <v>1439.9</v>
      </c>
      <c r="G103" s="5">
        <v>1382.05</v>
      </c>
      <c r="H103" s="5">
        <v>1390</v>
      </c>
      <c r="I103" s="5">
        <v>1391.4</v>
      </c>
      <c r="J103" s="5">
        <v>1399.06</v>
      </c>
      <c r="K103" s="5">
        <v>12831</v>
      </c>
      <c r="L103" s="5">
        <v>179.51</v>
      </c>
      <c r="M103" s="5">
        <v>984</v>
      </c>
      <c r="N103" s="5">
        <v>10217</v>
      </c>
      <c r="O103" s="5">
        <v>79.63</v>
      </c>
      <c r="P103" s="5">
        <f t="shared" si="10"/>
        <v>-26.049999999999955</v>
      </c>
      <c r="Q103" s="6">
        <f t="shared" si="11"/>
        <v>-1.8378073300645493E-2</v>
      </c>
      <c r="R103" s="5">
        <f t="shared" si="12"/>
        <v>57.850000000000136</v>
      </c>
      <c r="S103" s="6">
        <f t="shared" si="13"/>
        <v>4.0812727080320389E-2</v>
      </c>
      <c r="T103" s="6">
        <f t="shared" si="14"/>
        <v>-5.4198912130189571E-3</v>
      </c>
    </row>
    <row r="104" spans="1:20" hidden="1" x14ac:dyDescent="0.25">
      <c r="A104" s="4" t="s">
        <v>119</v>
      </c>
      <c r="B104" s="5" t="s">
        <v>16</v>
      </c>
      <c r="C104" s="5" t="s">
        <v>1823</v>
      </c>
      <c r="D104" s="5">
        <v>533.04999999999995</v>
      </c>
      <c r="E104" s="5">
        <v>533.04999999999995</v>
      </c>
      <c r="F104" s="5">
        <v>535.5</v>
      </c>
      <c r="G104" s="5">
        <v>513.35</v>
      </c>
      <c r="H104" s="5">
        <v>513.35</v>
      </c>
      <c r="I104" s="5">
        <v>517.35</v>
      </c>
      <c r="J104" s="5">
        <v>520.34</v>
      </c>
      <c r="K104" s="5">
        <v>12732</v>
      </c>
      <c r="L104" s="5">
        <v>66.25</v>
      </c>
      <c r="M104" s="5">
        <v>973</v>
      </c>
      <c r="N104" s="5">
        <v>8181</v>
      </c>
      <c r="O104" s="5">
        <v>64.260000000000005</v>
      </c>
      <c r="P104" s="5">
        <f t="shared" si="10"/>
        <v>-15.699999999999932</v>
      </c>
      <c r="Q104" s="6">
        <f t="shared" si="11"/>
        <v>-2.9453146984335304E-2</v>
      </c>
      <c r="R104" s="5">
        <f t="shared" si="12"/>
        <v>22.149999999999977</v>
      </c>
      <c r="S104" s="6">
        <f t="shared" si="13"/>
        <v>4.1553325204014592E-2</v>
      </c>
      <c r="T104" s="6">
        <f t="shared" si="14"/>
        <v>-5.6972728355365182E-3</v>
      </c>
    </row>
    <row r="105" spans="1:20" hidden="1" x14ac:dyDescent="0.25">
      <c r="A105" s="4" t="s">
        <v>120</v>
      </c>
      <c r="B105" s="5" t="s">
        <v>16</v>
      </c>
      <c r="C105" s="5" t="s">
        <v>1823</v>
      </c>
      <c r="D105" s="5">
        <v>85.3</v>
      </c>
      <c r="E105" s="5">
        <v>87</v>
      </c>
      <c r="F105" s="5">
        <v>87</v>
      </c>
      <c r="G105" s="5">
        <v>82.1</v>
      </c>
      <c r="H105" s="5">
        <v>83.4</v>
      </c>
      <c r="I105" s="5">
        <v>82.95</v>
      </c>
      <c r="J105" s="5">
        <v>84.04</v>
      </c>
      <c r="K105" s="5">
        <v>12303</v>
      </c>
      <c r="L105" s="5">
        <v>10.34</v>
      </c>
      <c r="M105" s="5">
        <v>485</v>
      </c>
      <c r="N105" s="5">
        <v>7153</v>
      </c>
      <c r="O105" s="5">
        <v>58.14</v>
      </c>
      <c r="P105" s="5">
        <f t="shared" si="10"/>
        <v>-2.3499999999999943</v>
      </c>
      <c r="Q105" s="6">
        <f t="shared" si="11"/>
        <v>-2.7549824150058549E-2</v>
      </c>
      <c r="R105" s="5">
        <f t="shared" si="12"/>
        <v>4.9000000000000057</v>
      </c>
      <c r="S105" s="6">
        <f t="shared" si="13"/>
        <v>5.7444314185228676E-2</v>
      </c>
      <c r="T105" s="6">
        <f t="shared" si="14"/>
        <v>-1.2859460256599361E-2</v>
      </c>
    </row>
    <row r="106" spans="1:20" hidden="1" x14ac:dyDescent="0.25">
      <c r="A106" s="4" t="s">
        <v>121</v>
      </c>
      <c r="B106" s="5" t="s">
        <v>16</v>
      </c>
      <c r="C106" s="5" t="s">
        <v>1823</v>
      </c>
      <c r="D106" s="5">
        <v>1453.1</v>
      </c>
      <c r="E106" s="5">
        <v>1456</v>
      </c>
      <c r="F106" s="5">
        <v>1457.45</v>
      </c>
      <c r="G106" s="5">
        <v>1417.75</v>
      </c>
      <c r="H106" s="5">
        <v>1434</v>
      </c>
      <c r="I106" s="5">
        <v>1427.55</v>
      </c>
      <c r="J106" s="5">
        <v>1431.44</v>
      </c>
      <c r="K106" s="5">
        <v>274220</v>
      </c>
      <c r="L106" s="5">
        <v>3925.3</v>
      </c>
      <c r="M106" s="5">
        <v>16604</v>
      </c>
      <c r="N106" s="5">
        <v>88334</v>
      </c>
      <c r="O106" s="5">
        <v>32.21</v>
      </c>
      <c r="P106" s="5">
        <f t="shared" si="10"/>
        <v>-25.549999999999955</v>
      </c>
      <c r="Q106" s="6">
        <f t="shared" si="11"/>
        <v>-1.7583098203840037E-2</v>
      </c>
      <c r="R106" s="5">
        <f t="shared" si="12"/>
        <v>39.700000000000045</v>
      </c>
      <c r="S106" s="6">
        <f t="shared" si="13"/>
        <v>2.7320900144518649E-2</v>
      </c>
      <c r="T106" s="6">
        <f t="shared" si="14"/>
        <v>-2.7019752550467378E-3</v>
      </c>
    </row>
    <row r="107" spans="1:20" x14ac:dyDescent="0.25">
      <c r="A107" s="4" t="s">
        <v>830</v>
      </c>
      <c r="B107" s="5" t="s">
        <v>16</v>
      </c>
      <c r="C107" s="5" t="s">
        <v>1823</v>
      </c>
      <c r="D107" s="5">
        <v>107.15</v>
      </c>
      <c r="E107" s="5">
        <v>105.7</v>
      </c>
      <c r="F107" s="5">
        <v>106.35</v>
      </c>
      <c r="G107" s="5">
        <v>101.25</v>
      </c>
      <c r="H107" s="5">
        <v>103</v>
      </c>
      <c r="I107" s="5">
        <v>103.6</v>
      </c>
      <c r="J107" s="5">
        <v>103.75</v>
      </c>
      <c r="K107" s="5">
        <v>16083605</v>
      </c>
      <c r="L107" s="5">
        <v>16686.95</v>
      </c>
      <c r="M107" s="5">
        <v>58128</v>
      </c>
      <c r="N107" s="5">
        <v>2535197</v>
      </c>
      <c r="O107" s="5">
        <v>15.76</v>
      </c>
      <c r="P107" s="5">
        <f t="shared" si="10"/>
        <v>-3.5500000000000114</v>
      </c>
      <c r="Q107" s="6">
        <f t="shared" si="11"/>
        <v>-3.313112459169399E-2</v>
      </c>
      <c r="R107" s="5">
        <f t="shared" si="12"/>
        <v>5.0999999999999943</v>
      </c>
      <c r="S107" s="6">
        <f t="shared" si="13"/>
        <v>4.7596826878208064E-2</v>
      </c>
      <c r="T107" s="6">
        <f t="shared" si="14"/>
        <v>-1.4391940513313092E-3</v>
      </c>
    </row>
    <row r="108" spans="1:20" hidden="1" x14ac:dyDescent="0.25">
      <c r="A108" s="4" t="s">
        <v>123</v>
      </c>
      <c r="B108" s="5" t="s">
        <v>16</v>
      </c>
      <c r="C108" s="5" t="s">
        <v>1823</v>
      </c>
      <c r="D108" s="5">
        <v>860.3</v>
      </c>
      <c r="E108" s="5">
        <v>864</v>
      </c>
      <c r="F108" s="5">
        <v>864</v>
      </c>
      <c r="G108" s="5">
        <v>847.05</v>
      </c>
      <c r="H108" s="5">
        <v>850.5</v>
      </c>
      <c r="I108" s="5">
        <v>850.6</v>
      </c>
      <c r="J108" s="5">
        <v>854.5</v>
      </c>
      <c r="K108" s="5">
        <v>453</v>
      </c>
      <c r="L108" s="5">
        <v>3.87</v>
      </c>
      <c r="M108" s="5">
        <v>83</v>
      </c>
      <c r="N108" s="5">
        <v>173</v>
      </c>
      <c r="O108" s="5">
        <v>38.19</v>
      </c>
      <c r="P108" s="5">
        <f t="shared" si="10"/>
        <v>-9.6999999999999318</v>
      </c>
      <c r="Q108" s="6">
        <f t="shared" si="11"/>
        <v>-1.1275136580262621E-2</v>
      </c>
      <c r="R108" s="5">
        <f t="shared" si="12"/>
        <v>16.950000000000045</v>
      </c>
      <c r="S108" s="6">
        <f t="shared" si="13"/>
        <v>1.9702429385098277E-2</v>
      </c>
      <c r="T108" s="6">
        <f t="shared" si="14"/>
        <v>-4.5538802854932373E-3</v>
      </c>
    </row>
    <row r="109" spans="1:20" x14ac:dyDescent="0.25">
      <c r="A109" s="4" t="s">
        <v>1621</v>
      </c>
      <c r="B109" s="5" t="s">
        <v>16</v>
      </c>
      <c r="C109" s="5" t="s">
        <v>1823</v>
      </c>
      <c r="D109" s="5">
        <v>130.9</v>
      </c>
      <c r="E109" s="5">
        <v>129.9</v>
      </c>
      <c r="F109" s="5">
        <v>129.9</v>
      </c>
      <c r="G109" s="5">
        <v>121.5</v>
      </c>
      <c r="H109" s="5">
        <v>123.15</v>
      </c>
      <c r="I109" s="5">
        <v>123.05</v>
      </c>
      <c r="J109" s="5">
        <v>124.21</v>
      </c>
      <c r="K109" s="5">
        <v>47567575</v>
      </c>
      <c r="L109" s="5">
        <v>59085.78</v>
      </c>
      <c r="M109" s="5">
        <v>185967</v>
      </c>
      <c r="N109" s="5">
        <v>7558270</v>
      </c>
      <c r="O109" s="5">
        <v>15.89</v>
      </c>
      <c r="P109" s="5">
        <f t="shared" si="10"/>
        <v>-7.8500000000000085</v>
      </c>
      <c r="Q109" s="6">
        <f t="shared" si="11"/>
        <v>-5.9969442322383562E-2</v>
      </c>
      <c r="R109" s="5">
        <f t="shared" si="12"/>
        <v>8.4000000000000057</v>
      </c>
      <c r="S109" s="6">
        <f t="shared" si="13"/>
        <v>6.4171122994652441E-2</v>
      </c>
      <c r="T109" s="6">
        <f t="shared" si="14"/>
        <v>-9.1999603449984847E-3</v>
      </c>
    </row>
    <row r="110" spans="1:20" hidden="1" x14ac:dyDescent="0.25">
      <c r="A110" s="4" t="s">
        <v>125</v>
      </c>
      <c r="B110" s="5" t="s">
        <v>16</v>
      </c>
      <c r="C110" s="5" t="s">
        <v>1823</v>
      </c>
      <c r="D110" s="5">
        <v>30.2</v>
      </c>
      <c r="E110" s="5">
        <v>31.75</v>
      </c>
      <c r="F110" s="5">
        <v>31.75</v>
      </c>
      <c r="G110" s="5">
        <v>28.35</v>
      </c>
      <c r="H110" s="5">
        <v>30.8</v>
      </c>
      <c r="I110" s="5">
        <v>30.5</v>
      </c>
      <c r="J110" s="5">
        <v>30.22</v>
      </c>
      <c r="K110" s="5">
        <v>33446</v>
      </c>
      <c r="L110" s="5">
        <v>10.11</v>
      </c>
      <c r="M110" s="5">
        <v>397</v>
      </c>
      <c r="N110" s="5">
        <v>18676</v>
      </c>
      <c r="O110" s="5">
        <v>55.84</v>
      </c>
      <c r="P110" s="5">
        <f t="shared" si="10"/>
        <v>0.30000000000000071</v>
      </c>
      <c r="Q110" s="6">
        <f t="shared" si="11"/>
        <v>9.9337748344371091E-3</v>
      </c>
      <c r="R110" s="5">
        <f t="shared" si="12"/>
        <v>3.3999999999999986</v>
      </c>
      <c r="S110" s="6">
        <f t="shared" si="13"/>
        <v>0.11258278145695359</v>
      </c>
      <c r="T110" s="6">
        <f t="shared" si="14"/>
        <v>9.1540662035145444E-3</v>
      </c>
    </row>
    <row r="111" spans="1:20" hidden="1" x14ac:dyDescent="0.25">
      <c r="A111" s="4" t="s">
        <v>126</v>
      </c>
      <c r="B111" s="5" t="s">
        <v>16</v>
      </c>
      <c r="C111" s="5" t="s">
        <v>1823</v>
      </c>
      <c r="D111" s="5">
        <v>20.7</v>
      </c>
      <c r="E111" s="5">
        <v>20.9</v>
      </c>
      <c r="F111" s="5">
        <v>21</v>
      </c>
      <c r="G111" s="5">
        <v>20</v>
      </c>
      <c r="H111" s="5">
        <v>20.5</v>
      </c>
      <c r="I111" s="5">
        <v>20.6</v>
      </c>
      <c r="J111" s="5">
        <v>20.6</v>
      </c>
      <c r="K111" s="5">
        <v>42981</v>
      </c>
      <c r="L111" s="5">
        <v>8.86</v>
      </c>
      <c r="M111" s="5">
        <v>396</v>
      </c>
      <c r="N111" s="5">
        <v>22091</v>
      </c>
      <c r="O111" s="5">
        <v>51.4</v>
      </c>
      <c r="P111" s="5">
        <f t="shared" si="10"/>
        <v>-9.9999999999997868E-2</v>
      </c>
      <c r="Q111" s="6">
        <f t="shared" si="11"/>
        <v>-4.8309178743960327E-3</v>
      </c>
      <c r="R111" s="5">
        <f t="shared" si="12"/>
        <v>1</v>
      </c>
      <c r="S111" s="6">
        <f t="shared" si="13"/>
        <v>4.8309178743961352E-2</v>
      </c>
      <c r="T111" s="6">
        <f t="shared" si="14"/>
        <v>0</v>
      </c>
    </row>
    <row r="112" spans="1:20" hidden="1" x14ac:dyDescent="0.25">
      <c r="A112" s="4" t="s">
        <v>127</v>
      </c>
      <c r="B112" s="5" t="s">
        <v>39</v>
      </c>
      <c r="C112" s="5" t="s">
        <v>1823</v>
      </c>
      <c r="D112" s="5">
        <v>2.25</v>
      </c>
      <c r="E112" s="5">
        <v>2.2000000000000002</v>
      </c>
      <c r="F112" s="5">
        <v>2.25</v>
      </c>
      <c r="G112" s="5">
        <v>2.15</v>
      </c>
      <c r="H112" s="5">
        <v>2.15</v>
      </c>
      <c r="I112" s="5">
        <v>2.15</v>
      </c>
      <c r="J112" s="5">
        <v>2.19</v>
      </c>
      <c r="K112" s="5">
        <v>21061</v>
      </c>
      <c r="L112" s="5">
        <v>0.46</v>
      </c>
      <c r="M112" s="5">
        <v>33</v>
      </c>
      <c r="N112" s="5" t="s">
        <v>25</v>
      </c>
      <c r="O112" s="5" t="s">
        <v>25</v>
      </c>
      <c r="P112" s="5">
        <f t="shared" si="10"/>
        <v>-0.10000000000000009</v>
      </c>
      <c r="Q112" s="6">
        <f t="shared" si="11"/>
        <v>-4.4444444444444481E-2</v>
      </c>
      <c r="R112" s="5">
        <f t="shared" si="12"/>
        <v>0.10000000000000009</v>
      </c>
      <c r="S112" s="6">
        <f t="shared" si="13"/>
        <v>4.4444444444444481E-2</v>
      </c>
      <c r="T112" s="6">
        <f t="shared" si="14"/>
        <v>-1.8285714285714301E-2</v>
      </c>
    </row>
    <row r="113" spans="1:20" hidden="1" x14ac:dyDescent="0.25">
      <c r="A113" s="4" t="s">
        <v>128</v>
      </c>
      <c r="B113" s="5" t="s">
        <v>16</v>
      </c>
      <c r="C113" s="5" t="s">
        <v>1823</v>
      </c>
      <c r="D113" s="5">
        <v>66</v>
      </c>
      <c r="E113" s="5">
        <v>66.75</v>
      </c>
      <c r="F113" s="5">
        <v>67</v>
      </c>
      <c r="G113" s="5">
        <v>64.05</v>
      </c>
      <c r="H113" s="5">
        <v>64.05</v>
      </c>
      <c r="I113" s="5">
        <v>64.8</v>
      </c>
      <c r="J113" s="5">
        <v>65.459999999999994</v>
      </c>
      <c r="K113" s="5">
        <v>17023</v>
      </c>
      <c r="L113" s="5">
        <v>11.14</v>
      </c>
      <c r="M113" s="5">
        <v>335</v>
      </c>
      <c r="N113" s="5">
        <v>9981</v>
      </c>
      <c r="O113" s="5">
        <v>58.63</v>
      </c>
      <c r="P113" s="5">
        <f t="shared" si="10"/>
        <v>-1.2000000000000028</v>
      </c>
      <c r="Q113" s="6">
        <f t="shared" si="11"/>
        <v>-1.8181818181818226E-2</v>
      </c>
      <c r="R113" s="5">
        <f t="shared" si="12"/>
        <v>2.9500000000000028</v>
      </c>
      <c r="S113" s="6">
        <f t="shared" si="13"/>
        <v>4.4696969696969742E-2</v>
      </c>
      <c r="T113" s="6">
        <f t="shared" si="14"/>
        <v>-1.0053313023610001E-2</v>
      </c>
    </row>
    <row r="114" spans="1:20" hidden="1" x14ac:dyDescent="0.25">
      <c r="A114" s="4" t="s">
        <v>129</v>
      </c>
      <c r="B114" s="5" t="s">
        <v>16</v>
      </c>
      <c r="C114" s="5" t="s">
        <v>1823</v>
      </c>
      <c r="D114" s="5">
        <v>19.25</v>
      </c>
      <c r="E114" s="5">
        <v>18.3</v>
      </c>
      <c r="F114" s="5">
        <v>19.600000000000001</v>
      </c>
      <c r="G114" s="5">
        <v>17.8</v>
      </c>
      <c r="H114" s="5">
        <v>18.45</v>
      </c>
      <c r="I114" s="5">
        <v>18.45</v>
      </c>
      <c r="J114" s="5">
        <v>18.05</v>
      </c>
      <c r="K114" s="5">
        <v>287</v>
      </c>
      <c r="L114" s="5">
        <v>0.05</v>
      </c>
      <c r="M114" s="5">
        <v>17</v>
      </c>
      <c r="N114" s="5">
        <v>261</v>
      </c>
      <c r="O114" s="5">
        <v>90.94</v>
      </c>
      <c r="P114" s="5">
        <f t="shared" si="10"/>
        <v>-0.80000000000000071</v>
      </c>
      <c r="Q114" s="6">
        <f t="shared" si="11"/>
        <v>-4.1558441558441593E-2</v>
      </c>
      <c r="R114" s="5">
        <f t="shared" si="12"/>
        <v>1.8000000000000007</v>
      </c>
      <c r="S114" s="6">
        <f t="shared" si="13"/>
        <v>9.3506493506493538E-2</v>
      </c>
      <c r="T114" s="6">
        <f t="shared" si="14"/>
        <v>2.1577882670262904E-2</v>
      </c>
    </row>
    <row r="115" spans="1:20" hidden="1" x14ac:dyDescent="0.25">
      <c r="A115" s="4" t="s">
        <v>130</v>
      </c>
      <c r="B115" s="5" t="s">
        <v>16</v>
      </c>
      <c r="C115" s="5" t="s">
        <v>1823</v>
      </c>
      <c r="D115" s="5">
        <v>44.1</v>
      </c>
      <c r="E115" s="5">
        <v>41.95</v>
      </c>
      <c r="F115" s="5">
        <v>46</v>
      </c>
      <c r="G115" s="5">
        <v>41.9</v>
      </c>
      <c r="H115" s="5">
        <v>41.9</v>
      </c>
      <c r="I115" s="5">
        <v>41.9</v>
      </c>
      <c r="J115" s="5">
        <v>44.08</v>
      </c>
      <c r="K115" s="5">
        <v>17410</v>
      </c>
      <c r="L115" s="5">
        <v>7.68</v>
      </c>
      <c r="M115" s="5">
        <v>135</v>
      </c>
      <c r="N115" s="5">
        <v>15385</v>
      </c>
      <c r="O115" s="5">
        <v>88.37</v>
      </c>
      <c r="P115" s="5">
        <f t="shared" si="10"/>
        <v>-2.2000000000000028</v>
      </c>
      <c r="Q115" s="6">
        <f t="shared" si="11"/>
        <v>-4.9886621315192808E-2</v>
      </c>
      <c r="R115" s="5">
        <f t="shared" si="12"/>
        <v>4.1000000000000014</v>
      </c>
      <c r="S115" s="6">
        <f t="shared" si="13"/>
        <v>9.2970521541950138E-2</v>
      </c>
      <c r="T115" s="6">
        <f t="shared" si="14"/>
        <v>-5.077147016011644E-2</v>
      </c>
    </row>
    <row r="116" spans="1:20" hidden="1" x14ac:dyDescent="0.25">
      <c r="A116" s="4" t="s">
        <v>131</v>
      </c>
      <c r="B116" s="5" t="s">
        <v>16</v>
      </c>
      <c r="C116" s="5" t="s">
        <v>1823</v>
      </c>
      <c r="D116" s="5">
        <v>535.20000000000005</v>
      </c>
      <c r="E116" s="5">
        <v>549.79999999999995</v>
      </c>
      <c r="F116" s="5">
        <v>549.79999999999995</v>
      </c>
      <c r="G116" s="5">
        <v>507.95</v>
      </c>
      <c r="H116" s="5">
        <v>528</v>
      </c>
      <c r="I116" s="5">
        <v>521.85</v>
      </c>
      <c r="J116" s="5">
        <v>523.84</v>
      </c>
      <c r="K116" s="5">
        <v>8833</v>
      </c>
      <c r="L116" s="5">
        <v>46.27</v>
      </c>
      <c r="M116" s="5">
        <v>441</v>
      </c>
      <c r="N116" s="5">
        <v>6120</v>
      </c>
      <c r="O116" s="5">
        <v>69.290000000000006</v>
      </c>
      <c r="P116" s="5">
        <f t="shared" si="10"/>
        <v>-13.350000000000023</v>
      </c>
      <c r="Q116" s="6">
        <f t="shared" si="11"/>
        <v>-2.4943946188340848E-2</v>
      </c>
      <c r="R116" s="5">
        <f t="shared" si="12"/>
        <v>41.849999999999966</v>
      </c>
      <c r="S116" s="6">
        <f t="shared" si="13"/>
        <v>7.8195067264573925E-2</v>
      </c>
      <c r="T116" s="6">
        <f t="shared" si="14"/>
        <v>-3.7381421996806781E-3</v>
      </c>
    </row>
    <row r="117" spans="1:20" hidden="1" x14ac:dyDescent="0.25">
      <c r="A117" s="4" t="s">
        <v>132</v>
      </c>
      <c r="B117" s="5" t="s">
        <v>16</v>
      </c>
      <c r="C117" s="5" t="s">
        <v>1823</v>
      </c>
      <c r="D117" s="5">
        <v>43.05</v>
      </c>
      <c r="E117" s="5">
        <v>44.05</v>
      </c>
      <c r="F117" s="5">
        <v>44.1</v>
      </c>
      <c r="G117" s="5">
        <v>41.9</v>
      </c>
      <c r="H117" s="5">
        <v>41.9</v>
      </c>
      <c r="I117" s="5">
        <v>42.2</v>
      </c>
      <c r="J117" s="5">
        <v>42.37</v>
      </c>
      <c r="K117" s="5">
        <v>5911</v>
      </c>
      <c r="L117" s="5">
        <v>2.5</v>
      </c>
      <c r="M117" s="5">
        <v>117</v>
      </c>
      <c r="N117" s="5">
        <v>3941</v>
      </c>
      <c r="O117" s="5">
        <v>66.67</v>
      </c>
      <c r="P117" s="5">
        <f t="shared" si="10"/>
        <v>-0.84999999999999432</v>
      </c>
      <c r="Q117" s="6">
        <f t="shared" si="11"/>
        <v>-1.9744483159117174E-2</v>
      </c>
      <c r="R117" s="5">
        <f t="shared" si="12"/>
        <v>2.2000000000000028</v>
      </c>
      <c r="S117" s="6">
        <f t="shared" si="13"/>
        <v>5.1103368176538981E-2</v>
      </c>
      <c r="T117" s="6">
        <f t="shared" si="14"/>
        <v>-3.9477503628445772E-3</v>
      </c>
    </row>
    <row r="118" spans="1:20" hidden="1" x14ac:dyDescent="0.25">
      <c r="A118" s="4" t="s">
        <v>133</v>
      </c>
      <c r="B118" s="5" t="s">
        <v>16</v>
      </c>
      <c r="C118" s="5" t="s">
        <v>1823</v>
      </c>
      <c r="D118" s="5">
        <v>61.85</v>
      </c>
      <c r="E118" s="5">
        <v>59.1</v>
      </c>
      <c r="F118" s="5">
        <v>63.8</v>
      </c>
      <c r="G118" s="5">
        <v>59.1</v>
      </c>
      <c r="H118" s="5">
        <v>59.2</v>
      </c>
      <c r="I118" s="5">
        <v>60.8</v>
      </c>
      <c r="J118" s="5">
        <v>60.93</v>
      </c>
      <c r="K118" s="5">
        <v>7650</v>
      </c>
      <c r="L118" s="5">
        <v>4.66</v>
      </c>
      <c r="M118" s="5">
        <v>43</v>
      </c>
      <c r="N118" s="5">
        <v>4007</v>
      </c>
      <c r="O118" s="5">
        <v>52.38</v>
      </c>
      <c r="P118" s="5">
        <f t="shared" si="10"/>
        <v>-1.0500000000000043</v>
      </c>
      <c r="Q118" s="6">
        <f t="shared" si="11"/>
        <v>-1.6976556184316965E-2</v>
      </c>
      <c r="R118" s="5">
        <f t="shared" si="12"/>
        <v>4.6999999999999957</v>
      </c>
      <c r="S118" s="6">
        <f t="shared" si="13"/>
        <v>7.5990299110751752E-2</v>
      </c>
      <c r="T118" s="6">
        <f t="shared" si="14"/>
        <v>-2.1416803953871921E-3</v>
      </c>
    </row>
    <row r="119" spans="1:20" hidden="1" x14ac:dyDescent="0.25">
      <c r="A119" s="4" t="s">
        <v>134</v>
      </c>
      <c r="B119" s="5" t="s">
        <v>16</v>
      </c>
      <c r="C119" s="5" t="s">
        <v>1823</v>
      </c>
      <c r="D119" s="5">
        <v>10.85</v>
      </c>
      <c r="E119" s="5">
        <v>10.55</v>
      </c>
      <c r="F119" s="5">
        <v>10.95</v>
      </c>
      <c r="G119" s="5">
        <v>10.199999999999999</v>
      </c>
      <c r="H119" s="5">
        <v>10.35</v>
      </c>
      <c r="I119" s="5">
        <v>10.35</v>
      </c>
      <c r="J119" s="5">
        <v>10.48</v>
      </c>
      <c r="K119" s="5">
        <v>4296</v>
      </c>
      <c r="L119" s="5">
        <v>0.45</v>
      </c>
      <c r="M119" s="5">
        <v>29</v>
      </c>
      <c r="N119" s="5">
        <v>4200</v>
      </c>
      <c r="O119" s="5">
        <v>97.77</v>
      </c>
      <c r="P119" s="5">
        <f t="shared" si="10"/>
        <v>-0.5</v>
      </c>
      <c r="Q119" s="6">
        <f t="shared" si="11"/>
        <v>-4.6082949308755762E-2</v>
      </c>
      <c r="R119" s="5">
        <f t="shared" si="12"/>
        <v>0.75</v>
      </c>
      <c r="S119" s="6">
        <f t="shared" si="13"/>
        <v>6.9124423963133647E-2</v>
      </c>
      <c r="T119" s="6">
        <f t="shared" si="14"/>
        <v>-1.2366230677764642E-2</v>
      </c>
    </row>
    <row r="120" spans="1:20" x14ac:dyDescent="0.25">
      <c r="A120" s="4" t="s">
        <v>1379</v>
      </c>
      <c r="B120" s="5" t="s">
        <v>16</v>
      </c>
      <c r="C120" s="5" t="s">
        <v>1823</v>
      </c>
      <c r="D120" s="5">
        <v>34.35</v>
      </c>
      <c r="E120" s="5">
        <v>34</v>
      </c>
      <c r="F120" s="5">
        <v>34.1</v>
      </c>
      <c r="G120" s="5">
        <v>32.6</v>
      </c>
      <c r="H120" s="5">
        <v>32.700000000000003</v>
      </c>
      <c r="I120" s="5">
        <v>32.85</v>
      </c>
      <c r="J120" s="5">
        <v>33.17</v>
      </c>
      <c r="K120" s="5">
        <v>27187565</v>
      </c>
      <c r="L120" s="5">
        <v>9017.39</v>
      </c>
      <c r="M120" s="5">
        <v>29574</v>
      </c>
      <c r="N120" s="5">
        <v>4406209</v>
      </c>
      <c r="O120" s="5">
        <v>16.21</v>
      </c>
      <c r="P120" s="5">
        <f t="shared" si="10"/>
        <v>-1.5</v>
      </c>
      <c r="Q120" s="6">
        <f t="shared" si="11"/>
        <v>-4.3668122270742356E-2</v>
      </c>
      <c r="R120" s="5">
        <f t="shared" si="12"/>
        <v>1.5</v>
      </c>
      <c r="S120" s="6">
        <f t="shared" si="13"/>
        <v>4.3668122270742356E-2</v>
      </c>
      <c r="T120" s="6">
        <f t="shared" si="14"/>
        <v>-9.5844253088730909E-3</v>
      </c>
    </row>
    <row r="121" spans="1:20" hidden="1" x14ac:dyDescent="0.25">
      <c r="A121" s="4" t="s">
        <v>136</v>
      </c>
      <c r="B121" s="5" t="s">
        <v>16</v>
      </c>
      <c r="C121" s="5" t="s">
        <v>1823</v>
      </c>
      <c r="D121" s="5">
        <v>26.8</v>
      </c>
      <c r="E121" s="5">
        <v>27.7</v>
      </c>
      <c r="F121" s="5">
        <v>27.7</v>
      </c>
      <c r="G121" s="5">
        <v>25.6</v>
      </c>
      <c r="H121" s="5">
        <v>26.4</v>
      </c>
      <c r="I121" s="5">
        <v>26.65</v>
      </c>
      <c r="J121" s="5">
        <v>26.12</v>
      </c>
      <c r="K121" s="5">
        <v>9489</v>
      </c>
      <c r="L121" s="5">
        <v>2.48</v>
      </c>
      <c r="M121" s="5">
        <v>118</v>
      </c>
      <c r="N121" s="5">
        <v>6769</v>
      </c>
      <c r="O121" s="5">
        <v>71.34</v>
      </c>
      <c r="P121" s="5">
        <f t="shared" si="10"/>
        <v>-0.15000000000000213</v>
      </c>
      <c r="Q121" s="6">
        <f t="shared" si="11"/>
        <v>-5.5970149253732138E-3</v>
      </c>
      <c r="R121" s="5">
        <f t="shared" si="12"/>
        <v>2.0999999999999979</v>
      </c>
      <c r="S121" s="6">
        <f t="shared" si="13"/>
        <v>7.8358208955223801E-2</v>
      </c>
      <c r="T121" s="6">
        <f t="shared" si="14"/>
        <v>1.9693450998606504E-2</v>
      </c>
    </row>
    <row r="122" spans="1:20" x14ac:dyDescent="0.25">
      <c r="A122" s="4" t="s">
        <v>372</v>
      </c>
      <c r="B122" s="5" t="s">
        <v>16</v>
      </c>
      <c r="C122" s="5" t="s">
        <v>1823</v>
      </c>
      <c r="D122" s="5">
        <v>438.25</v>
      </c>
      <c r="E122" s="5">
        <v>438</v>
      </c>
      <c r="F122" s="5">
        <v>452</v>
      </c>
      <c r="G122" s="5">
        <v>430.55</v>
      </c>
      <c r="H122" s="5">
        <v>438.15</v>
      </c>
      <c r="I122" s="5">
        <v>439.95</v>
      </c>
      <c r="J122" s="5">
        <v>441.63</v>
      </c>
      <c r="K122" s="5">
        <v>331749</v>
      </c>
      <c r="L122" s="5">
        <v>1465.11</v>
      </c>
      <c r="M122" s="5">
        <v>10724</v>
      </c>
      <c r="N122" s="5">
        <v>54419</v>
      </c>
      <c r="O122" s="5">
        <v>16.399999999999999</v>
      </c>
      <c r="P122" s="5">
        <f t="shared" si="10"/>
        <v>1.6999999999999886</v>
      </c>
      <c r="Q122" s="6">
        <f t="shared" si="11"/>
        <v>3.8790644609241042E-3</v>
      </c>
      <c r="R122" s="5">
        <f t="shared" si="12"/>
        <v>21.449999999999989</v>
      </c>
      <c r="S122" s="6">
        <f t="shared" si="13"/>
        <v>4.8944666286366206E-2</v>
      </c>
      <c r="T122" s="6">
        <f t="shared" si="14"/>
        <v>-3.8170974155069736E-3</v>
      </c>
    </row>
    <row r="123" spans="1:20" hidden="1" x14ac:dyDescent="0.25">
      <c r="A123" s="4" t="s">
        <v>138</v>
      </c>
      <c r="B123" s="5" t="s">
        <v>16</v>
      </c>
      <c r="C123" s="5" t="s">
        <v>1823</v>
      </c>
      <c r="D123" s="5">
        <v>471.3</v>
      </c>
      <c r="E123" s="5">
        <v>470.15</v>
      </c>
      <c r="F123" s="5">
        <v>470.15</v>
      </c>
      <c r="G123" s="5">
        <v>451.45</v>
      </c>
      <c r="H123" s="5">
        <v>456.3</v>
      </c>
      <c r="I123" s="5">
        <v>456.95</v>
      </c>
      <c r="J123" s="5">
        <v>459.63</v>
      </c>
      <c r="K123" s="5">
        <v>31239</v>
      </c>
      <c r="L123" s="5">
        <v>143.58000000000001</v>
      </c>
      <c r="M123" s="5">
        <v>2517</v>
      </c>
      <c r="N123" s="5">
        <v>20089</v>
      </c>
      <c r="O123" s="5">
        <v>64.31</v>
      </c>
      <c r="P123" s="5">
        <f t="shared" si="10"/>
        <v>-14.350000000000023</v>
      </c>
      <c r="Q123" s="6">
        <f t="shared" si="11"/>
        <v>-3.0447697856991349E-2</v>
      </c>
      <c r="R123" s="5">
        <f t="shared" si="12"/>
        <v>18.699999999999989</v>
      </c>
      <c r="S123" s="6">
        <f t="shared" si="13"/>
        <v>3.9677487799702926E-2</v>
      </c>
      <c r="T123" s="6">
        <f t="shared" si="14"/>
        <v>-5.7986693352085391E-3</v>
      </c>
    </row>
    <row r="124" spans="1:20" hidden="1" x14ac:dyDescent="0.25">
      <c r="A124" s="4" t="s">
        <v>139</v>
      </c>
      <c r="B124" s="5" t="s">
        <v>16</v>
      </c>
      <c r="C124" s="5" t="s">
        <v>1823</v>
      </c>
      <c r="D124" s="5">
        <v>90</v>
      </c>
      <c r="E124" s="5">
        <v>89</v>
      </c>
      <c r="F124" s="5">
        <v>90.2</v>
      </c>
      <c r="G124" s="5">
        <v>87</v>
      </c>
      <c r="H124" s="5">
        <v>87</v>
      </c>
      <c r="I124" s="5">
        <v>87.7</v>
      </c>
      <c r="J124" s="5">
        <v>88.56</v>
      </c>
      <c r="K124" s="5">
        <v>4495</v>
      </c>
      <c r="L124" s="5">
        <v>3.98</v>
      </c>
      <c r="M124" s="5">
        <v>212</v>
      </c>
      <c r="N124" s="5">
        <v>3042</v>
      </c>
      <c r="O124" s="5">
        <v>67.680000000000007</v>
      </c>
      <c r="P124" s="5">
        <f t="shared" si="10"/>
        <v>-2.2999999999999972</v>
      </c>
      <c r="Q124" s="6">
        <f t="shared" si="11"/>
        <v>-2.5555555555555522E-2</v>
      </c>
      <c r="R124" s="5">
        <f t="shared" si="12"/>
        <v>3.2000000000000028</v>
      </c>
      <c r="S124" s="6">
        <f t="shared" si="13"/>
        <v>3.555555555555559E-2</v>
      </c>
      <c r="T124" s="6">
        <f t="shared" si="14"/>
        <v>-9.7202599604407965E-3</v>
      </c>
    </row>
    <row r="125" spans="1:20" hidden="1" x14ac:dyDescent="0.25">
      <c r="A125" s="4" t="s">
        <v>140</v>
      </c>
      <c r="B125" s="5" t="s">
        <v>16</v>
      </c>
      <c r="C125" s="5" t="s">
        <v>1823</v>
      </c>
      <c r="D125" s="5">
        <v>192.35</v>
      </c>
      <c r="E125" s="5">
        <v>194.25</v>
      </c>
      <c r="F125" s="5">
        <v>194.25</v>
      </c>
      <c r="G125" s="5">
        <v>188</v>
      </c>
      <c r="H125" s="5">
        <v>191.1</v>
      </c>
      <c r="I125" s="5">
        <v>191.4</v>
      </c>
      <c r="J125" s="5">
        <v>189.9</v>
      </c>
      <c r="K125" s="5">
        <v>19385</v>
      </c>
      <c r="L125" s="5">
        <v>36.81</v>
      </c>
      <c r="M125" s="5">
        <v>528</v>
      </c>
      <c r="N125" s="5">
        <v>13705</v>
      </c>
      <c r="O125" s="5">
        <v>70.7</v>
      </c>
      <c r="P125" s="5">
        <f t="shared" si="10"/>
        <v>-0.94999999999998863</v>
      </c>
      <c r="Q125" s="6">
        <f t="shared" si="11"/>
        <v>-4.9389134390433517E-3</v>
      </c>
      <c r="R125" s="5">
        <f t="shared" si="12"/>
        <v>6.25</v>
      </c>
      <c r="S125" s="6">
        <f t="shared" si="13"/>
        <v>3.2492851572654018E-2</v>
      </c>
      <c r="T125" s="6">
        <f t="shared" si="14"/>
        <v>7.8135173850761817E-3</v>
      </c>
    </row>
    <row r="126" spans="1:20" hidden="1" x14ac:dyDescent="0.25">
      <c r="A126" s="4" t="s">
        <v>141</v>
      </c>
      <c r="B126" s="5" t="s">
        <v>16</v>
      </c>
      <c r="C126" s="5" t="s">
        <v>1823</v>
      </c>
      <c r="D126" s="5">
        <v>134.85</v>
      </c>
      <c r="E126" s="5">
        <v>135</v>
      </c>
      <c r="F126" s="5">
        <v>136.19999999999999</v>
      </c>
      <c r="G126" s="5">
        <v>132.05000000000001</v>
      </c>
      <c r="H126" s="5">
        <v>134.65</v>
      </c>
      <c r="I126" s="5">
        <v>133</v>
      </c>
      <c r="J126" s="5">
        <v>133.97</v>
      </c>
      <c r="K126" s="5">
        <v>1629</v>
      </c>
      <c r="L126" s="5">
        <v>2.1800000000000002</v>
      </c>
      <c r="M126" s="5">
        <v>69</v>
      </c>
      <c r="N126" s="5">
        <v>1497</v>
      </c>
      <c r="O126" s="5">
        <v>91.9</v>
      </c>
      <c r="P126" s="5">
        <f t="shared" si="10"/>
        <v>-1.8499999999999943</v>
      </c>
      <c r="Q126" s="6">
        <f t="shared" si="11"/>
        <v>-1.37189469781238E-2</v>
      </c>
      <c r="R126" s="5">
        <f t="shared" si="12"/>
        <v>4.1499999999999773</v>
      </c>
      <c r="S126" s="6">
        <f t="shared" si="13"/>
        <v>3.0774935113088448E-2</v>
      </c>
      <c r="T126" s="6">
        <f t="shared" si="14"/>
        <v>-7.2354312354312271E-3</v>
      </c>
    </row>
    <row r="127" spans="1:20" hidden="1" x14ac:dyDescent="0.25">
      <c r="A127" s="4" t="s">
        <v>142</v>
      </c>
      <c r="B127" s="5" t="s">
        <v>16</v>
      </c>
      <c r="C127" s="5" t="s">
        <v>1823</v>
      </c>
      <c r="D127" s="5">
        <v>38.700000000000003</v>
      </c>
      <c r="E127" s="5">
        <v>38</v>
      </c>
      <c r="F127" s="5">
        <v>38.950000000000003</v>
      </c>
      <c r="G127" s="5">
        <v>36.700000000000003</v>
      </c>
      <c r="H127" s="5">
        <v>37.450000000000003</v>
      </c>
      <c r="I127" s="5">
        <v>37.799999999999997</v>
      </c>
      <c r="J127" s="5">
        <v>37.799999999999997</v>
      </c>
      <c r="K127" s="5">
        <v>7909</v>
      </c>
      <c r="L127" s="5">
        <v>2.99</v>
      </c>
      <c r="M127" s="5">
        <v>156</v>
      </c>
      <c r="N127" s="5">
        <v>7417</v>
      </c>
      <c r="O127" s="5">
        <v>93.78</v>
      </c>
      <c r="P127" s="5">
        <f t="shared" si="10"/>
        <v>-0.90000000000000568</v>
      </c>
      <c r="Q127" s="6">
        <f t="shared" si="11"/>
        <v>-2.3255813953488517E-2</v>
      </c>
      <c r="R127" s="5">
        <f t="shared" si="12"/>
        <v>2.25</v>
      </c>
      <c r="S127" s="6">
        <f t="shared" si="13"/>
        <v>5.8139534883720929E-2</v>
      </c>
      <c r="T127" s="6">
        <f t="shared" si="14"/>
        <v>0</v>
      </c>
    </row>
    <row r="128" spans="1:20" hidden="1" x14ac:dyDescent="0.25">
      <c r="A128" s="4" t="s">
        <v>143</v>
      </c>
      <c r="B128" s="5" t="s">
        <v>16</v>
      </c>
      <c r="C128" s="5" t="s">
        <v>1823</v>
      </c>
      <c r="D128" s="5">
        <v>26.05</v>
      </c>
      <c r="E128" s="5">
        <v>26.7</v>
      </c>
      <c r="F128" s="5">
        <v>27.2</v>
      </c>
      <c r="G128" s="5">
        <v>25.55</v>
      </c>
      <c r="H128" s="5">
        <v>26.65</v>
      </c>
      <c r="I128" s="5">
        <v>26.3</v>
      </c>
      <c r="J128" s="5">
        <v>26.37</v>
      </c>
      <c r="K128" s="5">
        <v>33277</v>
      </c>
      <c r="L128" s="5">
        <v>8.77</v>
      </c>
      <c r="M128" s="5">
        <v>126</v>
      </c>
      <c r="N128" s="5">
        <v>25438</v>
      </c>
      <c r="O128" s="5">
        <v>76.44</v>
      </c>
      <c r="P128" s="5">
        <f t="shared" si="10"/>
        <v>0.25</v>
      </c>
      <c r="Q128" s="6">
        <f t="shared" si="11"/>
        <v>9.5969289827255271E-3</v>
      </c>
      <c r="R128" s="5">
        <f t="shared" si="12"/>
        <v>1.6499999999999986</v>
      </c>
      <c r="S128" s="6">
        <f t="shared" si="13"/>
        <v>6.3339731285988424E-2</v>
      </c>
      <c r="T128" s="6">
        <f t="shared" si="14"/>
        <v>-2.6477541371158499E-3</v>
      </c>
    </row>
    <row r="129" spans="1:20" hidden="1" x14ac:dyDescent="0.25">
      <c r="A129" s="4" t="s">
        <v>144</v>
      </c>
      <c r="B129" s="5" t="s">
        <v>16</v>
      </c>
      <c r="C129" s="5" t="s">
        <v>1823</v>
      </c>
      <c r="D129" s="5">
        <v>108.35</v>
      </c>
      <c r="E129" s="5">
        <v>106.55</v>
      </c>
      <c r="F129" s="5">
        <v>109</v>
      </c>
      <c r="G129" s="5">
        <v>106.55</v>
      </c>
      <c r="H129" s="5">
        <v>108</v>
      </c>
      <c r="I129" s="5">
        <v>107.5</v>
      </c>
      <c r="J129" s="5">
        <v>107.9</v>
      </c>
      <c r="K129" s="5">
        <v>15751</v>
      </c>
      <c r="L129" s="5">
        <v>17</v>
      </c>
      <c r="M129" s="5">
        <v>205</v>
      </c>
      <c r="N129" s="5">
        <v>10613</v>
      </c>
      <c r="O129" s="5">
        <v>67.38</v>
      </c>
      <c r="P129" s="5">
        <f t="shared" si="10"/>
        <v>-0.84999999999999432</v>
      </c>
      <c r="Q129" s="6">
        <f t="shared" si="11"/>
        <v>-7.8449469312412961E-3</v>
      </c>
      <c r="R129" s="5">
        <f t="shared" si="12"/>
        <v>2.4500000000000028</v>
      </c>
      <c r="S129" s="6">
        <f t="shared" si="13"/>
        <v>2.2611905860636852E-2</v>
      </c>
      <c r="T129" s="6">
        <f t="shared" si="14"/>
        <v>-3.7243947858473527E-3</v>
      </c>
    </row>
    <row r="130" spans="1:20" hidden="1" x14ac:dyDescent="0.25">
      <c r="A130" s="4" t="s">
        <v>145</v>
      </c>
      <c r="B130" s="5" t="s">
        <v>16</v>
      </c>
      <c r="C130" s="5" t="s">
        <v>1823</v>
      </c>
      <c r="D130" s="5">
        <v>8.6</v>
      </c>
      <c r="E130" s="5">
        <v>8.6999999999999993</v>
      </c>
      <c r="F130" s="5">
        <v>9.85</v>
      </c>
      <c r="G130" s="5">
        <v>8.65</v>
      </c>
      <c r="H130" s="5">
        <v>9.1</v>
      </c>
      <c r="I130" s="5">
        <v>8.9</v>
      </c>
      <c r="J130" s="5">
        <v>9.23</v>
      </c>
      <c r="K130" s="5">
        <v>76767</v>
      </c>
      <c r="L130" s="5">
        <v>7.09</v>
      </c>
      <c r="M130" s="5">
        <v>373</v>
      </c>
      <c r="N130" s="5">
        <v>44057</v>
      </c>
      <c r="O130" s="5">
        <v>57.39</v>
      </c>
      <c r="P130" s="5">
        <f t="shared" si="10"/>
        <v>0.30000000000000071</v>
      </c>
      <c r="Q130" s="6">
        <f t="shared" si="11"/>
        <v>3.4883720930232641E-2</v>
      </c>
      <c r="R130" s="5">
        <f t="shared" si="12"/>
        <v>1.1999999999999993</v>
      </c>
      <c r="S130" s="6">
        <f t="shared" si="13"/>
        <v>0.13953488372093015</v>
      </c>
      <c r="T130" s="6">
        <f t="shared" si="14"/>
        <v>-3.6565096952908598E-2</v>
      </c>
    </row>
    <row r="131" spans="1:20" x14ac:dyDescent="0.25">
      <c r="A131" s="4" t="s">
        <v>1246</v>
      </c>
      <c r="B131" s="5" t="s">
        <v>16</v>
      </c>
      <c r="C131" s="5" t="s">
        <v>1823</v>
      </c>
      <c r="D131" s="5">
        <v>66.150000000000006</v>
      </c>
      <c r="E131" s="5">
        <v>65.5</v>
      </c>
      <c r="F131" s="5">
        <v>65.599999999999994</v>
      </c>
      <c r="G131" s="5">
        <v>62.65</v>
      </c>
      <c r="H131" s="5">
        <v>63</v>
      </c>
      <c r="I131" s="5">
        <v>63.3</v>
      </c>
      <c r="J131" s="5">
        <v>64.099999999999994</v>
      </c>
      <c r="K131" s="5">
        <v>18395852</v>
      </c>
      <c r="L131" s="5">
        <v>11791.37</v>
      </c>
      <c r="M131" s="5">
        <v>37032</v>
      </c>
      <c r="N131" s="5">
        <v>3016904</v>
      </c>
      <c r="O131" s="5">
        <v>16.399999999999999</v>
      </c>
      <c r="P131" s="5">
        <f t="shared" si="10"/>
        <v>-2.8500000000000085</v>
      </c>
      <c r="Q131" s="6">
        <f t="shared" si="11"/>
        <v>-4.3083900226757496E-2</v>
      </c>
      <c r="R131" s="5">
        <f t="shared" si="12"/>
        <v>2.9499999999999957</v>
      </c>
      <c r="S131" s="6">
        <f t="shared" si="13"/>
        <v>4.4595616024187386E-2</v>
      </c>
      <c r="T131" s="6">
        <f t="shared" si="14"/>
        <v>-1.2448939894962026E-2</v>
      </c>
    </row>
    <row r="132" spans="1:20" x14ac:dyDescent="0.25">
      <c r="A132" s="4" t="s">
        <v>1292</v>
      </c>
      <c r="B132" s="5" t="s">
        <v>16</v>
      </c>
      <c r="C132" s="5" t="s">
        <v>1823</v>
      </c>
      <c r="D132" s="5">
        <v>1857.35</v>
      </c>
      <c r="E132" s="5">
        <v>1839.05</v>
      </c>
      <c r="F132" s="5">
        <v>1897.35</v>
      </c>
      <c r="G132" s="5">
        <v>1810</v>
      </c>
      <c r="H132" s="5">
        <v>1864.95</v>
      </c>
      <c r="I132" s="5">
        <v>1847.7</v>
      </c>
      <c r="J132" s="5">
        <v>1827</v>
      </c>
      <c r="K132" s="5">
        <v>400280</v>
      </c>
      <c r="L132" s="5">
        <v>7313.13</v>
      </c>
      <c r="M132" s="5">
        <v>23849</v>
      </c>
      <c r="N132" s="5">
        <v>66283</v>
      </c>
      <c r="O132" s="5">
        <v>16.559999999999999</v>
      </c>
      <c r="P132" s="5">
        <f t="shared" si="10"/>
        <v>-9.6499999999998636</v>
      </c>
      <c r="Q132" s="6">
        <f t="shared" si="11"/>
        <v>-5.1955743397851042E-3</v>
      </c>
      <c r="R132" s="5">
        <f t="shared" si="12"/>
        <v>87.349999999999909</v>
      </c>
      <c r="S132" s="6">
        <f t="shared" si="13"/>
        <v>4.7029369801060601E-2</v>
      </c>
      <c r="T132" s="6">
        <f t="shared" si="14"/>
        <v>1.1198117417941357E-2</v>
      </c>
    </row>
    <row r="133" spans="1:20" hidden="1" x14ac:dyDescent="0.25">
      <c r="A133" s="4" t="s">
        <v>148</v>
      </c>
      <c r="B133" s="5" t="s">
        <v>16</v>
      </c>
      <c r="C133" s="5" t="s">
        <v>1823</v>
      </c>
      <c r="D133" s="5">
        <v>105.6</v>
      </c>
      <c r="E133" s="5">
        <v>105.6</v>
      </c>
      <c r="F133" s="5">
        <v>112.95</v>
      </c>
      <c r="G133" s="5">
        <v>103</v>
      </c>
      <c r="H133" s="5">
        <v>106.05</v>
      </c>
      <c r="I133" s="5">
        <v>106.55</v>
      </c>
      <c r="J133" s="5">
        <v>108.31</v>
      </c>
      <c r="K133" s="5">
        <v>2239</v>
      </c>
      <c r="L133" s="5">
        <v>2.4300000000000002</v>
      </c>
      <c r="M133" s="5">
        <v>78</v>
      </c>
      <c r="N133" s="5">
        <v>1492</v>
      </c>
      <c r="O133" s="5">
        <v>66.64</v>
      </c>
      <c r="P133" s="5">
        <f t="shared" si="10"/>
        <v>0.95000000000000284</v>
      </c>
      <c r="Q133" s="6">
        <f t="shared" si="11"/>
        <v>8.9962121212121479E-3</v>
      </c>
      <c r="R133" s="5">
        <f t="shared" si="12"/>
        <v>9.9500000000000028</v>
      </c>
      <c r="S133" s="6">
        <f t="shared" si="13"/>
        <v>9.4223484848484876E-2</v>
      </c>
      <c r="T133" s="6">
        <f t="shared" si="14"/>
        <v>-1.6444755898154684E-2</v>
      </c>
    </row>
    <row r="134" spans="1:20" x14ac:dyDescent="0.25">
      <c r="A134" s="4" t="s">
        <v>1577</v>
      </c>
      <c r="B134" s="5" t="s">
        <v>16</v>
      </c>
      <c r="C134" s="5" t="s">
        <v>1823</v>
      </c>
      <c r="D134" s="5">
        <v>451.5</v>
      </c>
      <c r="E134" s="5">
        <v>450</v>
      </c>
      <c r="F134" s="5">
        <v>450</v>
      </c>
      <c r="G134" s="5">
        <v>433</v>
      </c>
      <c r="H134" s="5">
        <v>434</v>
      </c>
      <c r="I134" s="5">
        <v>440.2</v>
      </c>
      <c r="J134" s="5">
        <v>440.14</v>
      </c>
      <c r="K134" s="5">
        <v>119813</v>
      </c>
      <c r="L134" s="5">
        <v>527.35</v>
      </c>
      <c r="M134" s="5">
        <v>3611</v>
      </c>
      <c r="N134" s="5">
        <v>20099</v>
      </c>
      <c r="O134" s="5">
        <v>16.78</v>
      </c>
      <c r="P134" s="5">
        <f t="shared" si="10"/>
        <v>-11.300000000000011</v>
      </c>
      <c r="Q134" s="6">
        <f t="shared" si="11"/>
        <v>-2.5027685492801797E-2</v>
      </c>
      <c r="R134" s="5">
        <f t="shared" si="12"/>
        <v>17</v>
      </c>
      <c r="S134" s="6">
        <f t="shared" si="13"/>
        <v>3.7652270210409747E-2</v>
      </c>
      <c r="T134" s="6">
        <f t="shared" si="14"/>
        <v>1.3534852244530176E-4</v>
      </c>
    </row>
    <row r="135" spans="1:20" hidden="1" x14ac:dyDescent="0.25">
      <c r="A135" s="4" t="s">
        <v>150</v>
      </c>
      <c r="B135" s="5" t="s">
        <v>16</v>
      </c>
      <c r="C135" s="5" t="s">
        <v>1823</v>
      </c>
      <c r="D135" s="5">
        <v>244.6</v>
      </c>
      <c r="E135" s="5">
        <v>244.6</v>
      </c>
      <c r="F135" s="5">
        <v>244.6</v>
      </c>
      <c r="G135" s="5">
        <v>238.6</v>
      </c>
      <c r="H135" s="5">
        <v>241.1</v>
      </c>
      <c r="I135" s="5">
        <v>240.75</v>
      </c>
      <c r="J135" s="5">
        <v>241.68</v>
      </c>
      <c r="K135" s="5">
        <v>51452</v>
      </c>
      <c r="L135" s="5">
        <v>124.35</v>
      </c>
      <c r="M135" s="5">
        <v>2501</v>
      </c>
      <c r="N135" s="5">
        <v>25928</v>
      </c>
      <c r="O135" s="5">
        <v>50.39</v>
      </c>
      <c r="P135" s="5">
        <f t="shared" si="10"/>
        <v>-3.8499999999999943</v>
      </c>
      <c r="Q135" s="6">
        <f t="shared" si="11"/>
        <v>-1.5739983646770213E-2</v>
      </c>
      <c r="R135" s="5">
        <f t="shared" si="12"/>
        <v>6</v>
      </c>
      <c r="S135" s="6">
        <f t="shared" si="13"/>
        <v>2.4529844644317254E-2</v>
      </c>
      <c r="T135" s="6">
        <f t="shared" si="14"/>
        <v>-3.8407929378968843E-3</v>
      </c>
    </row>
    <row r="136" spans="1:20" hidden="1" x14ac:dyDescent="0.25">
      <c r="A136" s="4" t="s">
        <v>151</v>
      </c>
      <c r="B136" s="5" t="s">
        <v>16</v>
      </c>
      <c r="C136" s="5" t="s">
        <v>1823</v>
      </c>
      <c r="D136" s="5">
        <v>135.35</v>
      </c>
      <c r="E136" s="5">
        <v>140.30000000000001</v>
      </c>
      <c r="F136" s="5">
        <v>140.30000000000001</v>
      </c>
      <c r="G136" s="5">
        <v>135</v>
      </c>
      <c r="H136" s="5">
        <v>138.94999999999999</v>
      </c>
      <c r="I136" s="5">
        <v>137.94999999999999</v>
      </c>
      <c r="J136" s="5">
        <v>139.37</v>
      </c>
      <c r="K136" s="5">
        <v>164</v>
      </c>
      <c r="L136" s="5">
        <v>0.23</v>
      </c>
      <c r="M136" s="5">
        <v>20</v>
      </c>
      <c r="N136" s="5">
        <v>121</v>
      </c>
      <c r="O136" s="5">
        <v>73.78</v>
      </c>
      <c r="P136" s="5">
        <f t="shared" si="10"/>
        <v>2.5999999999999943</v>
      </c>
      <c r="Q136" s="6">
        <f t="shared" si="11"/>
        <v>1.9209456963428108E-2</v>
      </c>
      <c r="R136" s="5">
        <f t="shared" si="12"/>
        <v>5.3000000000000114</v>
      </c>
      <c r="S136" s="6">
        <f t="shared" si="13"/>
        <v>3.9157739194680546E-2</v>
      </c>
      <c r="T136" s="6">
        <f t="shared" si="14"/>
        <v>-1.0261042362930293E-2</v>
      </c>
    </row>
    <row r="137" spans="1:20" hidden="1" x14ac:dyDescent="0.25">
      <c r="A137" s="4" t="s">
        <v>152</v>
      </c>
      <c r="B137" s="5" t="s">
        <v>39</v>
      </c>
      <c r="C137" s="5" t="s">
        <v>1823</v>
      </c>
      <c r="D137" s="5">
        <v>0.65</v>
      </c>
      <c r="E137" s="5">
        <v>0.65</v>
      </c>
      <c r="F137" s="5">
        <v>0.65</v>
      </c>
      <c r="G137" s="5">
        <v>0.6</v>
      </c>
      <c r="H137" s="5">
        <v>0.6</v>
      </c>
      <c r="I137" s="5">
        <v>0.6</v>
      </c>
      <c r="J137" s="5">
        <v>0.61</v>
      </c>
      <c r="K137" s="5">
        <v>141536</v>
      </c>
      <c r="L137" s="5">
        <v>0.86</v>
      </c>
      <c r="M137" s="5">
        <v>67</v>
      </c>
      <c r="N137" s="5" t="s">
        <v>25</v>
      </c>
      <c r="O137" s="5" t="s">
        <v>25</v>
      </c>
      <c r="P137" s="5">
        <f t="shared" si="10"/>
        <v>-5.0000000000000044E-2</v>
      </c>
      <c r="Q137" s="6">
        <f t="shared" si="11"/>
        <v>-7.6923076923076983E-2</v>
      </c>
      <c r="R137" s="5">
        <f t="shared" si="12"/>
        <v>5.0000000000000044E-2</v>
      </c>
      <c r="S137" s="6">
        <f t="shared" si="13"/>
        <v>7.6923076923076983E-2</v>
      </c>
      <c r="T137" s="6">
        <f t="shared" si="14"/>
        <v>-1.6000000000000014E-2</v>
      </c>
    </row>
    <row r="138" spans="1:20" hidden="1" x14ac:dyDescent="0.25">
      <c r="A138" s="4" t="s">
        <v>153</v>
      </c>
      <c r="B138" s="5" t="s">
        <v>16</v>
      </c>
      <c r="C138" s="5" t="s">
        <v>1823</v>
      </c>
      <c r="D138" s="5">
        <v>389.8</v>
      </c>
      <c r="E138" s="5">
        <v>382.5</v>
      </c>
      <c r="F138" s="5">
        <v>395.95</v>
      </c>
      <c r="G138" s="5">
        <v>382.5</v>
      </c>
      <c r="H138" s="5">
        <v>388.05</v>
      </c>
      <c r="I138" s="5">
        <v>388.85</v>
      </c>
      <c r="J138" s="5">
        <v>389.32</v>
      </c>
      <c r="K138" s="5">
        <v>6559</v>
      </c>
      <c r="L138" s="5">
        <v>25.54</v>
      </c>
      <c r="M138" s="5">
        <v>272</v>
      </c>
      <c r="N138" s="5">
        <v>5604</v>
      </c>
      <c r="O138" s="5">
        <v>85.44</v>
      </c>
      <c r="P138" s="5">
        <f t="shared" si="10"/>
        <v>-0.94999999999998863</v>
      </c>
      <c r="Q138" s="6">
        <f t="shared" si="11"/>
        <v>-2.4371472550025362E-3</v>
      </c>
      <c r="R138" s="5">
        <f t="shared" si="12"/>
        <v>13.449999999999989</v>
      </c>
      <c r="S138" s="6">
        <f t="shared" si="13"/>
        <v>3.4504874294509977E-2</v>
      </c>
      <c r="T138" s="6">
        <f t="shared" si="14"/>
        <v>-1.213059749645039E-3</v>
      </c>
    </row>
    <row r="139" spans="1:20" x14ac:dyDescent="0.25">
      <c r="A139" s="4" t="s">
        <v>412</v>
      </c>
      <c r="B139" s="5" t="s">
        <v>16</v>
      </c>
      <c r="C139" s="5" t="s">
        <v>1823</v>
      </c>
      <c r="D139" s="5">
        <v>21.45</v>
      </c>
      <c r="E139" s="5">
        <v>21.5</v>
      </c>
      <c r="F139" s="5">
        <v>21.95</v>
      </c>
      <c r="G139" s="5">
        <v>18.399999999999999</v>
      </c>
      <c r="H139" s="5">
        <v>19.5</v>
      </c>
      <c r="I139" s="5">
        <v>19.7</v>
      </c>
      <c r="J139" s="5">
        <v>20.2</v>
      </c>
      <c r="K139" s="5">
        <v>36810419</v>
      </c>
      <c r="L139" s="5">
        <v>7437.05</v>
      </c>
      <c r="M139" s="5">
        <v>45590</v>
      </c>
      <c r="N139" s="5">
        <v>6190069</v>
      </c>
      <c r="O139" s="5">
        <v>16.82</v>
      </c>
      <c r="P139" s="5">
        <f t="shared" si="10"/>
        <v>-1.75</v>
      </c>
      <c r="Q139" s="6">
        <f t="shared" si="11"/>
        <v>-8.1585081585081584E-2</v>
      </c>
      <c r="R139" s="5">
        <f t="shared" si="12"/>
        <v>3.5500000000000007</v>
      </c>
      <c r="S139" s="6">
        <f t="shared" si="13"/>
        <v>0.16550116550116553</v>
      </c>
      <c r="T139" s="6">
        <f t="shared" si="14"/>
        <v>-2.4524831391784182E-2</v>
      </c>
    </row>
    <row r="140" spans="1:20" hidden="1" x14ac:dyDescent="0.25">
      <c r="A140" s="4" t="s">
        <v>155</v>
      </c>
      <c r="B140" s="5" t="s">
        <v>16</v>
      </c>
      <c r="C140" s="5" t="s">
        <v>1823</v>
      </c>
      <c r="D140" s="5">
        <v>1174.45</v>
      </c>
      <c r="E140" s="5">
        <v>1174.45</v>
      </c>
      <c r="F140" s="5">
        <v>1199.7</v>
      </c>
      <c r="G140" s="5">
        <v>1143</v>
      </c>
      <c r="H140" s="5">
        <v>1180</v>
      </c>
      <c r="I140" s="5">
        <v>1181.6500000000001</v>
      </c>
      <c r="J140" s="5">
        <v>1179.96</v>
      </c>
      <c r="K140" s="5">
        <v>62823</v>
      </c>
      <c r="L140" s="5">
        <v>741.29</v>
      </c>
      <c r="M140" s="5">
        <v>5661</v>
      </c>
      <c r="N140" s="5">
        <v>28265</v>
      </c>
      <c r="O140" s="5">
        <v>44.99</v>
      </c>
      <c r="P140" s="5">
        <f t="shared" ref="P140:P203" si="15">I140-D140</f>
        <v>7.2000000000000455</v>
      </c>
      <c r="Q140" s="6">
        <f t="shared" ref="Q140:Q203" si="16">P140/D140</f>
        <v>6.130529183873341E-3</v>
      </c>
      <c r="R140" s="5">
        <f t="shared" ref="R140:R203" si="17">ABS(F140-G140)</f>
        <v>56.700000000000045</v>
      </c>
      <c r="S140" s="6">
        <f t="shared" ref="S140:S203" si="18">R140/D140</f>
        <v>4.8277917323002295E-2</v>
      </c>
      <c r="T140" s="6">
        <f t="shared" ref="T140:T203" si="19">(I140-J140)/AVERAGE(E140:G140,I140)</f>
        <v>1.4386651911126708E-3</v>
      </c>
    </row>
    <row r="141" spans="1:20" hidden="1" x14ac:dyDescent="0.25">
      <c r="A141" s="4" t="s">
        <v>156</v>
      </c>
      <c r="B141" s="5" t="s">
        <v>16</v>
      </c>
      <c r="C141" s="5" t="s">
        <v>1823</v>
      </c>
      <c r="D141" s="5">
        <v>81.599999999999994</v>
      </c>
      <c r="E141" s="5">
        <v>81.900000000000006</v>
      </c>
      <c r="F141" s="5">
        <v>84.8</v>
      </c>
      <c r="G141" s="5">
        <v>79.55</v>
      </c>
      <c r="H141" s="5">
        <v>80.5</v>
      </c>
      <c r="I141" s="5">
        <v>81.099999999999994</v>
      </c>
      <c r="J141" s="5">
        <v>81.08</v>
      </c>
      <c r="K141" s="5">
        <v>76714</v>
      </c>
      <c r="L141" s="5">
        <v>62.2</v>
      </c>
      <c r="M141" s="5">
        <v>1367</v>
      </c>
      <c r="N141" s="5">
        <v>42772</v>
      </c>
      <c r="O141" s="5">
        <v>55.76</v>
      </c>
      <c r="P141" s="5">
        <f t="shared" si="15"/>
        <v>-0.5</v>
      </c>
      <c r="Q141" s="6">
        <f t="shared" si="16"/>
        <v>-6.1274509803921576E-3</v>
      </c>
      <c r="R141" s="5">
        <f t="shared" si="17"/>
        <v>5.25</v>
      </c>
      <c r="S141" s="6">
        <f t="shared" si="18"/>
        <v>6.4338235294117654E-2</v>
      </c>
      <c r="T141" s="6">
        <f t="shared" si="19"/>
        <v>2.4438674201919682E-4</v>
      </c>
    </row>
    <row r="142" spans="1:20" hidden="1" x14ac:dyDescent="0.25">
      <c r="A142" s="4" t="s">
        <v>157</v>
      </c>
      <c r="B142" s="5" t="s">
        <v>16</v>
      </c>
      <c r="C142" s="5" t="s">
        <v>1823</v>
      </c>
      <c r="D142" s="5">
        <v>2196.1999999999998</v>
      </c>
      <c r="E142" s="5">
        <v>2219.65</v>
      </c>
      <c r="F142" s="5">
        <v>2246.9499999999998</v>
      </c>
      <c r="G142" s="5">
        <v>2136</v>
      </c>
      <c r="H142" s="5">
        <v>2147.5500000000002</v>
      </c>
      <c r="I142" s="5">
        <v>2147.6999999999998</v>
      </c>
      <c r="J142" s="5">
        <v>2181.4499999999998</v>
      </c>
      <c r="K142" s="5">
        <v>9927</v>
      </c>
      <c r="L142" s="5">
        <v>216.55</v>
      </c>
      <c r="M142" s="5">
        <v>1781</v>
      </c>
      <c r="N142" s="5">
        <v>4548</v>
      </c>
      <c r="O142" s="5">
        <v>45.81</v>
      </c>
      <c r="P142" s="5">
        <f t="shared" si="15"/>
        <v>-48.5</v>
      </c>
      <c r="Q142" s="6">
        <f t="shared" si="16"/>
        <v>-2.208359894362991E-2</v>
      </c>
      <c r="R142" s="5">
        <f t="shared" si="17"/>
        <v>110.94999999999982</v>
      </c>
      <c r="S142" s="6">
        <f t="shared" si="18"/>
        <v>5.0519078408159467E-2</v>
      </c>
      <c r="T142" s="6">
        <f t="shared" si="19"/>
        <v>-1.5428042467115415E-2</v>
      </c>
    </row>
    <row r="143" spans="1:20" x14ac:dyDescent="0.25">
      <c r="A143" s="4" t="s">
        <v>202</v>
      </c>
      <c r="B143" s="5" t="s">
        <v>16</v>
      </c>
      <c r="C143" s="5" t="s">
        <v>1823</v>
      </c>
      <c r="D143" s="5">
        <v>99.2</v>
      </c>
      <c r="E143" s="5">
        <v>98.15</v>
      </c>
      <c r="F143" s="5">
        <v>98.4</v>
      </c>
      <c r="G143" s="5">
        <v>93</v>
      </c>
      <c r="H143" s="5">
        <v>93.25</v>
      </c>
      <c r="I143" s="5">
        <v>93.5</v>
      </c>
      <c r="J143" s="5">
        <v>95.43</v>
      </c>
      <c r="K143" s="5">
        <v>23376094</v>
      </c>
      <c r="L143" s="5">
        <v>22307.97</v>
      </c>
      <c r="M143" s="5">
        <v>63633</v>
      </c>
      <c r="N143" s="5">
        <v>4006020</v>
      </c>
      <c r="O143" s="5">
        <v>17.14</v>
      </c>
      <c r="P143" s="5">
        <f t="shared" si="15"/>
        <v>-5.7000000000000028</v>
      </c>
      <c r="Q143" s="6">
        <f t="shared" si="16"/>
        <v>-5.7459677419354864E-2</v>
      </c>
      <c r="R143" s="5">
        <f t="shared" si="17"/>
        <v>5.4000000000000057</v>
      </c>
      <c r="S143" s="6">
        <f t="shared" si="18"/>
        <v>5.4435483870967798E-2</v>
      </c>
      <c r="T143" s="6">
        <f t="shared" si="19"/>
        <v>-2.0154026889440093E-2</v>
      </c>
    </row>
    <row r="144" spans="1:20" hidden="1" x14ac:dyDescent="0.25">
      <c r="A144" s="4" t="s">
        <v>159</v>
      </c>
      <c r="B144" s="5" t="s">
        <v>16</v>
      </c>
      <c r="C144" s="5" t="s">
        <v>1823</v>
      </c>
      <c r="D144" s="5">
        <v>506.15</v>
      </c>
      <c r="E144" s="5">
        <v>508.05</v>
      </c>
      <c r="F144" s="5">
        <v>509</v>
      </c>
      <c r="G144" s="5">
        <v>498</v>
      </c>
      <c r="H144" s="5">
        <v>504.9</v>
      </c>
      <c r="I144" s="5">
        <v>503</v>
      </c>
      <c r="J144" s="5">
        <v>504.03</v>
      </c>
      <c r="K144" s="5">
        <v>1702</v>
      </c>
      <c r="L144" s="5">
        <v>8.58</v>
      </c>
      <c r="M144" s="5">
        <v>128</v>
      </c>
      <c r="N144" s="5">
        <v>1575</v>
      </c>
      <c r="O144" s="5">
        <v>92.54</v>
      </c>
      <c r="P144" s="5">
        <f t="shared" si="15"/>
        <v>-3.1499999999999773</v>
      </c>
      <c r="Q144" s="6">
        <f t="shared" si="16"/>
        <v>-6.2234515459843476E-3</v>
      </c>
      <c r="R144" s="5">
        <f t="shared" si="17"/>
        <v>11</v>
      </c>
      <c r="S144" s="6">
        <f t="shared" si="18"/>
        <v>2.1732687938358194E-2</v>
      </c>
      <c r="T144" s="6">
        <f t="shared" si="19"/>
        <v>-2.0415747875423755E-3</v>
      </c>
    </row>
    <row r="145" spans="1:20" hidden="1" x14ac:dyDescent="0.25">
      <c r="A145" s="4" t="s">
        <v>160</v>
      </c>
      <c r="B145" s="5" t="s">
        <v>16</v>
      </c>
      <c r="C145" s="5" t="s">
        <v>1823</v>
      </c>
      <c r="D145" s="5">
        <v>9.15</v>
      </c>
      <c r="E145" s="5">
        <v>9.5500000000000007</v>
      </c>
      <c r="F145" s="5">
        <v>9.5500000000000007</v>
      </c>
      <c r="G145" s="5">
        <v>9.15</v>
      </c>
      <c r="H145" s="5">
        <v>9.5</v>
      </c>
      <c r="I145" s="5">
        <v>9.4</v>
      </c>
      <c r="J145" s="5">
        <v>9.4499999999999993</v>
      </c>
      <c r="K145" s="5">
        <v>24894</v>
      </c>
      <c r="L145" s="5">
        <v>2.35</v>
      </c>
      <c r="M145" s="5">
        <v>150</v>
      </c>
      <c r="N145" s="5">
        <v>21634</v>
      </c>
      <c r="O145" s="5">
        <v>86.9</v>
      </c>
      <c r="P145" s="5">
        <f t="shared" si="15"/>
        <v>0.25</v>
      </c>
      <c r="Q145" s="6">
        <f t="shared" si="16"/>
        <v>2.7322404371584699E-2</v>
      </c>
      <c r="R145" s="5">
        <f t="shared" si="17"/>
        <v>0.40000000000000036</v>
      </c>
      <c r="S145" s="6">
        <f t="shared" si="18"/>
        <v>4.3715846994535554E-2</v>
      </c>
      <c r="T145" s="6">
        <f t="shared" si="19"/>
        <v>-5.3120849933597806E-3</v>
      </c>
    </row>
    <row r="146" spans="1:20" hidden="1" x14ac:dyDescent="0.25">
      <c r="A146" s="4" t="s">
        <v>161</v>
      </c>
      <c r="B146" s="5" t="s">
        <v>24</v>
      </c>
      <c r="C146" s="5" t="s">
        <v>1823</v>
      </c>
      <c r="D146" s="5">
        <v>70.900000000000006</v>
      </c>
      <c r="E146" s="5">
        <v>74.400000000000006</v>
      </c>
      <c r="F146" s="5">
        <v>74.400000000000006</v>
      </c>
      <c r="G146" s="5">
        <v>74.400000000000006</v>
      </c>
      <c r="H146" s="5">
        <v>74.400000000000006</v>
      </c>
      <c r="I146" s="5">
        <v>74.400000000000006</v>
      </c>
      <c r="J146" s="5">
        <v>74.400000000000006</v>
      </c>
      <c r="K146" s="5">
        <v>6449</v>
      </c>
      <c r="L146" s="5">
        <v>4.8</v>
      </c>
      <c r="M146" s="5">
        <v>74</v>
      </c>
      <c r="N146" s="5" t="s">
        <v>25</v>
      </c>
      <c r="O146" s="5" t="s">
        <v>25</v>
      </c>
      <c r="P146" s="5">
        <f t="shared" si="15"/>
        <v>3.5</v>
      </c>
      <c r="Q146" s="6">
        <f t="shared" si="16"/>
        <v>4.9365303244005634E-2</v>
      </c>
      <c r="R146" s="5">
        <f t="shared" si="17"/>
        <v>0</v>
      </c>
      <c r="S146" s="6">
        <f t="shared" si="18"/>
        <v>0</v>
      </c>
      <c r="T146" s="6">
        <f t="shared" si="19"/>
        <v>0</v>
      </c>
    </row>
    <row r="147" spans="1:20" hidden="1" x14ac:dyDescent="0.25">
      <c r="A147" s="4" t="s">
        <v>162</v>
      </c>
      <c r="B147" s="5" t="s">
        <v>16</v>
      </c>
      <c r="C147" s="5" t="s">
        <v>1823</v>
      </c>
      <c r="D147" s="5">
        <v>3945.4</v>
      </c>
      <c r="E147" s="5">
        <v>3964.9</v>
      </c>
      <c r="F147" s="5">
        <v>4042</v>
      </c>
      <c r="G147" s="5">
        <v>3948.1</v>
      </c>
      <c r="H147" s="5">
        <v>3998.9</v>
      </c>
      <c r="I147" s="5">
        <v>3991.25</v>
      </c>
      <c r="J147" s="5">
        <v>3997.77</v>
      </c>
      <c r="K147" s="5">
        <v>11317</v>
      </c>
      <c r="L147" s="5">
        <v>452.43</v>
      </c>
      <c r="M147" s="5">
        <v>3381</v>
      </c>
      <c r="N147" s="5">
        <v>6282</v>
      </c>
      <c r="O147" s="5">
        <v>55.51</v>
      </c>
      <c r="P147" s="5">
        <f t="shared" si="15"/>
        <v>45.849999999999909</v>
      </c>
      <c r="Q147" s="6">
        <f t="shared" si="16"/>
        <v>1.1621128402696789E-2</v>
      </c>
      <c r="R147" s="5">
        <f t="shared" si="17"/>
        <v>93.900000000000091</v>
      </c>
      <c r="S147" s="6">
        <f t="shared" si="18"/>
        <v>2.3799868200942893E-2</v>
      </c>
      <c r="T147" s="6">
        <f t="shared" si="19"/>
        <v>-1.6354942384573131E-3</v>
      </c>
    </row>
    <row r="148" spans="1:20" hidden="1" x14ac:dyDescent="0.25">
      <c r="A148" s="4" t="s">
        <v>163</v>
      </c>
      <c r="B148" s="5" t="s">
        <v>16</v>
      </c>
      <c r="C148" s="5" t="s">
        <v>1823</v>
      </c>
      <c r="D148" s="5">
        <v>236.55</v>
      </c>
      <c r="E148" s="5">
        <v>239.9</v>
      </c>
      <c r="F148" s="5">
        <v>239.9</v>
      </c>
      <c r="G148" s="5">
        <v>222.25</v>
      </c>
      <c r="H148" s="5">
        <v>232.3</v>
      </c>
      <c r="I148" s="5">
        <v>228.9</v>
      </c>
      <c r="J148" s="5">
        <v>229.21</v>
      </c>
      <c r="K148" s="5">
        <v>11863</v>
      </c>
      <c r="L148" s="5">
        <v>27.19</v>
      </c>
      <c r="M148" s="5">
        <v>506</v>
      </c>
      <c r="N148" s="5">
        <v>9328</v>
      </c>
      <c r="O148" s="5">
        <v>78.63</v>
      </c>
      <c r="P148" s="5">
        <f t="shared" si="15"/>
        <v>-7.6500000000000057</v>
      </c>
      <c r="Q148" s="6">
        <f t="shared" si="16"/>
        <v>-3.2339885859226404E-2</v>
      </c>
      <c r="R148" s="5">
        <f t="shared" si="17"/>
        <v>17.650000000000006</v>
      </c>
      <c r="S148" s="6">
        <f t="shared" si="18"/>
        <v>7.4614246459522318E-2</v>
      </c>
      <c r="T148" s="6">
        <f t="shared" si="19"/>
        <v>-1.3319727160427618E-3</v>
      </c>
    </row>
    <row r="149" spans="1:20" x14ac:dyDescent="0.25">
      <c r="A149" s="4" t="s">
        <v>1457</v>
      </c>
      <c r="B149" s="5" t="s">
        <v>16</v>
      </c>
      <c r="C149" s="5" t="s">
        <v>1823</v>
      </c>
      <c r="D149" s="5">
        <v>358.4</v>
      </c>
      <c r="E149" s="5">
        <v>360.15</v>
      </c>
      <c r="F149" s="5">
        <v>394.2</v>
      </c>
      <c r="G149" s="5">
        <v>360.15</v>
      </c>
      <c r="H149" s="5">
        <v>388.4</v>
      </c>
      <c r="I149" s="5">
        <v>386.75</v>
      </c>
      <c r="J149" s="5">
        <v>383.22</v>
      </c>
      <c r="K149" s="5">
        <v>601387</v>
      </c>
      <c r="L149" s="5">
        <v>2304.65</v>
      </c>
      <c r="M149" s="5">
        <v>18626</v>
      </c>
      <c r="N149" s="5">
        <v>103841</v>
      </c>
      <c r="O149" s="5">
        <v>17.27</v>
      </c>
      <c r="P149" s="5">
        <f t="shared" si="15"/>
        <v>28.350000000000023</v>
      </c>
      <c r="Q149" s="6">
        <f t="shared" si="16"/>
        <v>7.9101562500000069E-2</v>
      </c>
      <c r="R149" s="5">
        <f t="shared" si="17"/>
        <v>34.050000000000011</v>
      </c>
      <c r="S149" s="6">
        <f t="shared" si="18"/>
        <v>9.5005580357142891E-2</v>
      </c>
      <c r="T149" s="6">
        <f t="shared" si="19"/>
        <v>9.4054954204828584E-3</v>
      </c>
    </row>
    <row r="150" spans="1:20" hidden="1" x14ac:dyDescent="0.25">
      <c r="A150" s="4" t="s">
        <v>165</v>
      </c>
      <c r="B150" s="5" t="s">
        <v>28</v>
      </c>
      <c r="C150" s="5" t="s">
        <v>1823</v>
      </c>
      <c r="D150" s="5">
        <v>42</v>
      </c>
      <c r="E150" s="5">
        <v>43.8</v>
      </c>
      <c r="F150" s="5">
        <v>43.85</v>
      </c>
      <c r="G150" s="5">
        <v>40</v>
      </c>
      <c r="H150" s="5">
        <v>43.45</v>
      </c>
      <c r="I150" s="5">
        <v>43.45</v>
      </c>
      <c r="J150" s="5">
        <v>43.24</v>
      </c>
      <c r="K150" s="5">
        <v>28000</v>
      </c>
      <c r="L150" s="5">
        <v>12.11</v>
      </c>
      <c r="M150" s="5">
        <v>4</v>
      </c>
      <c r="N150" s="5">
        <v>20000</v>
      </c>
      <c r="O150" s="5">
        <v>71.430000000000007</v>
      </c>
      <c r="P150" s="5">
        <f t="shared" si="15"/>
        <v>1.4500000000000028</v>
      </c>
      <c r="Q150" s="6">
        <f t="shared" si="16"/>
        <v>3.4523809523809589E-2</v>
      </c>
      <c r="R150" s="5">
        <f t="shared" si="17"/>
        <v>3.8500000000000014</v>
      </c>
      <c r="S150" s="6">
        <f t="shared" si="18"/>
        <v>9.1666666666666702E-2</v>
      </c>
      <c r="T150" s="6">
        <f t="shared" si="19"/>
        <v>4.9094097019287157E-3</v>
      </c>
    </row>
    <row r="151" spans="1:20" hidden="1" x14ac:dyDescent="0.25">
      <c r="A151" s="4" t="s">
        <v>166</v>
      </c>
      <c r="B151" s="5" t="s">
        <v>16</v>
      </c>
      <c r="C151" s="5" t="s">
        <v>1823</v>
      </c>
      <c r="D151" s="5">
        <v>105.05</v>
      </c>
      <c r="E151" s="5">
        <v>102.7</v>
      </c>
      <c r="F151" s="5">
        <v>107.35</v>
      </c>
      <c r="G151" s="5">
        <v>99.6</v>
      </c>
      <c r="H151" s="5">
        <v>105.5</v>
      </c>
      <c r="I151" s="5">
        <v>105.9</v>
      </c>
      <c r="J151" s="5">
        <v>104.45</v>
      </c>
      <c r="K151" s="5">
        <v>37486</v>
      </c>
      <c r="L151" s="5">
        <v>39.15</v>
      </c>
      <c r="M151" s="5">
        <v>835</v>
      </c>
      <c r="N151" s="5">
        <v>22057</v>
      </c>
      <c r="O151" s="5">
        <v>58.84</v>
      </c>
      <c r="P151" s="5">
        <f t="shared" si="15"/>
        <v>0.85000000000000853</v>
      </c>
      <c r="Q151" s="6">
        <f t="shared" si="16"/>
        <v>8.0913850547359219E-3</v>
      </c>
      <c r="R151" s="5">
        <f t="shared" si="17"/>
        <v>7.75</v>
      </c>
      <c r="S151" s="6">
        <f t="shared" si="18"/>
        <v>7.3774393146120901E-2</v>
      </c>
      <c r="T151" s="6">
        <f t="shared" si="19"/>
        <v>1.395740584767179E-2</v>
      </c>
    </row>
    <row r="152" spans="1:20" x14ac:dyDescent="0.25">
      <c r="A152" s="4" t="s">
        <v>363</v>
      </c>
      <c r="B152" s="5" t="s">
        <v>16</v>
      </c>
      <c r="C152" s="5" t="s">
        <v>1823</v>
      </c>
      <c r="D152" s="5">
        <v>465.3</v>
      </c>
      <c r="E152" s="5">
        <v>466.1</v>
      </c>
      <c r="F152" s="5">
        <v>472.4</v>
      </c>
      <c r="G152" s="5">
        <v>444.9</v>
      </c>
      <c r="H152" s="5">
        <v>447.4</v>
      </c>
      <c r="I152" s="5">
        <v>447.4</v>
      </c>
      <c r="J152" s="5">
        <v>463.36</v>
      </c>
      <c r="K152" s="5">
        <v>159977</v>
      </c>
      <c r="L152" s="5">
        <v>741.28</v>
      </c>
      <c r="M152" s="5">
        <v>3827</v>
      </c>
      <c r="N152" s="5">
        <v>27759</v>
      </c>
      <c r="O152" s="5">
        <v>17.350000000000001</v>
      </c>
      <c r="P152" s="5">
        <f t="shared" si="15"/>
        <v>-17.900000000000034</v>
      </c>
      <c r="Q152" s="6">
        <f t="shared" si="16"/>
        <v>-3.8469804427251307E-2</v>
      </c>
      <c r="R152" s="5">
        <f t="shared" si="17"/>
        <v>27.5</v>
      </c>
      <c r="S152" s="6">
        <f t="shared" si="18"/>
        <v>5.9101654846335692E-2</v>
      </c>
      <c r="T152" s="6">
        <f t="shared" si="19"/>
        <v>-3.4870002184837302E-2</v>
      </c>
    </row>
    <row r="153" spans="1:20" hidden="1" x14ac:dyDescent="0.25">
      <c r="A153" s="4" t="s">
        <v>168</v>
      </c>
      <c r="B153" s="5" t="s">
        <v>16</v>
      </c>
      <c r="C153" s="5" t="s">
        <v>1823</v>
      </c>
      <c r="D153" s="5">
        <v>28.85</v>
      </c>
      <c r="E153" s="5">
        <v>30.75</v>
      </c>
      <c r="F153" s="5">
        <v>30.75</v>
      </c>
      <c r="G153" s="5">
        <v>28.75</v>
      </c>
      <c r="H153" s="5">
        <v>29.15</v>
      </c>
      <c r="I153" s="5">
        <v>29.75</v>
      </c>
      <c r="J153" s="5">
        <v>29.67</v>
      </c>
      <c r="K153" s="5">
        <v>492</v>
      </c>
      <c r="L153" s="5">
        <v>0.15</v>
      </c>
      <c r="M153" s="5">
        <v>57</v>
      </c>
      <c r="N153" s="5">
        <v>305</v>
      </c>
      <c r="O153" s="5">
        <v>61.99</v>
      </c>
      <c r="P153" s="5">
        <f t="shared" si="15"/>
        <v>0.89999999999999858</v>
      </c>
      <c r="Q153" s="6">
        <f t="shared" si="16"/>
        <v>3.1195840554592669E-2</v>
      </c>
      <c r="R153" s="5">
        <f t="shared" si="17"/>
        <v>2</v>
      </c>
      <c r="S153" s="6">
        <f t="shared" si="18"/>
        <v>6.9324090121317156E-2</v>
      </c>
      <c r="T153" s="6">
        <f t="shared" si="19"/>
        <v>2.6666666666666098E-3</v>
      </c>
    </row>
    <row r="154" spans="1:20" hidden="1" x14ac:dyDescent="0.25">
      <c r="A154" s="4" t="s">
        <v>169</v>
      </c>
      <c r="B154" s="5" t="s">
        <v>16</v>
      </c>
      <c r="C154" s="5" t="s">
        <v>1823</v>
      </c>
      <c r="D154" s="5">
        <v>961.95</v>
      </c>
      <c r="E154" s="5">
        <v>946</v>
      </c>
      <c r="F154" s="5">
        <v>953.7</v>
      </c>
      <c r="G154" s="5">
        <v>892</v>
      </c>
      <c r="H154" s="5">
        <v>932.1</v>
      </c>
      <c r="I154" s="5">
        <v>937.3</v>
      </c>
      <c r="J154" s="5">
        <v>919.43</v>
      </c>
      <c r="K154" s="5">
        <v>17225</v>
      </c>
      <c r="L154" s="5">
        <v>158.37</v>
      </c>
      <c r="M154" s="5">
        <v>2142</v>
      </c>
      <c r="N154" s="5">
        <v>7808</v>
      </c>
      <c r="O154" s="5">
        <v>45.33</v>
      </c>
      <c r="P154" s="5">
        <f t="shared" si="15"/>
        <v>-24.650000000000091</v>
      </c>
      <c r="Q154" s="6">
        <f t="shared" si="16"/>
        <v>-2.5625032486096044E-2</v>
      </c>
      <c r="R154" s="5">
        <f t="shared" si="17"/>
        <v>61.700000000000045</v>
      </c>
      <c r="S154" s="6">
        <f t="shared" si="18"/>
        <v>6.4140547845522158E-2</v>
      </c>
      <c r="T154" s="6">
        <f t="shared" si="19"/>
        <v>1.9168677929739881E-2</v>
      </c>
    </row>
    <row r="155" spans="1:20" hidden="1" x14ac:dyDescent="0.25">
      <c r="A155" s="4" t="s">
        <v>170</v>
      </c>
      <c r="B155" s="5" t="s">
        <v>16</v>
      </c>
      <c r="C155" s="5" t="s">
        <v>1823</v>
      </c>
      <c r="D155" s="5">
        <v>40.299999999999997</v>
      </c>
      <c r="E155" s="5">
        <v>40</v>
      </c>
      <c r="F155" s="5">
        <v>40</v>
      </c>
      <c r="G155" s="5">
        <v>38.75</v>
      </c>
      <c r="H155" s="5">
        <v>38.75</v>
      </c>
      <c r="I155" s="5">
        <v>39.049999999999997</v>
      </c>
      <c r="J155" s="5">
        <v>39.18</v>
      </c>
      <c r="K155" s="5">
        <v>2961</v>
      </c>
      <c r="L155" s="5">
        <v>1.1599999999999999</v>
      </c>
      <c r="M155" s="5">
        <v>87</v>
      </c>
      <c r="N155" s="5">
        <v>2319</v>
      </c>
      <c r="O155" s="5">
        <v>78.319999999999993</v>
      </c>
      <c r="P155" s="5">
        <f t="shared" si="15"/>
        <v>-1.25</v>
      </c>
      <c r="Q155" s="6">
        <f t="shared" si="16"/>
        <v>-3.1017369727047148E-2</v>
      </c>
      <c r="R155" s="5">
        <f t="shared" si="17"/>
        <v>1.25</v>
      </c>
      <c r="S155" s="6">
        <f t="shared" si="18"/>
        <v>3.1017369727047148E-2</v>
      </c>
      <c r="T155" s="6">
        <f t="shared" si="19"/>
        <v>-3.295310519645185E-3</v>
      </c>
    </row>
    <row r="156" spans="1:20" hidden="1" x14ac:dyDescent="0.25">
      <c r="A156" s="4" t="s">
        <v>171</v>
      </c>
      <c r="B156" s="5" t="s">
        <v>16</v>
      </c>
      <c r="C156" s="5" t="s">
        <v>1823</v>
      </c>
      <c r="D156" s="5">
        <v>25</v>
      </c>
      <c r="E156" s="5">
        <v>23.75</v>
      </c>
      <c r="F156" s="5">
        <v>25.95</v>
      </c>
      <c r="G156" s="5">
        <v>23.75</v>
      </c>
      <c r="H156" s="5">
        <v>24.45</v>
      </c>
      <c r="I156" s="5">
        <v>24.45</v>
      </c>
      <c r="J156" s="5">
        <v>24.61</v>
      </c>
      <c r="K156" s="5">
        <v>6857</v>
      </c>
      <c r="L156" s="5">
        <v>1.69</v>
      </c>
      <c r="M156" s="5">
        <v>48</v>
      </c>
      <c r="N156" s="5">
        <v>3364</v>
      </c>
      <c r="O156" s="5">
        <v>49.06</v>
      </c>
      <c r="P156" s="5">
        <f t="shared" si="15"/>
        <v>-0.55000000000000071</v>
      </c>
      <c r="Q156" s="6">
        <f t="shared" si="16"/>
        <v>-2.200000000000003E-2</v>
      </c>
      <c r="R156" s="5">
        <f t="shared" si="17"/>
        <v>2.1999999999999993</v>
      </c>
      <c r="S156" s="6">
        <f t="shared" si="18"/>
        <v>8.7999999999999967E-2</v>
      </c>
      <c r="T156" s="6">
        <f t="shared" si="19"/>
        <v>-6.537282941777329E-3</v>
      </c>
    </row>
    <row r="157" spans="1:20" x14ac:dyDescent="0.25">
      <c r="A157" s="4" t="s">
        <v>1553</v>
      </c>
      <c r="B157" s="5" t="s">
        <v>16</v>
      </c>
      <c r="C157" s="5" t="s">
        <v>1823</v>
      </c>
      <c r="D157" s="5">
        <v>347.75</v>
      </c>
      <c r="E157" s="5">
        <v>348</v>
      </c>
      <c r="F157" s="5">
        <v>354</v>
      </c>
      <c r="G157" s="5">
        <v>328</v>
      </c>
      <c r="H157" s="5">
        <v>329.7</v>
      </c>
      <c r="I157" s="5">
        <v>331.95</v>
      </c>
      <c r="J157" s="5">
        <v>337.57</v>
      </c>
      <c r="K157" s="5">
        <v>2371636</v>
      </c>
      <c r="L157" s="5">
        <v>8005.84</v>
      </c>
      <c r="M157" s="5">
        <v>33232</v>
      </c>
      <c r="N157" s="5">
        <v>418250</v>
      </c>
      <c r="O157" s="5">
        <v>17.64</v>
      </c>
      <c r="P157" s="5">
        <f t="shared" si="15"/>
        <v>-15.800000000000011</v>
      </c>
      <c r="Q157" s="6">
        <f t="shared" si="16"/>
        <v>-4.5434938892882852E-2</v>
      </c>
      <c r="R157" s="5">
        <f t="shared" si="17"/>
        <v>26</v>
      </c>
      <c r="S157" s="6">
        <f t="shared" si="18"/>
        <v>7.476635514018691E-2</v>
      </c>
      <c r="T157" s="6">
        <f t="shared" si="19"/>
        <v>-1.6505745438525656E-2</v>
      </c>
    </row>
    <row r="158" spans="1:20" x14ac:dyDescent="0.25">
      <c r="A158" s="4" t="s">
        <v>213</v>
      </c>
      <c r="B158" s="5" t="s">
        <v>16</v>
      </c>
      <c r="C158" s="5" t="s">
        <v>1823</v>
      </c>
      <c r="D158" s="5">
        <v>1241.25</v>
      </c>
      <c r="E158" s="5">
        <v>1234</v>
      </c>
      <c r="F158" s="5">
        <v>1285</v>
      </c>
      <c r="G158" s="5">
        <v>1215.5</v>
      </c>
      <c r="H158" s="5">
        <v>1222</v>
      </c>
      <c r="I158" s="5">
        <v>1226.25</v>
      </c>
      <c r="J158" s="5">
        <v>1254.19</v>
      </c>
      <c r="K158" s="5">
        <v>268203</v>
      </c>
      <c r="L158" s="5">
        <v>3363.77</v>
      </c>
      <c r="M158" s="5">
        <v>13448</v>
      </c>
      <c r="N158" s="5">
        <v>47388</v>
      </c>
      <c r="O158" s="5">
        <v>17.670000000000002</v>
      </c>
      <c r="P158" s="5">
        <f t="shared" si="15"/>
        <v>-15</v>
      </c>
      <c r="Q158" s="6">
        <f t="shared" si="16"/>
        <v>-1.2084592145015106E-2</v>
      </c>
      <c r="R158" s="5">
        <f t="shared" si="17"/>
        <v>69.5</v>
      </c>
      <c r="S158" s="6">
        <f t="shared" si="18"/>
        <v>5.5991943605236655E-2</v>
      </c>
      <c r="T158" s="6">
        <f t="shared" si="19"/>
        <v>-2.2528851484150625E-2</v>
      </c>
    </row>
    <row r="159" spans="1:20" hidden="1" x14ac:dyDescent="0.25">
      <c r="A159" s="4" t="s">
        <v>1829</v>
      </c>
      <c r="B159" s="5" t="s">
        <v>28</v>
      </c>
      <c r="C159" s="5" t="s">
        <v>1823</v>
      </c>
      <c r="D159" s="5">
        <v>80</v>
      </c>
      <c r="E159" s="5">
        <v>80</v>
      </c>
      <c r="F159" s="5">
        <v>80</v>
      </c>
      <c r="G159" s="5">
        <v>80</v>
      </c>
      <c r="H159" s="5">
        <v>80</v>
      </c>
      <c r="I159" s="5">
        <v>80</v>
      </c>
      <c r="J159" s="5">
        <v>80</v>
      </c>
      <c r="K159" s="5">
        <v>1200</v>
      </c>
      <c r="L159" s="5">
        <v>0.96</v>
      </c>
      <c r="M159" s="5">
        <v>1</v>
      </c>
      <c r="N159" s="5">
        <v>1200</v>
      </c>
      <c r="O159" s="5">
        <v>100</v>
      </c>
      <c r="P159" s="5">
        <f t="shared" si="15"/>
        <v>0</v>
      </c>
      <c r="Q159" s="6">
        <f t="shared" si="16"/>
        <v>0</v>
      </c>
      <c r="R159" s="5">
        <f t="shared" si="17"/>
        <v>0</v>
      </c>
      <c r="S159" s="6">
        <f t="shared" si="18"/>
        <v>0</v>
      </c>
      <c r="T159" s="6">
        <f t="shared" si="19"/>
        <v>0</v>
      </c>
    </row>
    <row r="160" spans="1:20" hidden="1" x14ac:dyDescent="0.25">
      <c r="A160" s="4" t="s">
        <v>174</v>
      </c>
      <c r="B160" s="5" t="s">
        <v>16</v>
      </c>
      <c r="C160" s="5" t="s">
        <v>1823</v>
      </c>
      <c r="D160" s="5">
        <v>23.35</v>
      </c>
      <c r="E160" s="5">
        <v>23.75</v>
      </c>
      <c r="F160" s="5">
        <v>24</v>
      </c>
      <c r="G160" s="5">
        <v>22.8</v>
      </c>
      <c r="H160" s="5">
        <v>23.5</v>
      </c>
      <c r="I160" s="5">
        <v>23.25</v>
      </c>
      <c r="J160" s="5">
        <v>23.38</v>
      </c>
      <c r="K160" s="5">
        <v>34361</v>
      </c>
      <c r="L160" s="5">
        <v>8.0299999999999994</v>
      </c>
      <c r="M160" s="5">
        <v>187</v>
      </c>
      <c r="N160" s="5">
        <v>26384</v>
      </c>
      <c r="O160" s="5">
        <v>76.78</v>
      </c>
      <c r="P160" s="5">
        <f t="shared" si="15"/>
        <v>-0.10000000000000142</v>
      </c>
      <c r="Q160" s="6">
        <f t="shared" si="16"/>
        <v>-4.2826552462527376E-3</v>
      </c>
      <c r="R160" s="5">
        <f t="shared" si="17"/>
        <v>1.1999999999999993</v>
      </c>
      <c r="S160" s="6">
        <f t="shared" si="18"/>
        <v>5.1391862955032085E-2</v>
      </c>
      <c r="T160" s="6">
        <f t="shared" si="19"/>
        <v>-5.5437100213219194E-3</v>
      </c>
    </row>
    <row r="161" spans="1:20" hidden="1" x14ac:dyDescent="0.25">
      <c r="A161" s="4" t="s">
        <v>175</v>
      </c>
      <c r="B161" s="5" t="s">
        <v>16</v>
      </c>
      <c r="C161" s="5" t="s">
        <v>1823</v>
      </c>
      <c r="D161" s="5">
        <v>704.4</v>
      </c>
      <c r="E161" s="5">
        <v>702</v>
      </c>
      <c r="F161" s="5">
        <v>703.45</v>
      </c>
      <c r="G161" s="5">
        <v>683.65</v>
      </c>
      <c r="H161" s="5">
        <v>686.55</v>
      </c>
      <c r="I161" s="5">
        <v>694.95</v>
      </c>
      <c r="J161" s="5">
        <v>696.26</v>
      </c>
      <c r="K161" s="5">
        <v>17058681</v>
      </c>
      <c r="L161" s="5">
        <v>118772.6</v>
      </c>
      <c r="M161" s="5">
        <v>248707</v>
      </c>
      <c r="N161" s="5">
        <v>6515579</v>
      </c>
      <c r="O161" s="5">
        <v>38.200000000000003</v>
      </c>
      <c r="P161" s="5">
        <f t="shared" si="15"/>
        <v>-9.4499999999999318</v>
      </c>
      <c r="Q161" s="6">
        <f t="shared" si="16"/>
        <v>-1.341567291311745E-2</v>
      </c>
      <c r="R161" s="5">
        <f t="shared" si="17"/>
        <v>19.800000000000068</v>
      </c>
      <c r="S161" s="6">
        <f t="shared" si="18"/>
        <v>2.8109028960817815E-2</v>
      </c>
      <c r="T161" s="6">
        <f t="shared" si="19"/>
        <v>-1.8821501050626896E-3</v>
      </c>
    </row>
    <row r="162" spans="1:20" x14ac:dyDescent="0.25">
      <c r="A162" s="4" t="s">
        <v>1113</v>
      </c>
      <c r="B162" s="5" t="s">
        <v>16</v>
      </c>
      <c r="C162" s="5" t="s">
        <v>1823</v>
      </c>
      <c r="D162" s="5">
        <v>39.35</v>
      </c>
      <c r="E162" s="5">
        <v>39.049999999999997</v>
      </c>
      <c r="F162" s="5">
        <v>39.049999999999997</v>
      </c>
      <c r="G162" s="5">
        <v>36.6</v>
      </c>
      <c r="H162" s="5">
        <v>36.75</v>
      </c>
      <c r="I162" s="5">
        <v>37.049999999999997</v>
      </c>
      <c r="J162" s="5">
        <v>37.74</v>
      </c>
      <c r="K162" s="5">
        <v>11956447</v>
      </c>
      <c r="L162" s="5">
        <v>4511.9399999999996</v>
      </c>
      <c r="M162" s="5">
        <v>22009</v>
      </c>
      <c r="N162" s="5">
        <v>2131976</v>
      </c>
      <c r="O162" s="5">
        <v>17.829999999999998</v>
      </c>
      <c r="P162" s="5">
        <f t="shared" si="15"/>
        <v>-2.3000000000000043</v>
      </c>
      <c r="Q162" s="6">
        <f t="shared" si="16"/>
        <v>-5.8449809402795531E-2</v>
      </c>
      <c r="R162" s="5">
        <f t="shared" si="17"/>
        <v>2.4499999999999957</v>
      </c>
      <c r="S162" s="6">
        <f t="shared" si="18"/>
        <v>6.2261753494281973E-2</v>
      </c>
      <c r="T162" s="6">
        <f t="shared" si="19"/>
        <v>-1.8187808896211001E-2</v>
      </c>
    </row>
    <row r="163" spans="1:20" hidden="1" x14ac:dyDescent="0.25">
      <c r="A163" s="4" t="s">
        <v>177</v>
      </c>
      <c r="B163" s="5" t="s">
        <v>16</v>
      </c>
      <c r="C163" s="5" t="s">
        <v>1823</v>
      </c>
      <c r="D163" s="5">
        <v>3311.9</v>
      </c>
      <c r="E163" s="5">
        <v>3332.9</v>
      </c>
      <c r="F163" s="5">
        <v>3348.95</v>
      </c>
      <c r="G163" s="5">
        <v>3325.15</v>
      </c>
      <c r="H163" s="5">
        <v>3348.95</v>
      </c>
      <c r="I163" s="5">
        <v>3340.5</v>
      </c>
      <c r="J163" s="5">
        <v>3337.4</v>
      </c>
      <c r="K163" s="5">
        <v>342</v>
      </c>
      <c r="L163" s="5">
        <v>11.41</v>
      </c>
      <c r="M163" s="5">
        <v>52</v>
      </c>
      <c r="N163" s="5">
        <v>207</v>
      </c>
      <c r="O163" s="5">
        <v>60.53</v>
      </c>
      <c r="P163" s="5">
        <f t="shared" si="15"/>
        <v>28.599999999999909</v>
      </c>
      <c r="Q163" s="6">
        <f t="shared" si="16"/>
        <v>8.6355264349768732E-3</v>
      </c>
      <c r="R163" s="5">
        <f t="shared" si="17"/>
        <v>23.799999999999727</v>
      </c>
      <c r="S163" s="6">
        <f t="shared" si="18"/>
        <v>7.1862073130226538E-3</v>
      </c>
      <c r="T163" s="6">
        <f t="shared" si="19"/>
        <v>9.2901292376846873E-4</v>
      </c>
    </row>
    <row r="164" spans="1:20" hidden="1" x14ac:dyDescent="0.25">
      <c r="A164" s="4" t="s">
        <v>178</v>
      </c>
      <c r="B164" s="5" t="s">
        <v>16</v>
      </c>
      <c r="C164" s="5" t="s">
        <v>1823</v>
      </c>
      <c r="D164" s="5">
        <v>1188.81</v>
      </c>
      <c r="E164" s="5">
        <v>1179.03</v>
      </c>
      <c r="F164" s="5">
        <v>1189.99</v>
      </c>
      <c r="G164" s="5">
        <v>1172.46</v>
      </c>
      <c r="H164" s="5">
        <v>1173.71</v>
      </c>
      <c r="I164" s="5">
        <v>1173.43</v>
      </c>
      <c r="J164" s="5">
        <v>1177.46</v>
      </c>
      <c r="K164" s="5">
        <v>311</v>
      </c>
      <c r="L164" s="5">
        <v>3.66</v>
      </c>
      <c r="M164" s="5">
        <v>13</v>
      </c>
      <c r="N164" s="5">
        <v>254</v>
      </c>
      <c r="O164" s="5">
        <v>81.67</v>
      </c>
      <c r="P164" s="5">
        <f t="shared" si="15"/>
        <v>-15.379999999999882</v>
      </c>
      <c r="Q164" s="6">
        <f t="shared" si="16"/>
        <v>-1.2937307054954016E-2</v>
      </c>
      <c r="R164" s="5">
        <f t="shared" si="17"/>
        <v>17.529999999999973</v>
      </c>
      <c r="S164" s="6">
        <f t="shared" si="18"/>
        <v>1.4745838275250018E-2</v>
      </c>
      <c r="T164" s="6">
        <f t="shared" si="19"/>
        <v>-3.41894118869711E-3</v>
      </c>
    </row>
    <row r="165" spans="1:20" hidden="1" x14ac:dyDescent="0.25">
      <c r="A165" s="4" t="s">
        <v>179</v>
      </c>
      <c r="B165" s="5" t="s">
        <v>16</v>
      </c>
      <c r="C165" s="5" t="s">
        <v>1823</v>
      </c>
      <c r="D165" s="5">
        <v>33.9</v>
      </c>
      <c r="E165" s="5">
        <v>33.6</v>
      </c>
      <c r="F165" s="5">
        <v>34.4</v>
      </c>
      <c r="G165" s="5">
        <v>31.65</v>
      </c>
      <c r="H165" s="5">
        <v>33.950000000000003</v>
      </c>
      <c r="I165" s="5">
        <v>33.85</v>
      </c>
      <c r="J165" s="5">
        <v>32.92</v>
      </c>
      <c r="K165" s="5">
        <v>15808</v>
      </c>
      <c r="L165" s="5">
        <v>5.2</v>
      </c>
      <c r="M165" s="5">
        <v>174</v>
      </c>
      <c r="N165" s="5">
        <v>12280</v>
      </c>
      <c r="O165" s="5">
        <v>77.680000000000007</v>
      </c>
      <c r="P165" s="5">
        <f t="shared" si="15"/>
        <v>-4.9999999999997158E-2</v>
      </c>
      <c r="Q165" s="6">
        <f t="shared" si="16"/>
        <v>-1.4749262536872319E-3</v>
      </c>
      <c r="R165" s="5">
        <f t="shared" si="17"/>
        <v>2.75</v>
      </c>
      <c r="S165" s="6">
        <f t="shared" si="18"/>
        <v>8.1120943952802366E-2</v>
      </c>
      <c r="T165" s="6">
        <f t="shared" si="19"/>
        <v>2.7865168539325833E-2</v>
      </c>
    </row>
    <row r="166" spans="1:20" hidden="1" x14ac:dyDescent="0.25">
      <c r="A166" s="4" t="s">
        <v>180</v>
      </c>
      <c r="B166" s="5" t="s">
        <v>16</v>
      </c>
      <c r="C166" s="5" t="s">
        <v>1823</v>
      </c>
      <c r="D166" s="5">
        <v>1.7</v>
      </c>
      <c r="E166" s="5">
        <v>1.75</v>
      </c>
      <c r="F166" s="5">
        <v>1.75</v>
      </c>
      <c r="G166" s="5">
        <v>1.65</v>
      </c>
      <c r="H166" s="5">
        <v>1.7</v>
      </c>
      <c r="I166" s="5">
        <v>1.7</v>
      </c>
      <c r="J166" s="5">
        <v>1.7</v>
      </c>
      <c r="K166" s="5">
        <v>484649</v>
      </c>
      <c r="L166" s="5">
        <v>8.24</v>
      </c>
      <c r="M166" s="5">
        <v>193</v>
      </c>
      <c r="N166" s="5">
        <v>459835</v>
      </c>
      <c r="O166" s="5">
        <v>94.88</v>
      </c>
      <c r="P166" s="5">
        <f t="shared" si="15"/>
        <v>0</v>
      </c>
      <c r="Q166" s="6">
        <f t="shared" si="16"/>
        <v>0</v>
      </c>
      <c r="R166" s="5">
        <f t="shared" si="17"/>
        <v>0.10000000000000009</v>
      </c>
      <c r="S166" s="6">
        <f t="shared" si="18"/>
        <v>5.8823529411764761E-2</v>
      </c>
      <c r="T166" s="6">
        <f t="shared" si="19"/>
        <v>0</v>
      </c>
    </row>
    <row r="167" spans="1:20" hidden="1" x14ac:dyDescent="0.25">
      <c r="A167" s="4" t="s">
        <v>181</v>
      </c>
      <c r="B167" s="5" t="s">
        <v>16</v>
      </c>
      <c r="C167" s="5" t="s">
        <v>1823</v>
      </c>
      <c r="D167" s="5">
        <v>2958.15</v>
      </c>
      <c r="E167" s="5">
        <v>2940</v>
      </c>
      <c r="F167" s="5">
        <v>2965</v>
      </c>
      <c r="G167" s="5">
        <v>2910</v>
      </c>
      <c r="H167" s="5">
        <v>2938</v>
      </c>
      <c r="I167" s="5">
        <v>2941</v>
      </c>
      <c r="J167" s="5">
        <v>2936.36</v>
      </c>
      <c r="K167" s="5">
        <v>439376</v>
      </c>
      <c r="L167" s="5">
        <v>12901.65</v>
      </c>
      <c r="M167" s="5">
        <v>36217</v>
      </c>
      <c r="N167" s="5">
        <v>131044</v>
      </c>
      <c r="O167" s="5">
        <v>29.83</v>
      </c>
      <c r="P167" s="5">
        <f t="shared" si="15"/>
        <v>-17.150000000000091</v>
      </c>
      <c r="Q167" s="6">
        <f t="shared" si="16"/>
        <v>-5.7975423829082669E-3</v>
      </c>
      <c r="R167" s="5">
        <f t="shared" si="17"/>
        <v>55</v>
      </c>
      <c r="S167" s="6">
        <f t="shared" si="18"/>
        <v>1.8592701519530786E-2</v>
      </c>
      <c r="T167" s="6">
        <f t="shared" si="19"/>
        <v>1.5787682885334716E-3</v>
      </c>
    </row>
    <row r="168" spans="1:20" hidden="1" x14ac:dyDescent="0.25">
      <c r="A168" s="4" t="s">
        <v>182</v>
      </c>
      <c r="B168" s="5" t="s">
        <v>16</v>
      </c>
      <c r="C168" s="5" t="s">
        <v>1823</v>
      </c>
      <c r="D168" s="5">
        <v>256.14999999999998</v>
      </c>
      <c r="E168" s="5">
        <v>258.7</v>
      </c>
      <c r="F168" s="5">
        <v>258.7</v>
      </c>
      <c r="G168" s="5">
        <v>246.75</v>
      </c>
      <c r="H168" s="5">
        <v>248.5</v>
      </c>
      <c r="I168" s="5">
        <v>248.55</v>
      </c>
      <c r="J168" s="5">
        <v>251.1</v>
      </c>
      <c r="K168" s="5">
        <v>62458</v>
      </c>
      <c r="L168" s="5">
        <v>156.83000000000001</v>
      </c>
      <c r="M168" s="5">
        <v>2770</v>
      </c>
      <c r="N168" s="5">
        <v>44067</v>
      </c>
      <c r="O168" s="5">
        <v>70.55</v>
      </c>
      <c r="P168" s="5">
        <f t="shared" si="15"/>
        <v>-7.5999999999999659</v>
      </c>
      <c r="Q168" s="6">
        <f t="shared" si="16"/>
        <v>-2.9670115166894266E-2</v>
      </c>
      <c r="R168" s="5">
        <f t="shared" si="17"/>
        <v>11.949999999999989</v>
      </c>
      <c r="S168" s="6">
        <f t="shared" si="18"/>
        <v>4.6652352137419438E-2</v>
      </c>
      <c r="T168" s="6">
        <f t="shared" si="19"/>
        <v>-1.0072084526513213E-2</v>
      </c>
    </row>
    <row r="169" spans="1:20" hidden="1" x14ac:dyDescent="0.25">
      <c r="A169" s="4" t="s">
        <v>183</v>
      </c>
      <c r="B169" s="5" t="s">
        <v>16</v>
      </c>
      <c r="C169" s="5" t="s">
        <v>1823</v>
      </c>
      <c r="D169" s="5">
        <v>403.1</v>
      </c>
      <c r="E169" s="5">
        <v>408.8</v>
      </c>
      <c r="F169" s="5">
        <v>408.8</v>
      </c>
      <c r="G169" s="5">
        <v>395</v>
      </c>
      <c r="H169" s="5">
        <v>397.55</v>
      </c>
      <c r="I169" s="5">
        <v>400</v>
      </c>
      <c r="J169" s="5">
        <v>400.66</v>
      </c>
      <c r="K169" s="5">
        <v>58978</v>
      </c>
      <c r="L169" s="5">
        <v>236.3</v>
      </c>
      <c r="M169" s="5">
        <v>3249</v>
      </c>
      <c r="N169" s="5">
        <v>26980</v>
      </c>
      <c r="O169" s="5">
        <v>45.75</v>
      </c>
      <c r="P169" s="5">
        <f t="shared" si="15"/>
        <v>-3.1000000000000227</v>
      </c>
      <c r="Q169" s="6">
        <f t="shared" si="16"/>
        <v>-7.6903994046142957E-3</v>
      </c>
      <c r="R169" s="5">
        <f t="shared" si="17"/>
        <v>13.800000000000011</v>
      </c>
      <c r="S169" s="6">
        <f t="shared" si="18"/>
        <v>3.4234681220540832E-2</v>
      </c>
      <c r="T169" s="6">
        <f t="shared" si="19"/>
        <v>-1.6371077762619994E-3</v>
      </c>
    </row>
    <row r="170" spans="1:20" hidden="1" x14ac:dyDescent="0.25">
      <c r="A170" s="4" t="s">
        <v>184</v>
      </c>
      <c r="B170" s="5" t="s">
        <v>16</v>
      </c>
      <c r="C170" s="5" t="s">
        <v>1823</v>
      </c>
      <c r="D170" s="5">
        <v>8240.7000000000007</v>
      </c>
      <c r="E170" s="5">
        <v>8221</v>
      </c>
      <c r="F170" s="5">
        <v>8374.9500000000007</v>
      </c>
      <c r="G170" s="5">
        <v>8160.8</v>
      </c>
      <c r="H170" s="5">
        <v>8265</v>
      </c>
      <c r="I170" s="5">
        <v>8255.6</v>
      </c>
      <c r="J170" s="5">
        <v>8284.66</v>
      </c>
      <c r="K170" s="5">
        <v>474853</v>
      </c>
      <c r="L170" s="5">
        <v>39339.96</v>
      </c>
      <c r="M170" s="5">
        <v>60379</v>
      </c>
      <c r="N170" s="5">
        <v>72652</v>
      </c>
      <c r="O170" s="5">
        <v>15.3</v>
      </c>
      <c r="P170" s="5">
        <f t="shared" si="15"/>
        <v>14.899999999999636</v>
      </c>
      <c r="Q170" s="6">
        <f t="shared" si="16"/>
        <v>1.8080988265559521E-3</v>
      </c>
      <c r="R170" s="5">
        <f t="shared" si="17"/>
        <v>214.15000000000055</v>
      </c>
      <c r="S170" s="6">
        <f t="shared" si="18"/>
        <v>2.5986870047447489E-2</v>
      </c>
      <c r="T170" s="6">
        <f t="shared" si="19"/>
        <v>-3.5211064949934789E-3</v>
      </c>
    </row>
    <row r="171" spans="1:20" hidden="1" x14ac:dyDescent="0.25">
      <c r="A171" s="4" t="s">
        <v>185</v>
      </c>
      <c r="B171" s="5" t="s">
        <v>16</v>
      </c>
      <c r="C171" s="5" t="s">
        <v>1823</v>
      </c>
      <c r="D171" s="5">
        <v>7</v>
      </c>
      <c r="E171" s="5">
        <v>7.2</v>
      </c>
      <c r="F171" s="5">
        <v>7.25</v>
      </c>
      <c r="G171" s="5">
        <v>6.95</v>
      </c>
      <c r="H171" s="5">
        <v>7.05</v>
      </c>
      <c r="I171" s="5">
        <v>7.05</v>
      </c>
      <c r="J171" s="5">
        <v>7.13</v>
      </c>
      <c r="K171" s="5">
        <v>1190592</v>
      </c>
      <c r="L171" s="5">
        <v>84.92</v>
      </c>
      <c r="M171" s="5">
        <v>1523</v>
      </c>
      <c r="N171" s="5">
        <v>610514</v>
      </c>
      <c r="O171" s="5">
        <v>51.28</v>
      </c>
      <c r="P171" s="5">
        <f t="shared" si="15"/>
        <v>4.9999999999999822E-2</v>
      </c>
      <c r="Q171" s="6">
        <f t="shared" si="16"/>
        <v>7.1428571428571175E-3</v>
      </c>
      <c r="R171" s="5">
        <f t="shared" si="17"/>
        <v>0.29999999999999982</v>
      </c>
      <c r="S171" s="6">
        <f t="shared" si="18"/>
        <v>4.285714285714283E-2</v>
      </c>
      <c r="T171" s="6">
        <f t="shared" si="19"/>
        <v>-1.1247803163444651E-2</v>
      </c>
    </row>
    <row r="172" spans="1:20" hidden="1" x14ac:dyDescent="0.25">
      <c r="A172" s="4" t="s">
        <v>186</v>
      </c>
      <c r="B172" s="5" t="s">
        <v>16</v>
      </c>
      <c r="C172" s="5" t="s">
        <v>1823</v>
      </c>
      <c r="D172" s="5">
        <v>3688.05</v>
      </c>
      <c r="E172" s="5">
        <v>3680</v>
      </c>
      <c r="F172" s="5">
        <v>3680</v>
      </c>
      <c r="G172" s="5">
        <v>3476</v>
      </c>
      <c r="H172" s="5">
        <v>3492.25</v>
      </c>
      <c r="I172" s="5">
        <v>3501.75</v>
      </c>
      <c r="J172" s="5">
        <v>3551.25</v>
      </c>
      <c r="K172" s="5">
        <v>26257</v>
      </c>
      <c r="L172" s="5">
        <v>932.45</v>
      </c>
      <c r="M172" s="5">
        <v>4004</v>
      </c>
      <c r="N172" s="5">
        <v>14987</v>
      </c>
      <c r="O172" s="5">
        <v>57.08</v>
      </c>
      <c r="P172" s="5">
        <f t="shared" si="15"/>
        <v>-186.30000000000018</v>
      </c>
      <c r="Q172" s="6">
        <f t="shared" si="16"/>
        <v>-5.0514499532273202E-2</v>
      </c>
      <c r="R172" s="5">
        <f t="shared" si="17"/>
        <v>204</v>
      </c>
      <c r="S172" s="6">
        <f t="shared" si="18"/>
        <v>5.5313783706836941E-2</v>
      </c>
      <c r="T172" s="6">
        <f t="shared" si="19"/>
        <v>-1.3809698174399749E-2</v>
      </c>
    </row>
    <row r="173" spans="1:20" hidden="1" x14ac:dyDescent="0.25">
      <c r="A173" s="4" t="s">
        <v>187</v>
      </c>
      <c r="B173" s="5" t="s">
        <v>16</v>
      </c>
      <c r="C173" s="5" t="s">
        <v>1823</v>
      </c>
      <c r="D173" s="5">
        <v>3961.75</v>
      </c>
      <c r="E173" s="5">
        <v>3960</v>
      </c>
      <c r="F173" s="5">
        <v>3998.9</v>
      </c>
      <c r="G173" s="5">
        <v>3890</v>
      </c>
      <c r="H173" s="5">
        <v>3935.1</v>
      </c>
      <c r="I173" s="5">
        <v>3930.9</v>
      </c>
      <c r="J173" s="5">
        <v>3948.28</v>
      </c>
      <c r="K173" s="5">
        <v>2414729</v>
      </c>
      <c r="L173" s="5">
        <v>95340.32</v>
      </c>
      <c r="M173" s="5">
        <v>141223</v>
      </c>
      <c r="N173" s="5">
        <v>426383</v>
      </c>
      <c r="O173" s="5">
        <v>17.66</v>
      </c>
      <c r="P173" s="5">
        <f t="shared" si="15"/>
        <v>-30.849999999999909</v>
      </c>
      <c r="Q173" s="6">
        <f t="shared" si="16"/>
        <v>-7.7869628320817591E-3</v>
      </c>
      <c r="R173" s="5">
        <f t="shared" si="17"/>
        <v>108.90000000000009</v>
      </c>
      <c r="S173" s="6">
        <f t="shared" si="18"/>
        <v>2.748785259039568E-2</v>
      </c>
      <c r="T173" s="6">
        <f t="shared" si="19"/>
        <v>-4.4056325175224299E-3</v>
      </c>
    </row>
    <row r="174" spans="1:20" hidden="1" x14ac:dyDescent="0.25">
      <c r="A174" s="4" t="s">
        <v>188</v>
      </c>
      <c r="B174" s="5" t="s">
        <v>16</v>
      </c>
      <c r="C174" s="5" t="s">
        <v>1823</v>
      </c>
      <c r="D174" s="5">
        <v>56</v>
      </c>
      <c r="E174" s="5">
        <v>55.9</v>
      </c>
      <c r="F174" s="5">
        <v>55.9</v>
      </c>
      <c r="G174" s="5">
        <v>55.1</v>
      </c>
      <c r="H174" s="5">
        <v>55.35</v>
      </c>
      <c r="I174" s="5">
        <v>55.4</v>
      </c>
      <c r="J174" s="5">
        <v>55.37</v>
      </c>
      <c r="K174" s="5">
        <v>18769</v>
      </c>
      <c r="L174" s="5">
        <v>10.39</v>
      </c>
      <c r="M174" s="5">
        <v>145</v>
      </c>
      <c r="N174" s="5">
        <v>17404</v>
      </c>
      <c r="O174" s="5">
        <v>92.73</v>
      </c>
      <c r="P174" s="5">
        <f t="shared" si="15"/>
        <v>-0.60000000000000142</v>
      </c>
      <c r="Q174" s="6">
        <f t="shared" si="16"/>
        <v>-1.071428571428574E-2</v>
      </c>
      <c r="R174" s="5">
        <f t="shared" si="17"/>
        <v>0.79999999999999716</v>
      </c>
      <c r="S174" s="6">
        <f t="shared" si="18"/>
        <v>1.4285714285714235E-2</v>
      </c>
      <c r="T174" s="6">
        <f t="shared" si="19"/>
        <v>5.3981106612687607E-4</v>
      </c>
    </row>
    <row r="175" spans="1:20" hidden="1" x14ac:dyDescent="0.25">
      <c r="A175" s="4" t="s">
        <v>189</v>
      </c>
      <c r="B175" s="5" t="s">
        <v>16</v>
      </c>
      <c r="C175" s="5" t="s">
        <v>1823</v>
      </c>
      <c r="D175" s="5">
        <v>314.85000000000002</v>
      </c>
      <c r="E175" s="5">
        <v>316</v>
      </c>
      <c r="F175" s="5">
        <v>331</v>
      </c>
      <c r="G175" s="5">
        <v>315.2</v>
      </c>
      <c r="H175" s="5">
        <v>319</v>
      </c>
      <c r="I175" s="5">
        <v>319.25</v>
      </c>
      <c r="J175" s="5">
        <v>321.26</v>
      </c>
      <c r="K175" s="5">
        <v>79933</v>
      </c>
      <c r="L175" s="5">
        <v>256.79000000000002</v>
      </c>
      <c r="M175" s="5">
        <v>4185</v>
      </c>
      <c r="N175" s="5">
        <v>47486</v>
      </c>
      <c r="O175" s="5">
        <v>59.41</v>
      </c>
      <c r="P175" s="5">
        <f t="shared" si="15"/>
        <v>4.3999999999999773</v>
      </c>
      <c r="Q175" s="6">
        <f t="shared" si="16"/>
        <v>1.3974908686676122E-2</v>
      </c>
      <c r="R175" s="5">
        <f t="shared" si="17"/>
        <v>15.800000000000011</v>
      </c>
      <c r="S175" s="6">
        <f t="shared" si="18"/>
        <v>5.0182626647610008E-2</v>
      </c>
      <c r="T175" s="6">
        <f t="shared" si="19"/>
        <v>-6.2741425728666455E-3</v>
      </c>
    </row>
    <row r="176" spans="1:20" hidden="1" x14ac:dyDescent="0.25">
      <c r="A176" s="4" t="s">
        <v>190</v>
      </c>
      <c r="B176" s="5" t="s">
        <v>16</v>
      </c>
      <c r="C176" s="5" t="s">
        <v>1823</v>
      </c>
      <c r="D176" s="5">
        <v>96.2</v>
      </c>
      <c r="E176" s="5">
        <v>98</v>
      </c>
      <c r="F176" s="5">
        <v>98.45</v>
      </c>
      <c r="G176" s="5">
        <v>91.55</v>
      </c>
      <c r="H176" s="5">
        <v>97.95</v>
      </c>
      <c r="I176" s="5">
        <v>97.95</v>
      </c>
      <c r="J176" s="5">
        <v>94.5</v>
      </c>
      <c r="K176" s="5">
        <v>375</v>
      </c>
      <c r="L176" s="5">
        <v>0.35</v>
      </c>
      <c r="M176" s="5">
        <v>8</v>
      </c>
      <c r="N176" s="5">
        <v>312</v>
      </c>
      <c r="O176" s="5">
        <v>83.2</v>
      </c>
      <c r="P176" s="5">
        <f t="shared" si="15"/>
        <v>1.75</v>
      </c>
      <c r="Q176" s="6">
        <f t="shared" si="16"/>
        <v>1.8191268191268192E-2</v>
      </c>
      <c r="R176" s="5">
        <f t="shared" si="17"/>
        <v>6.9000000000000057</v>
      </c>
      <c r="S176" s="6">
        <f t="shared" si="18"/>
        <v>7.1725571725571785E-2</v>
      </c>
      <c r="T176" s="6">
        <f t="shared" si="19"/>
        <v>3.5755926933540648E-2</v>
      </c>
    </row>
    <row r="177" spans="1:20" hidden="1" x14ac:dyDescent="0.25">
      <c r="A177" s="4" t="s">
        <v>191</v>
      </c>
      <c r="B177" s="5" t="s">
        <v>16</v>
      </c>
      <c r="C177" s="5" t="s">
        <v>1823</v>
      </c>
      <c r="D177" s="5">
        <v>29.75</v>
      </c>
      <c r="E177" s="5">
        <v>28.45</v>
      </c>
      <c r="F177" s="5">
        <v>30.5</v>
      </c>
      <c r="G177" s="5">
        <v>28.3</v>
      </c>
      <c r="H177" s="5">
        <v>29.55</v>
      </c>
      <c r="I177" s="5">
        <v>29.7</v>
      </c>
      <c r="J177" s="5">
        <v>29.13</v>
      </c>
      <c r="K177" s="5">
        <v>39361</v>
      </c>
      <c r="L177" s="5">
        <v>11.47</v>
      </c>
      <c r="M177" s="5">
        <v>269</v>
      </c>
      <c r="N177" s="5">
        <v>20060</v>
      </c>
      <c r="O177" s="5">
        <v>50.96</v>
      </c>
      <c r="P177" s="5">
        <f t="shared" si="15"/>
        <v>-5.0000000000000711E-2</v>
      </c>
      <c r="Q177" s="6">
        <f t="shared" si="16"/>
        <v>-1.680672268907587E-3</v>
      </c>
      <c r="R177" s="5">
        <f t="shared" si="17"/>
        <v>2.1999999999999993</v>
      </c>
      <c r="S177" s="6">
        <f t="shared" si="18"/>
        <v>7.3949579831932746E-2</v>
      </c>
      <c r="T177" s="6">
        <f t="shared" si="19"/>
        <v>1.949551090209492E-2</v>
      </c>
    </row>
    <row r="178" spans="1:20" x14ac:dyDescent="0.25">
      <c r="A178" s="4" t="s">
        <v>877</v>
      </c>
      <c r="B178" s="5" t="s">
        <v>16</v>
      </c>
      <c r="C178" s="5" t="s">
        <v>1823</v>
      </c>
      <c r="D178" s="5">
        <v>185.05</v>
      </c>
      <c r="E178" s="5">
        <v>184.9</v>
      </c>
      <c r="F178" s="5">
        <v>186.8</v>
      </c>
      <c r="G178" s="5">
        <v>180.5</v>
      </c>
      <c r="H178" s="5">
        <v>183</v>
      </c>
      <c r="I178" s="5">
        <v>183.7</v>
      </c>
      <c r="J178" s="5">
        <v>184.8</v>
      </c>
      <c r="K178" s="5">
        <v>143872</v>
      </c>
      <c r="L178" s="5">
        <v>265.88</v>
      </c>
      <c r="M178" s="5">
        <v>4003</v>
      </c>
      <c r="N178" s="5">
        <v>26736</v>
      </c>
      <c r="O178" s="5">
        <v>18.579999999999998</v>
      </c>
      <c r="P178" s="5">
        <f t="shared" si="15"/>
        <v>-1.3500000000000227</v>
      </c>
      <c r="Q178" s="6">
        <f t="shared" si="16"/>
        <v>-7.2953255876791285E-3</v>
      </c>
      <c r="R178" s="5">
        <f t="shared" si="17"/>
        <v>6.3000000000000114</v>
      </c>
      <c r="S178" s="6">
        <f t="shared" si="18"/>
        <v>3.4044852742502088E-2</v>
      </c>
      <c r="T178" s="6">
        <f t="shared" si="19"/>
        <v>-5.9790732436473572E-3</v>
      </c>
    </row>
    <row r="179" spans="1:20" hidden="1" x14ac:dyDescent="0.25">
      <c r="A179" s="4" t="s">
        <v>193</v>
      </c>
      <c r="B179" s="5" t="s">
        <v>16</v>
      </c>
      <c r="C179" s="5" t="s">
        <v>1823</v>
      </c>
      <c r="D179" s="5">
        <v>0.55000000000000004</v>
      </c>
      <c r="E179" s="5">
        <v>0.55000000000000004</v>
      </c>
      <c r="F179" s="5">
        <v>0.6</v>
      </c>
      <c r="G179" s="5">
        <v>0.5</v>
      </c>
      <c r="H179" s="5">
        <v>0.55000000000000004</v>
      </c>
      <c r="I179" s="5">
        <v>0.55000000000000004</v>
      </c>
      <c r="J179" s="5">
        <v>0.54</v>
      </c>
      <c r="K179" s="5">
        <v>1701389</v>
      </c>
      <c r="L179" s="5">
        <v>9.27</v>
      </c>
      <c r="M179" s="5">
        <v>254</v>
      </c>
      <c r="N179" s="5">
        <v>1514481</v>
      </c>
      <c r="O179" s="5">
        <v>89.01</v>
      </c>
      <c r="P179" s="5">
        <f t="shared" si="15"/>
        <v>0</v>
      </c>
      <c r="Q179" s="6">
        <f t="shared" si="16"/>
        <v>0</v>
      </c>
      <c r="R179" s="5">
        <f t="shared" si="17"/>
        <v>9.9999999999999978E-2</v>
      </c>
      <c r="S179" s="6">
        <f t="shared" si="18"/>
        <v>0.18181818181818177</v>
      </c>
      <c r="T179" s="6">
        <f t="shared" si="19"/>
        <v>1.8181818181818195E-2</v>
      </c>
    </row>
    <row r="180" spans="1:20" x14ac:dyDescent="0.25">
      <c r="A180" s="4" t="s">
        <v>1205</v>
      </c>
      <c r="B180" s="5" t="s">
        <v>16</v>
      </c>
      <c r="C180" s="5" t="s">
        <v>1823</v>
      </c>
      <c r="D180" s="5">
        <v>147.05000000000001</v>
      </c>
      <c r="E180" s="5">
        <v>147.05000000000001</v>
      </c>
      <c r="F180" s="5">
        <v>164.85</v>
      </c>
      <c r="G180" s="5">
        <v>147.05000000000001</v>
      </c>
      <c r="H180" s="5">
        <v>153.1</v>
      </c>
      <c r="I180" s="5">
        <v>152.75</v>
      </c>
      <c r="J180" s="5">
        <v>159.01</v>
      </c>
      <c r="K180" s="5">
        <v>273792</v>
      </c>
      <c r="L180" s="5">
        <v>435.35</v>
      </c>
      <c r="M180" s="5">
        <v>8722</v>
      </c>
      <c r="N180" s="5">
        <v>51142</v>
      </c>
      <c r="O180" s="5">
        <v>18.68</v>
      </c>
      <c r="P180" s="5">
        <f t="shared" si="15"/>
        <v>5.6999999999999886</v>
      </c>
      <c r="Q180" s="6">
        <f t="shared" si="16"/>
        <v>3.8762325739544294E-2</v>
      </c>
      <c r="R180" s="5">
        <f t="shared" si="17"/>
        <v>17.799999999999983</v>
      </c>
      <c r="S180" s="6">
        <f t="shared" si="18"/>
        <v>0.12104726283577003</v>
      </c>
      <c r="T180" s="6">
        <f t="shared" si="19"/>
        <v>-4.0935098904691783E-2</v>
      </c>
    </row>
    <row r="181" spans="1:20" hidden="1" x14ac:dyDescent="0.25">
      <c r="A181" s="4" t="s">
        <v>195</v>
      </c>
      <c r="B181" s="5" t="s">
        <v>16</v>
      </c>
      <c r="C181" s="5" t="s">
        <v>1823</v>
      </c>
      <c r="D181" s="5">
        <v>41</v>
      </c>
      <c r="E181" s="5">
        <v>43</v>
      </c>
      <c r="F181" s="5">
        <v>43</v>
      </c>
      <c r="G181" s="5">
        <v>39</v>
      </c>
      <c r="H181" s="5">
        <v>39.6</v>
      </c>
      <c r="I181" s="5">
        <v>40</v>
      </c>
      <c r="J181" s="5">
        <v>40.340000000000003</v>
      </c>
      <c r="K181" s="5">
        <v>10529</v>
      </c>
      <c r="L181" s="5">
        <v>4.25</v>
      </c>
      <c r="M181" s="5">
        <v>243</v>
      </c>
      <c r="N181" s="5">
        <v>7443</v>
      </c>
      <c r="O181" s="5">
        <v>70.69</v>
      </c>
      <c r="P181" s="5">
        <f t="shared" si="15"/>
        <v>-1</v>
      </c>
      <c r="Q181" s="6">
        <f t="shared" si="16"/>
        <v>-2.4390243902439025E-2</v>
      </c>
      <c r="R181" s="5">
        <f t="shared" si="17"/>
        <v>4</v>
      </c>
      <c r="S181" s="6">
        <f t="shared" si="18"/>
        <v>9.7560975609756101E-2</v>
      </c>
      <c r="T181" s="6">
        <f t="shared" si="19"/>
        <v>-8.2424242424243253E-3</v>
      </c>
    </row>
    <row r="182" spans="1:20" x14ac:dyDescent="0.25">
      <c r="A182" s="4" t="s">
        <v>478</v>
      </c>
      <c r="B182" s="5" t="s">
        <v>16</v>
      </c>
      <c r="C182" s="5" t="s">
        <v>1823</v>
      </c>
      <c r="D182" s="5">
        <v>103.7</v>
      </c>
      <c r="E182" s="5">
        <v>103</v>
      </c>
      <c r="F182" s="5">
        <v>104.2</v>
      </c>
      <c r="G182" s="5">
        <v>99.7</v>
      </c>
      <c r="H182" s="5">
        <v>101.6</v>
      </c>
      <c r="I182" s="5">
        <v>101.8</v>
      </c>
      <c r="J182" s="5">
        <v>101.94</v>
      </c>
      <c r="K182" s="5">
        <v>3639385</v>
      </c>
      <c r="L182" s="5">
        <v>3709.98</v>
      </c>
      <c r="M182" s="5">
        <v>14093</v>
      </c>
      <c r="N182" s="5">
        <v>698317</v>
      </c>
      <c r="O182" s="5">
        <v>19.190000000000001</v>
      </c>
      <c r="P182" s="5">
        <f t="shared" si="15"/>
        <v>-1.9000000000000057</v>
      </c>
      <c r="Q182" s="6">
        <f t="shared" si="16"/>
        <v>-1.8322082931533323E-2</v>
      </c>
      <c r="R182" s="5">
        <f t="shared" si="17"/>
        <v>4.5</v>
      </c>
      <c r="S182" s="6">
        <f t="shared" si="18"/>
        <v>4.3394406943105111E-2</v>
      </c>
      <c r="T182" s="6">
        <f t="shared" si="19"/>
        <v>-1.3701981893809697E-3</v>
      </c>
    </row>
    <row r="183" spans="1:20" hidden="1" x14ac:dyDescent="0.25">
      <c r="A183" s="4" t="s">
        <v>197</v>
      </c>
      <c r="B183" s="5" t="s">
        <v>16</v>
      </c>
      <c r="C183" s="5" t="s">
        <v>1823</v>
      </c>
      <c r="D183" s="5">
        <v>39.15</v>
      </c>
      <c r="E183" s="5">
        <v>39.9</v>
      </c>
      <c r="F183" s="5">
        <v>40.5</v>
      </c>
      <c r="G183" s="5">
        <v>39.9</v>
      </c>
      <c r="H183" s="5">
        <v>40</v>
      </c>
      <c r="I183" s="5">
        <v>40</v>
      </c>
      <c r="J183" s="5">
        <v>40.11</v>
      </c>
      <c r="K183" s="5">
        <v>925</v>
      </c>
      <c r="L183" s="5">
        <v>0.37</v>
      </c>
      <c r="M183" s="5">
        <v>16</v>
      </c>
      <c r="N183" s="5">
        <v>636</v>
      </c>
      <c r="O183" s="5">
        <v>68.760000000000005</v>
      </c>
      <c r="P183" s="5">
        <f t="shared" si="15"/>
        <v>0.85000000000000142</v>
      </c>
      <c r="Q183" s="6">
        <f t="shared" si="16"/>
        <v>2.1711366538952784E-2</v>
      </c>
      <c r="R183" s="5">
        <f t="shared" si="17"/>
        <v>0.60000000000000142</v>
      </c>
      <c r="S183" s="6">
        <f t="shared" si="18"/>
        <v>1.5325670498084329E-2</v>
      </c>
      <c r="T183" s="6">
        <f t="shared" si="19"/>
        <v>-2.7448533998752195E-3</v>
      </c>
    </row>
    <row r="184" spans="1:20" hidden="1" x14ac:dyDescent="0.25">
      <c r="A184" s="4" t="s">
        <v>198</v>
      </c>
      <c r="B184" s="5" t="s">
        <v>16</v>
      </c>
      <c r="C184" s="5" t="s">
        <v>1823</v>
      </c>
      <c r="D184" s="5">
        <v>1228.7</v>
      </c>
      <c r="E184" s="5">
        <v>1229</v>
      </c>
      <c r="F184" s="5">
        <v>1250</v>
      </c>
      <c r="G184" s="5">
        <v>1206.1500000000001</v>
      </c>
      <c r="H184" s="5">
        <v>1220</v>
      </c>
      <c r="I184" s="5">
        <v>1231.4000000000001</v>
      </c>
      <c r="J184" s="5">
        <v>1233.21</v>
      </c>
      <c r="K184" s="5">
        <v>127</v>
      </c>
      <c r="L184" s="5">
        <v>1.57</v>
      </c>
      <c r="M184" s="5">
        <v>32</v>
      </c>
      <c r="N184" s="5">
        <v>59</v>
      </c>
      <c r="O184" s="5">
        <v>46.46</v>
      </c>
      <c r="P184" s="5">
        <f t="shared" si="15"/>
        <v>2.7000000000000455</v>
      </c>
      <c r="Q184" s="6">
        <f t="shared" si="16"/>
        <v>2.1974444534874626E-3</v>
      </c>
      <c r="R184" s="5">
        <f t="shared" si="17"/>
        <v>43.849999999999909</v>
      </c>
      <c r="S184" s="6">
        <f t="shared" si="18"/>
        <v>3.568812566126793E-2</v>
      </c>
      <c r="T184" s="6">
        <f t="shared" si="19"/>
        <v>-1.4725773153938802E-3</v>
      </c>
    </row>
    <row r="185" spans="1:20" hidden="1" x14ac:dyDescent="0.25">
      <c r="A185" s="4" t="s">
        <v>199</v>
      </c>
      <c r="B185" s="5" t="s">
        <v>16</v>
      </c>
      <c r="C185" s="5" t="s">
        <v>1823</v>
      </c>
      <c r="D185" s="5">
        <v>103.35</v>
      </c>
      <c r="E185" s="5">
        <v>105.85</v>
      </c>
      <c r="F185" s="5">
        <v>107.8</v>
      </c>
      <c r="G185" s="5">
        <v>101.6</v>
      </c>
      <c r="H185" s="5">
        <v>103.55</v>
      </c>
      <c r="I185" s="5">
        <v>103.7</v>
      </c>
      <c r="J185" s="5">
        <v>105.06</v>
      </c>
      <c r="K185" s="5">
        <v>62767</v>
      </c>
      <c r="L185" s="5">
        <v>65.94</v>
      </c>
      <c r="M185" s="5">
        <v>1655</v>
      </c>
      <c r="N185" s="5">
        <v>21783</v>
      </c>
      <c r="O185" s="5">
        <v>34.700000000000003</v>
      </c>
      <c r="P185" s="5">
        <f t="shared" si="15"/>
        <v>0.35000000000000853</v>
      </c>
      <c r="Q185" s="6">
        <f t="shared" si="16"/>
        <v>3.3865505563619599E-3</v>
      </c>
      <c r="R185" s="5">
        <f t="shared" si="17"/>
        <v>6.2000000000000028</v>
      </c>
      <c r="S185" s="6">
        <f t="shared" si="18"/>
        <v>5.9990324141267572E-2</v>
      </c>
      <c r="T185" s="6">
        <f t="shared" si="19"/>
        <v>-1.2984843060031025E-2</v>
      </c>
    </row>
    <row r="186" spans="1:20" x14ac:dyDescent="0.25">
      <c r="A186" s="4" t="s">
        <v>390</v>
      </c>
      <c r="B186" s="5" t="s">
        <v>16</v>
      </c>
      <c r="C186" s="5" t="s">
        <v>1823</v>
      </c>
      <c r="D186" s="5">
        <v>219.35</v>
      </c>
      <c r="E186" s="5">
        <v>219.1</v>
      </c>
      <c r="F186" s="5">
        <v>228.7</v>
      </c>
      <c r="G186" s="5">
        <v>217</v>
      </c>
      <c r="H186" s="5">
        <v>222.7</v>
      </c>
      <c r="I186" s="5">
        <v>224</v>
      </c>
      <c r="J186" s="5">
        <v>223.83</v>
      </c>
      <c r="K186" s="5">
        <v>1018187</v>
      </c>
      <c r="L186" s="5">
        <v>2279</v>
      </c>
      <c r="M186" s="5">
        <v>13921</v>
      </c>
      <c r="N186" s="5">
        <v>196628</v>
      </c>
      <c r="O186" s="5">
        <v>19.309999999999999</v>
      </c>
      <c r="P186" s="5">
        <f t="shared" si="15"/>
        <v>4.6500000000000057</v>
      </c>
      <c r="Q186" s="6">
        <f t="shared" si="16"/>
        <v>2.1198997036699366E-2</v>
      </c>
      <c r="R186" s="5">
        <f t="shared" si="17"/>
        <v>11.699999999999989</v>
      </c>
      <c r="S186" s="6">
        <f t="shared" si="18"/>
        <v>5.3339411898791836E-2</v>
      </c>
      <c r="T186" s="6">
        <f t="shared" si="19"/>
        <v>7.6507650765070886E-4</v>
      </c>
    </row>
    <row r="187" spans="1:20" hidden="1" x14ac:dyDescent="0.25">
      <c r="A187" s="4" t="s">
        <v>201</v>
      </c>
      <c r="B187" s="5" t="s">
        <v>16</v>
      </c>
      <c r="C187" s="5" t="s">
        <v>1823</v>
      </c>
      <c r="D187" s="5">
        <v>29.25</v>
      </c>
      <c r="E187" s="5">
        <v>29.2</v>
      </c>
      <c r="F187" s="5">
        <v>29.7</v>
      </c>
      <c r="G187" s="5">
        <v>28.6</v>
      </c>
      <c r="H187" s="5">
        <v>28.65</v>
      </c>
      <c r="I187" s="5">
        <v>28.75</v>
      </c>
      <c r="J187" s="5">
        <v>29.3</v>
      </c>
      <c r="K187" s="5">
        <v>6708</v>
      </c>
      <c r="L187" s="5">
        <v>1.97</v>
      </c>
      <c r="M187" s="5">
        <v>53</v>
      </c>
      <c r="N187" s="5">
        <v>5807</v>
      </c>
      <c r="O187" s="5">
        <v>86.57</v>
      </c>
      <c r="P187" s="5">
        <f t="shared" si="15"/>
        <v>-0.5</v>
      </c>
      <c r="Q187" s="6">
        <f t="shared" si="16"/>
        <v>-1.7094017094017096E-2</v>
      </c>
      <c r="R187" s="5">
        <f t="shared" si="17"/>
        <v>1.0999999999999979</v>
      </c>
      <c r="S187" s="6">
        <f t="shared" si="18"/>
        <v>3.7606837606837536E-2</v>
      </c>
      <c r="T187" s="6">
        <f t="shared" si="19"/>
        <v>-1.8924731182795723E-2</v>
      </c>
    </row>
    <row r="188" spans="1:20" x14ac:dyDescent="0.25">
      <c r="A188" s="4" t="s">
        <v>749</v>
      </c>
      <c r="B188" s="5" t="s">
        <v>16</v>
      </c>
      <c r="C188" s="5" t="s">
        <v>1823</v>
      </c>
      <c r="D188" s="5">
        <v>84.25</v>
      </c>
      <c r="E188" s="5">
        <v>84.55</v>
      </c>
      <c r="F188" s="5">
        <v>85.7</v>
      </c>
      <c r="G188" s="5">
        <v>83</v>
      </c>
      <c r="H188" s="5">
        <v>84.1</v>
      </c>
      <c r="I188" s="5">
        <v>84.25</v>
      </c>
      <c r="J188" s="5">
        <v>84.2</v>
      </c>
      <c r="K188" s="5">
        <v>1602072</v>
      </c>
      <c r="L188" s="5">
        <v>1348.87</v>
      </c>
      <c r="M188" s="5">
        <v>15681</v>
      </c>
      <c r="N188" s="5">
        <v>313049</v>
      </c>
      <c r="O188" s="5">
        <v>19.54</v>
      </c>
      <c r="P188" s="5">
        <f t="shared" si="15"/>
        <v>0</v>
      </c>
      <c r="Q188" s="6">
        <f t="shared" si="16"/>
        <v>0</v>
      </c>
      <c r="R188" s="5">
        <f t="shared" si="17"/>
        <v>2.7000000000000028</v>
      </c>
      <c r="S188" s="6">
        <f t="shared" si="18"/>
        <v>3.2047477744807158E-2</v>
      </c>
      <c r="T188" s="6">
        <f t="shared" si="19"/>
        <v>5.9259259259255887E-4</v>
      </c>
    </row>
    <row r="189" spans="1:20" hidden="1" x14ac:dyDescent="0.25">
      <c r="A189" s="4" t="s">
        <v>203</v>
      </c>
      <c r="B189" s="5" t="s">
        <v>16</v>
      </c>
      <c r="C189" s="5" t="s">
        <v>1823</v>
      </c>
      <c r="D189" s="5">
        <v>3087.72</v>
      </c>
      <c r="E189" s="5">
        <v>3080</v>
      </c>
      <c r="F189" s="5">
        <v>3080</v>
      </c>
      <c r="G189" s="5">
        <v>3010.1</v>
      </c>
      <c r="H189" s="5">
        <v>3017.5</v>
      </c>
      <c r="I189" s="5">
        <v>3017.75</v>
      </c>
      <c r="J189" s="5">
        <v>3034.28</v>
      </c>
      <c r="K189" s="5">
        <v>13660</v>
      </c>
      <c r="L189" s="5">
        <v>414.48</v>
      </c>
      <c r="M189" s="5">
        <v>1400</v>
      </c>
      <c r="N189" s="5">
        <v>6702</v>
      </c>
      <c r="O189" s="5">
        <v>49.06</v>
      </c>
      <c r="P189" s="5">
        <f t="shared" si="15"/>
        <v>-69.9699999999998</v>
      </c>
      <c r="Q189" s="6">
        <f t="shared" si="16"/>
        <v>-2.2660733486196873E-2</v>
      </c>
      <c r="R189" s="5">
        <f t="shared" si="17"/>
        <v>69.900000000000091</v>
      </c>
      <c r="S189" s="6">
        <f t="shared" si="18"/>
        <v>2.2638063036803886E-2</v>
      </c>
      <c r="T189" s="6">
        <f t="shared" si="19"/>
        <v>-5.4250749722059921E-3</v>
      </c>
    </row>
    <row r="190" spans="1:20" x14ac:dyDescent="0.25">
      <c r="A190" s="4" t="s">
        <v>260</v>
      </c>
      <c r="B190" s="5" t="s">
        <v>16</v>
      </c>
      <c r="C190" s="5" t="s">
        <v>1823</v>
      </c>
      <c r="D190" s="5">
        <v>461.3</v>
      </c>
      <c r="E190" s="5">
        <v>458</v>
      </c>
      <c r="F190" s="5">
        <v>473.4</v>
      </c>
      <c r="G190" s="5">
        <v>448.45</v>
      </c>
      <c r="H190" s="5">
        <v>462.7</v>
      </c>
      <c r="I190" s="5">
        <v>465.2</v>
      </c>
      <c r="J190" s="5">
        <v>462.5</v>
      </c>
      <c r="K190" s="5">
        <v>33159147</v>
      </c>
      <c r="L190" s="5">
        <v>153360.38</v>
      </c>
      <c r="M190" s="5">
        <v>336220</v>
      </c>
      <c r="N190" s="5">
        <v>6496304</v>
      </c>
      <c r="O190" s="5">
        <v>19.59</v>
      </c>
      <c r="P190" s="5">
        <f t="shared" si="15"/>
        <v>3.8999999999999773</v>
      </c>
      <c r="Q190" s="6">
        <f t="shared" si="16"/>
        <v>8.454368090179876E-3</v>
      </c>
      <c r="R190" s="5">
        <f t="shared" si="17"/>
        <v>24.949999999999989</v>
      </c>
      <c r="S190" s="6">
        <f t="shared" si="18"/>
        <v>5.4086277910253604E-2</v>
      </c>
      <c r="T190" s="6">
        <f t="shared" si="19"/>
        <v>5.8534999051515976E-3</v>
      </c>
    </row>
    <row r="191" spans="1:20" hidden="1" x14ac:dyDescent="0.25">
      <c r="A191" s="4" t="s">
        <v>205</v>
      </c>
      <c r="B191" s="5" t="s">
        <v>28</v>
      </c>
      <c r="C191" s="5" t="s">
        <v>1823</v>
      </c>
      <c r="D191" s="5">
        <v>1.75</v>
      </c>
      <c r="E191" s="5">
        <v>1.7</v>
      </c>
      <c r="F191" s="5">
        <v>1.7</v>
      </c>
      <c r="G191" s="5">
        <v>1.7</v>
      </c>
      <c r="H191" s="5">
        <v>1.7</v>
      </c>
      <c r="I191" s="5">
        <v>1.7</v>
      </c>
      <c r="J191" s="5">
        <v>1.7</v>
      </c>
      <c r="K191" s="5">
        <v>1000</v>
      </c>
      <c r="L191" s="5">
        <v>0.02</v>
      </c>
      <c r="M191" s="5">
        <v>1</v>
      </c>
      <c r="N191" s="5">
        <v>1000</v>
      </c>
      <c r="O191" s="5">
        <v>100</v>
      </c>
      <c r="P191" s="5">
        <f t="shared" si="15"/>
        <v>-5.0000000000000044E-2</v>
      </c>
      <c r="Q191" s="6">
        <f t="shared" si="16"/>
        <v>-2.8571428571428598E-2</v>
      </c>
      <c r="R191" s="5">
        <f t="shared" si="17"/>
        <v>0</v>
      </c>
      <c r="S191" s="6">
        <f t="shared" si="18"/>
        <v>0</v>
      </c>
      <c r="T191" s="6">
        <f t="shared" si="19"/>
        <v>0</v>
      </c>
    </row>
    <row r="192" spans="1:20" hidden="1" x14ac:dyDescent="0.25">
      <c r="A192" s="4" t="s">
        <v>206</v>
      </c>
      <c r="B192" s="5" t="s">
        <v>16</v>
      </c>
      <c r="C192" s="5" t="s">
        <v>1823</v>
      </c>
      <c r="D192" s="5">
        <v>76.900000000000006</v>
      </c>
      <c r="E192" s="5">
        <v>75.7</v>
      </c>
      <c r="F192" s="5">
        <v>78.95</v>
      </c>
      <c r="G192" s="5">
        <v>73.7</v>
      </c>
      <c r="H192" s="5">
        <v>77</v>
      </c>
      <c r="I192" s="5">
        <v>76.650000000000006</v>
      </c>
      <c r="J192" s="5">
        <v>76.62</v>
      </c>
      <c r="K192" s="5">
        <v>7682</v>
      </c>
      <c r="L192" s="5">
        <v>5.89</v>
      </c>
      <c r="M192" s="5">
        <v>195</v>
      </c>
      <c r="N192" s="5">
        <v>4620</v>
      </c>
      <c r="O192" s="5">
        <v>60.14</v>
      </c>
      <c r="P192" s="5">
        <f t="shared" si="15"/>
        <v>-0.25</v>
      </c>
      <c r="Q192" s="6">
        <f t="shared" si="16"/>
        <v>-3.2509752925877762E-3</v>
      </c>
      <c r="R192" s="5">
        <f t="shared" si="17"/>
        <v>5.25</v>
      </c>
      <c r="S192" s="6">
        <f t="shared" si="18"/>
        <v>6.8270481144343295E-2</v>
      </c>
      <c r="T192" s="6">
        <f t="shared" si="19"/>
        <v>3.9344262295083456E-4</v>
      </c>
    </row>
    <row r="193" spans="1:20" hidden="1" x14ac:dyDescent="0.25">
      <c r="A193" s="4" t="s">
        <v>207</v>
      </c>
      <c r="B193" s="5" t="s">
        <v>39</v>
      </c>
      <c r="C193" s="5" t="s">
        <v>1823</v>
      </c>
      <c r="D193" s="5">
        <v>2.2000000000000002</v>
      </c>
      <c r="E193" s="5">
        <v>2.25</v>
      </c>
      <c r="F193" s="5">
        <v>2.25</v>
      </c>
      <c r="G193" s="5">
        <v>2.1</v>
      </c>
      <c r="H193" s="5">
        <v>2.1</v>
      </c>
      <c r="I193" s="5">
        <v>2.1</v>
      </c>
      <c r="J193" s="5">
        <v>2.14</v>
      </c>
      <c r="K193" s="5">
        <v>2554</v>
      </c>
      <c r="L193" s="5">
        <v>0.05</v>
      </c>
      <c r="M193" s="5">
        <v>17</v>
      </c>
      <c r="N193" s="5" t="s">
        <v>25</v>
      </c>
      <c r="O193" s="5" t="s">
        <v>25</v>
      </c>
      <c r="P193" s="5">
        <f t="shared" si="15"/>
        <v>-0.10000000000000009</v>
      </c>
      <c r="Q193" s="6">
        <f t="shared" si="16"/>
        <v>-4.5454545454545491E-2</v>
      </c>
      <c r="R193" s="5">
        <f t="shared" si="17"/>
        <v>0.14999999999999991</v>
      </c>
      <c r="S193" s="6">
        <f t="shared" si="18"/>
        <v>6.8181818181818135E-2</v>
      </c>
      <c r="T193" s="6">
        <f t="shared" si="19"/>
        <v>-1.8390804597701167E-2</v>
      </c>
    </row>
    <row r="194" spans="1:20" hidden="1" x14ac:dyDescent="0.25">
      <c r="A194" s="4" t="s">
        <v>208</v>
      </c>
      <c r="B194" s="5" t="s">
        <v>16</v>
      </c>
      <c r="C194" s="5" t="s">
        <v>1823</v>
      </c>
      <c r="D194" s="5">
        <v>1051.8499999999999</v>
      </c>
      <c r="E194" s="5">
        <v>1061</v>
      </c>
      <c r="F194" s="5">
        <v>1062.05</v>
      </c>
      <c r="G194" s="5">
        <v>1020</v>
      </c>
      <c r="H194" s="5">
        <v>1022.05</v>
      </c>
      <c r="I194" s="5">
        <v>1023.15</v>
      </c>
      <c r="J194" s="5">
        <v>1037.56</v>
      </c>
      <c r="K194" s="5">
        <v>17948</v>
      </c>
      <c r="L194" s="5">
        <v>186.22</v>
      </c>
      <c r="M194" s="5">
        <v>1732</v>
      </c>
      <c r="N194" s="5">
        <v>11452</v>
      </c>
      <c r="O194" s="5">
        <v>63.81</v>
      </c>
      <c r="P194" s="5">
        <f t="shared" si="15"/>
        <v>-28.699999999999932</v>
      </c>
      <c r="Q194" s="6">
        <f t="shared" si="16"/>
        <v>-2.7285259305033924E-2</v>
      </c>
      <c r="R194" s="5">
        <f t="shared" si="17"/>
        <v>42.049999999999955</v>
      </c>
      <c r="S194" s="6">
        <f t="shared" si="18"/>
        <v>3.9977183058420837E-2</v>
      </c>
      <c r="T194" s="6">
        <f t="shared" si="19"/>
        <v>-1.3835149536748087E-2</v>
      </c>
    </row>
    <row r="195" spans="1:20" hidden="1" x14ac:dyDescent="0.25">
      <c r="A195" s="4" t="s">
        <v>209</v>
      </c>
      <c r="B195" s="5" t="s">
        <v>16</v>
      </c>
      <c r="C195" s="5" t="s">
        <v>1823</v>
      </c>
      <c r="D195" s="5">
        <v>145</v>
      </c>
      <c r="E195" s="5">
        <v>141</v>
      </c>
      <c r="F195" s="5">
        <v>148.9</v>
      </c>
      <c r="G195" s="5">
        <v>136</v>
      </c>
      <c r="H195" s="5">
        <v>141</v>
      </c>
      <c r="I195" s="5">
        <v>139.44999999999999</v>
      </c>
      <c r="J195" s="5">
        <v>140.22999999999999</v>
      </c>
      <c r="K195" s="5">
        <v>3639</v>
      </c>
      <c r="L195" s="5">
        <v>5.0999999999999996</v>
      </c>
      <c r="M195" s="5">
        <v>71</v>
      </c>
      <c r="N195" s="5">
        <v>2460</v>
      </c>
      <c r="O195" s="5">
        <v>67.599999999999994</v>
      </c>
      <c r="P195" s="5">
        <f t="shared" si="15"/>
        <v>-5.5500000000000114</v>
      </c>
      <c r="Q195" s="6">
        <f t="shared" si="16"/>
        <v>-3.8275862068965598E-2</v>
      </c>
      <c r="R195" s="5">
        <f t="shared" si="17"/>
        <v>12.900000000000006</v>
      </c>
      <c r="S195" s="6">
        <f t="shared" si="18"/>
        <v>8.8965517241379355E-2</v>
      </c>
      <c r="T195" s="6">
        <f t="shared" si="19"/>
        <v>-5.5187052268506325E-3</v>
      </c>
    </row>
    <row r="196" spans="1:20" hidden="1" x14ac:dyDescent="0.25">
      <c r="A196" s="4" t="s">
        <v>210</v>
      </c>
      <c r="B196" s="5" t="s">
        <v>16</v>
      </c>
      <c r="C196" s="5" t="s">
        <v>1823</v>
      </c>
      <c r="D196" s="5">
        <v>1721.05</v>
      </c>
      <c r="E196" s="5">
        <v>1705</v>
      </c>
      <c r="F196" s="5">
        <v>1720.5</v>
      </c>
      <c r="G196" s="5">
        <v>1701.1</v>
      </c>
      <c r="H196" s="5">
        <v>1714</v>
      </c>
      <c r="I196" s="5">
        <v>1706</v>
      </c>
      <c r="J196" s="5">
        <v>1709.13</v>
      </c>
      <c r="K196" s="5">
        <v>482046</v>
      </c>
      <c r="L196" s="5">
        <v>8238.81</v>
      </c>
      <c r="M196" s="5">
        <v>27733</v>
      </c>
      <c r="N196" s="5">
        <v>168418</v>
      </c>
      <c r="O196" s="5">
        <v>34.94</v>
      </c>
      <c r="P196" s="5">
        <f t="shared" si="15"/>
        <v>-15.049999999999955</v>
      </c>
      <c r="Q196" s="6">
        <f t="shared" si="16"/>
        <v>-8.7446616890851248E-3</v>
      </c>
      <c r="R196" s="5">
        <f t="shared" si="17"/>
        <v>19.400000000000091</v>
      </c>
      <c r="S196" s="6">
        <f t="shared" si="18"/>
        <v>1.1272188489584899E-2</v>
      </c>
      <c r="T196" s="6">
        <f t="shared" si="19"/>
        <v>-1.8323917688728209E-3</v>
      </c>
    </row>
    <row r="197" spans="1:20" hidden="1" x14ac:dyDescent="0.25">
      <c r="A197" s="4" t="s">
        <v>211</v>
      </c>
      <c r="B197" s="5" t="s">
        <v>16</v>
      </c>
      <c r="C197" s="5" t="s">
        <v>1823</v>
      </c>
      <c r="D197" s="5">
        <v>3347.8</v>
      </c>
      <c r="E197" s="5">
        <v>3400</v>
      </c>
      <c r="F197" s="5">
        <v>3400</v>
      </c>
      <c r="G197" s="5">
        <v>3340</v>
      </c>
      <c r="H197" s="5">
        <v>3360</v>
      </c>
      <c r="I197" s="5">
        <v>3362.45</v>
      </c>
      <c r="J197" s="5">
        <v>3361.87</v>
      </c>
      <c r="K197" s="5">
        <v>2032</v>
      </c>
      <c r="L197" s="5">
        <v>68.31</v>
      </c>
      <c r="M197" s="5">
        <v>930</v>
      </c>
      <c r="N197" s="5">
        <v>1470</v>
      </c>
      <c r="O197" s="5">
        <v>72.34</v>
      </c>
      <c r="P197" s="5">
        <f t="shared" si="15"/>
        <v>14.649999999999636</v>
      </c>
      <c r="Q197" s="6">
        <f t="shared" si="16"/>
        <v>4.3760081247385257E-3</v>
      </c>
      <c r="R197" s="5">
        <f t="shared" si="17"/>
        <v>60</v>
      </c>
      <c r="S197" s="6">
        <f t="shared" si="18"/>
        <v>1.7922217575721367E-2</v>
      </c>
      <c r="T197" s="6">
        <f t="shared" si="19"/>
        <v>1.7182066958216537E-4</v>
      </c>
    </row>
    <row r="198" spans="1:20" hidden="1" x14ac:dyDescent="0.25">
      <c r="A198" s="4" t="s">
        <v>212</v>
      </c>
      <c r="B198" s="5" t="s">
        <v>16</v>
      </c>
      <c r="C198" s="5" t="s">
        <v>1823</v>
      </c>
      <c r="D198" s="5">
        <v>982.15</v>
      </c>
      <c r="E198" s="5">
        <v>988.95</v>
      </c>
      <c r="F198" s="5">
        <v>994.8</v>
      </c>
      <c r="G198" s="5">
        <v>948</v>
      </c>
      <c r="H198" s="5">
        <v>948</v>
      </c>
      <c r="I198" s="5">
        <v>951.1</v>
      </c>
      <c r="J198" s="5">
        <v>971.57</v>
      </c>
      <c r="K198" s="5">
        <v>4172</v>
      </c>
      <c r="L198" s="5">
        <v>40.53</v>
      </c>
      <c r="M198" s="5">
        <v>542</v>
      </c>
      <c r="N198" s="5">
        <v>2308</v>
      </c>
      <c r="O198" s="5">
        <v>55.32</v>
      </c>
      <c r="P198" s="5">
        <f t="shared" si="15"/>
        <v>-31.049999999999955</v>
      </c>
      <c r="Q198" s="6">
        <f t="shared" si="16"/>
        <v>-3.1614315532250629E-2</v>
      </c>
      <c r="R198" s="5">
        <f t="shared" si="17"/>
        <v>46.799999999999955</v>
      </c>
      <c r="S198" s="6">
        <f t="shared" si="18"/>
        <v>4.7650562541363288E-2</v>
      </c>
      <c r="T198" s="6">
        <f t="shared" si="19"/>
        <v>-2.1087603178077986E-2</v>
      </c>
    </row>
    <row r="199" spans="1:20" x14ac:dyDescent="0.25">
      <c r="A199" s="4" t="s">
        <v>1156</v>
      </c>
      <c r="B199" s="5" t="s">
        <v>16</v>
      </c>
      <c r="C199" s="5" t="s">
        <v>1823</v>
      </c>
      <c r="D199" s="5">
        <v>89.55</v>
      </c>
      <c r="E199" s="5">
        <v>89</v>
      </c>
      <c r="F199" s="5">
        <v>89.3</v>
      </c>
      <c r="G199" s="5">
        <v>85</v>
      </c>
      <c r="H199" s="5">
        <v>85.55</v>
      </c>
      <c r="I199" s="5">
        <v>85.6</v>
      </c>
      <c r="J199" s="5">
        <v>86.81</v>
      </c>
      <c r="K199" s="5">
        <v>3776800</v>
      </c>
      <c r="L199" s="5">
        <v>3278.74</v>
      </c>
      <c r="M199" s="5">
        <v>17427</v>
      </c>
      <c r="N199" s="5">
        <v>742505</v>
      </c>
      <c r="O199" s="5">
        <v>19.66</v>
      </c>
      <c r="P199" s="5">
        <f t="shared" si="15"/>
        <v>-3.9500000000000028</v>
      </c>
      <c r="Q199" s="6">
        <f t="shared" si="16"/>
        <v>-4.4109436069235099E-2</v>
      </c>
      <c r="R199" s="5">
        <f t="shared" si="17"/>
        <v>4.2999999999999972</v>
      </c>
      <c r="S199" s="6">
        <f t="shared" si="18"/>
        <v>4.8017867113344471E-2</v>
      </c>
      <c r="T199" s="6">
        <f t="shared" si="19"/>
        <v>-1.3872169676125057E-2</v>
      </c>
    </row>
    <row r="200" spans="1:20" hidden="1" x14ac:dyDescent="0.25">
      <c r="A200" s="4" t="s">
        <v>214</v>
      </c>
      <c r="B200" s="5" t="s">
        <v>16</v>
      </c>
      <c r="C200" s="5" t="s">
        <v>1823</v>
      </c>
      <c r="D200" s="5">
        <v>3.55</v>
      </c>
      <c r="E200" s="5">
        <v>3.55</v>
      </c>
      <c r="F200" s="5">
        <v>3.6</v>
      </c>
      <c r="G200" s="5">
        <v>3.4</v>
      </c>
      <c r="H200" s="5">
        <v>3.5</v>
      </c>
      <c r="I200" s="5">
        <v>3.45</v>
      </c>
      <c r="J200" s="5">
        <v>3.48</v>
      </c>
      <c r="K200" s="5">
        <v>258768</v>
      </c>
      <c r="L200" s="5">
        <v>9</v>
      </c>
      <c r="M200" s="5">
        <v>203</v>
      </c>
      <c r="N200" s="5">
        <v>163799</v>
      </c>
      <c r="O200" s="5">
        <v>63.3</v>
      </c>
      <c r="P200" s="5">
        <f t="shared" si="15"/>
        <v>-9.9999999999999645E-2</v>
      </c>
      <c r="Q200" s="6">
        <f t="shared" si="16"/>
        <v>-2.8169014084506942E-2</v>
      </c>
      <c r="R200" s="5">
        <f t="shared" si="17"/>
        <v>0.20000000000000018</v>
      </c>
      <c r="S200" s="6">
        <f t="shared" si="18"/>
        <v>5.6338028169014134E-2</v>
      </c>
      <c r="T200" s="6">
        <f t="shared" si="19"/>
        <v>-8.5714285714285163E-3</v>
      </c>
    </row>
    <row r="201" spans="1:20" hidden="1" x14ac:dyDescent="0.25">
      <c r="A201" s="4" t="s">
        <v>215</v>
      </c>
      <c r="B201" s="5" t="s">
        <v>16</v>
      </c>
      <c r="C201" s="5" t="s">
        <v>1823</v>
      </c>
      <c r="D201" s="5">
        <v>9.8000000000000007</v>
      </c>
      <c r="E201" s="5">
        <v>9.8000000000000007</v>
      </c>
      <c r="F201" s="5">
        <v>9.9499999999999993</v>
      </c>
      <c r="G201" s="5">
        <v>9.65</v>
      </c>
      <c r="H201" s="5">
        <v>9.85</v>
      </c>
      <c r="I201" s="5">
        <v>9.8000000000000007</v>
      </c>
      <c r="J201" s="5">
        <v>9.8000000000000007</v>
      </c>
      <c r="K201" s="5">
        <v>18969</v>
      </c>
      <c r="L201" s="5">
        <v>1.86</v>
      </c>
      <c r="M201" s="5">
        <v>35</v>
      </c>
      <c r="N201" s="5">
        <v>14834</v>
      </c>
      <c r="O201" s="5">
        <v>78.2</v>
      </c>
      <c r="P201" s="5">
        <f t="shared" si="15"/>
        <v>0</v>
      </c>
      <c r="Q201" s="6">
        <f t="shared" si="16"/>
        <v>0</v>
      </c>
      <c r="R201" s="5">
        <f t="shared" si="17"/>
        <v>0.29999999999999893</v>
      </c>
      <c r="S201" s="6">
        <f t="shared" si="18"/>
        <v>3.0612244897959072E-2</v>
      </c>
      <c r="T201" s="6">
        <f t="shared" si="19"/>
        <v>0</v>
      </c>
    </row>
    <row r="202" spans="1:20" hidden="1" x14ac:dyDescent="0.25">
      <c r="A202" s="4" t="s">
        <v>216</v>
      </c>
      <c r="B202" s="5" t="s">
        <v>16</v>
      </c>
      <c r="C202" s="5" t="s">
        <v>1823</v>
      </c>
      <c r="D202" s="5">
        <v>310.5</v>
      </c>
      <c r="E202" s="5">
        <v>314</v>
      </c>
      <c r="F202" s="5">
        <v>319</v>
      </c>
      <c r="G202" s="5">
        <v>309</v>
      </c>
      <c r="H202" s="5">
        <v>309</v>
      </c>
      <c r="I202" s="5">
        <v>310.60000000000002</v>
      </c>
      <c r="J202" s="5">
        <v>313.08</v>
      </c>
      <c r="K202" s="5">
        <v>67895</v>
      </c>
      <c r="L202" s="5">
        <v>212.56</v>
      </c>
      <c r="M202" s="5">
        <v>2540</v>
      </c>
      <c r="N202" s="5">
        <v>31764</v>
      </c>
      <c r="O202" s="5">
        <v>46.78</v>
      </c>
      <c r="P202" s="5">
        <f t="shared" si="15"/>
        <v>0.10000000000002274</v>
      </c>
      <c r="Q202" s="6">
        <f t="shared" si="16"/>
        <v>3.2206119162648227E-4</v>
      </c>
      <c r="R202" s="5">
        <f t="shared" si="17"/>
        <v>10</v>
      </c>
      <c r="S202" s="6">
        <f t="shared" si="18"/>
        <v>3.2206119162640899E-2</v>
      </c>
      <c r="T202" s="6">
        <f t="shared" si="19"/>
        <v>-7.9195273830431467E-3</v>
      </c>
    </row>
    <row r="203" spans="1:20" hidden="1" x14ac:dyDescent="0.25">
      <c r="A203" s="4" t="s">
        <v>217</v>
      </c>
      <c r="B203" s="5" t="s">
        <v>16</v>
      </c>
      <c r="C203" s="5" t="s">
        <v>1823</v>
      </c>
      <c r="D203" s="5">
        <v>11.05</v>
      </c>
      <c r="E203" s="5">
        <v>11</v>
      </c>
      <c r="F203" s="5">
        <v>11</v>
      </c>
      <c r="G203" s="5">
        <v>10.7</v>
      </c>
      <c r="H203" s="5">
        <v>11</v>
      </c>
      <c r="I203" s="5">
        <v>11</v>
      </c>
      <c r="J203" s="5">
        <v>10.92</v>
      </c>
      <c r="K203" s="5">
        <v>313</v>
      </c>
      <c r="L203" s="5">
        <v>0.03</v>
      </c>
      <c r="M203" s="5">
        <v>19</v>
      </c>
      <c r="N203" s="5">
        <v>312</v>
      </c>
      <c r="O203" s="5">
        <v>99.68</v>
      </c>
      <c r="P203" s="5">
        <f t="shared" si="15"/>
        <v>-5.0000000000000711E-2</v>
      </c>
      <c r="Q203" s="6">
        <f t="shared" si="16"/>
        <v>-4.524886877828118E-3</v>
      </c>
      <c r="R203" s="5">
        <f t="shared" si="17"/>
        <v>0.30000000000000071</v>
      </c>
      <c r="S203" s="6">
        <f t="shared" si="18"/>
        <v>2.7149321266968389E-2</v>
      </c>
      <c r="T203" s="6">
        <f t="shared" si="19"/>
        <v>7.3226544622425694E-3</v>
      </c>
    </row>
    <row r="204" spans="1:20" hidden="1" x14ac:dyDescent="0.25">
      <c r="A204" s="4" t="s">
        <v>218</v>
      </c>
      <c r="B204" s="5" t="s">
        <v>16</v>
      </c>
      <c r="C204" s="5" t="s">
        <v>1823</v>
      </c>
      <c r="D204" s="5">
        <v>12.15</v>
      </c>
      <c r="E204" s="5">
        <v>12.15</v>
      </c>
      <c r="F204" s="5">
        <v>12.2</v>
      </c>
      <c r="G204" s="5">
        <v>12.1</v>
      </c>
      <c r="H204" s="5">
        <v>12.2</v>
      </c>
      <c r="I204" s="5">
        <v>12.2</v>
      </c>
      <c r="J204" s="5">
        <v>12.15</v>
      </c>
      <c r="K204" s="5">
        <v>1466</v>
      </c>
      <c r="L204" s="5">
        <v>0.18</v>
      </c>
      <c r="M204" s="5">
        <v>12</v>
      </c>
      <c r="N204" s="5">
        <v>1376</v>
      </c>
      <c r="O204" s="5">
        <v>93.86</v>
      </c>
      <c r="P204" s="5">
        <f t="shared" ref="P204:P267" si="20">I204-D204</f>
        <v>4.9999999999998934E-2</v>
      </c>
      <c r="Q204" s="6">
        <f t="shared" ref="Q204:Q267" si="21">P204/D204</f>
        <v>4.1152263374484715E-3</v>
      </c>
      <c r="R204" s="5">
        <f t="shared" ref="R204:R267" si="22">ABS(F204-G204)</f>
        <v>9.9999999999999645E-2</v>
      </c>
      <c r="S204" s="6">
        <f t="shared" ref="S204:S267" si="23">R204/D204</f>
        <v>8.2304526748970906E-3</v>
      </c>
      <c r="T204" s="6">
        <f t="shared" ref="T204:T267" si="24">(I204-J204)/AVERAGE(E204:G204,I204)</f>
        <v>4.1109969167522241E-3</v>
      </c>
    </row>
    <row r="205" spans="1:20" x14ac:dyDescent="0.25">
      <c r="A205" s="4" t="s">
        <v>220</v>
      </c>
      <c r="B205" s="5" t="s">
        <v>16</v>
      </c>
      <c r="C205" s="5" t="s">
        <v>1823</v>
      </c>
      <c r="D205" s="5">
        <v>951.7</v>
      </c>
      <c r="E205" s="5">
        <v>945</v>
      </c>
      <c r="F205" s="5">
        <v>950</v>
      </c>
      <c r="G205" s="5">
        <v>893.75</v>
      </c>
      <c r="H205" s="5">
        <v>905.9</v>
      </c>
      <c r="I205" s="5">
        <v>907.55</v>
      </c>
      <c r="J205" s="5">
        <v>916.85</v>
      </c>
      <c r="K205" s="5">
        <v>817479</v>
      </c>
      <c r="L205" s="5">
        <v>7495.06</v>
      </c>
      <c r="M205" s="5">
        <v>25741</v>
      </c>
      <c r="N205" s="5">
        <v>162064</v>
      </c>
      <c r="O205" s="5">
        <v>19.82</v>
      </c>
      <c r="P205" s="5">
        <f t="shared" si="20"/>
        <v>-44.150000000000091</v>
      </c>
      <c r="Q205" s="6">
        <f t="shared" si="21"/>
        <v>-4.6390669328570021E-2</v>
      </c>
      <c r="R205" s="5">
        <f t="shared" si="22"/>
        <v>56.25</v>
      </c>
      <c r="S205" s="6">
        <f t="shared" si="23"/>
        <v>5.9104759903330882E-2</v>
      </c>
      <c r="T205" s="6">
        <f t="shared" si="24"/>
        <v>-1.0064118172226353E-2</v>
      </c>
    </row>
    <row r="206" spans="1:20" x14ac:dyDescent="0.25">
      <c r="A206" s="4" t="s">
        <v>1536</v>
      </c>
      <c r="B206" s="5" t="s">
        <v>16</v>
      </c>
      <c r="C206" s="5" t="s">
        <v>1823</v>
      </c>
      <c r="D206" s="5">
        <v>2881.6</v>
      </c>
      <c r="E206" s="5">
        <v>2876.5</v>
      </c>
      <c r="F206" s="5">
        <v>2890.8</v>
      </c>
      <c r="G206" s="5">
        <v>2760</v>
      </c>
      <c r="H206" s="5">
        <v>2770.1</v>
      </c>
      <c r="I206" s="5">
        <v>2787.75</v>
      </c>
      <c r="J206" s="5">
        <v>2826.56</v>
      </c>
      <c r="K206" s="5">
        <v>237974</v>
      </c>
      <c r="L206" s="5">
        <v>6726.47</v>
      </c>
      <c r="M206" s="5">
        <v>20015</v>
      </c>
      <c r="N206" s="5">
        <v>48160</v>
      </c>
      <c r="O206" s="5">
        <v>20.239999999999998</v>
      </c>
      <c r="P206" s="5">
        <f t="shared" si="20"/>
        <v>-93.849999999999909</v>
      </c>
      <c r="Q206" s="6">
        <f t="shared" si="21"/>
        <v>-3.2568711826762881E-2</v>
      </c>
      <c r="R206" s="5">
        <f t="shared" si="22"/>
        <v>130.80000000000018</v>
      </c>
      <c r="S206" s="6">
        <f t="shared" si="23"/>
        <v>4.5391449194891791E-2</v>
      </c>
      <c r="T206" s="6">
        <f t="shared" si="24"/>
        <v>-1.3719780292619103E-2</v>
      </c>
    </row>
    <row r="207" spans="1:20" x14ac:dyDescent="0.25">
      <c r="A207" s="4" t="s">
        <v>314</v>
      </c>
      <c r="B207" s="5" t="s">
        <v>16</v>
      </c>
      <c r="C207" s="5" t="s">
        <v>1823</v>
      </c>
      <c r="D207" s="5">
        <v>194.85</v>
      </c>
      <c r="E207" s="5">
        <v>195.9</v>
      </c>
      <c r="F207" s="5">
        <v>205</v>
      </c>
      <c r="G207" s="5">
        <v>193.5</v>
      </c>
      <c r="H207" s="5">
        <v>198</v>
      </c>
      <c r="I207" s="5">
        <v>198</v>
      </c>
      <c r="J207" s="5">
        <v>197.35</v>
      </c>
      <c r="K207" s="5">
        <v>477610</v>
      </c>
      <c r="L207" s="5">
        <v>942.56</v>
      </c>
      <c r="M207" s="5">
        <v>10498</v>
      </c>
      <c r="N207" s="5">
        <v>96868</v>
      </c>
      <c r="O207" s="5">
        <v>20.28</v>
      </c>
      <c r="P207" s="5">
        <f t="shared" si="20"/>
        <v>3.1500000000000057</v>
      </c>
      <c r="Q207" s="6">
        <f t="shared" si="21"/>
        <v>1.6166281755196334E-2</v>
      </c>
      <c r="R207" s="5">
        <f t="shared" si="22"/>
        <v>11.5</v>
      </c>
      <c r="S207" s="6">
        <f t="shared" si="23"/>
        <v>5.901975878881191E-2</v>
      </c>
      <c r="T207" s="6">
        <f t="shared" si="24"/>
        <v>3.2811711256941225E-3</v>
      </c>
    </row>
    <row r="208" spans="1:20" hidden="1" x14ac:dyDescent="0.25">
      <c r="A208" s="4" t="s">
        <v>222</v>
      </c>
      <c r="B208" s="5" t="s">
        <v>16</v>
      </c>
      <c r="C208" s="5" t="s">
        <v>1823</v>
      </c>
      <c r="D208" s="5">
        <v>427</v>
      </c>
      <c r="E208" s="5">
        <v>427</v>
      </c>
      <c r="F208" s="5">
        <v>429.15</v>
      </c>
      <c r="G208" s="5">
        <v>421</v>
      </c>
      <c r="H208" s="5">
        <v>424</v>
      </c>
      <c r="I208" s="5">
        <v>423.85</v>
      </c>
      <c r="J208" s="5">
        <v>424.06</v>
      </c>
      <c r="K208" s="5">
        <v>1411199</v>
      </c>
      <c r="L208" s="5">
        <v>5984.36</v>
      </c>
      <c r="M208" s="5">
        <v>74201</v>
      </c>
      <c r="N208" s="5">
        <v>746743</v>
      </c>
      <c r="O208" s="5">
        <v>52.92</v>
      </c>
      <c r="P208" s="5">
        <f t="shared" si="20"/>
        <v>-3.1499999999999773</v>
      </c>
      <c r="Q208" s="6">
        <f t="shared" si="21"/>
        <v>-7.3770491803278153E-3</v>
      </c>
      <c r="R208" s="5">
        <f t="shared" si="22"/>
        <v>8.1499999999999773</v>
      </c>
      <c r="S208" s="6">
        <f t="shared" si="23"/>
        <v>1.9086651053864114E-2</v>
      </c>
      <c r="T208" s="6">
        <f t="shared" si="24"/>
        <v>-4.9382716049377903E-4</v>
      </c>
    </row>
    <row r="209" spans="1:20" hidden="1" x14ac:dyDescent="0.25">
      <c r="A209" s="4" t="s">
        <v>223</v>
      </c>
      <c r="B209" s="5" t="s">
        <v>16</v>
      </c>
      <c r="C209" s="5" t="s">
        <v>1823</v>
      </c>
      <c r="D209" s="5">
        <v>282.8</v>
      </c>
      <c r="E209" s="5">
        <v>284.7</v>
      </c>
      <c r="F209" s="5">
        <v>286.7</v>
      </c>
      <c r="G209" s="5">
        <v>275.39999999999998</v>
      </c>
      <c r="H209" s="5">
        <v>278.5</v>
      </c>
      <c r="I209" s="5">
        <v>278.14999999999998</v>
      </c>
      <c r="J209" s="5">
        <v>281.58</v>
      </c>
      <c r="K209" s="5">
        <v>36775</v>
      </c>
      <c r="L209" s="5">
        <v>103.55</v>
      </c>
      <c r="M209" s="5">
        <v>1406</v>
      </c>
      <c r="N209" s="5">
        <v>10819</v>
      </c>
      <c r="O209" s="5">
        <v>29.42</v>
      </c>
      <c r="P209" s="5">
        <f t="shared" si="20"/>
        <v>-4.6500000000000341</v>
      </c>
      <c r="Q209" s="6">
        <f t="shared" si="21"/>
        <v>-1.6442715700141563E-2</v>
      </c>
      <c r="R209" s="5">
        <f t="shared" si="22"/>
        <v>11.300000000000011</v>
      </c>
      <c r="S209" s="6">
        <f t="shared" si="23"/>
        <v>3.9957567185289998E-2</v>
      </c>
      <c r="T209" s="6">
        <f t="shared" si="24"/>
        <v>-1.2196097604337998E-2</v>
      </c>
    </row>
    <row r="210" spans="1:20" x14ac:dyDescent="0.25">
      <c r="A210" s="4" t="s">
        <v>137</v>
      </c>
      <c r="B210" s="5" t="s">
        <v>16</v>
      </c>
      <c r="C210" s="5" t="s">
        <v>1823</v>
      </c>
      <c r="D210" s="5">
        <v>55.35</v>
      </c>
      <c r="E210" s="5">
        <v>55.35</v>
      </c>
      <c r="F210" s="5">
        <v>55.35</v>
      </c>
      <c r="G210" s="5">
        <v>50</v>
      </c>
      <c r="H210" s="5">
        <v>50.2</v>
      </c>
      <c r="I210" s="5">
        <v>51.15</v>
      </c>
      <c r="J210" s="5">
        <v>52.22</v>
      </c>
      <c r="K210" s="5">
        <v>5169872</v>
      </c>
      <c r="L210" s="5">
        <v>2699.54</v>
      </c>
      <c r="M210" s="5">
        <v>19220</v>
      </c>
      <c r="N210" s="5">
        <v>1050084</v>
      </c>
      <c r="O210" s="5">
        <v>20.309999999999999</v>
      </c>
      <c r="P210" s="5">
        <f t="shared" si="20"/>
        <v>-4.2000000000000028</v>
      </c>
      <c r="Q210" s="6">
        <f t="shared" si="21"/>
        <v>-7.5880758807588128E-2</v>
      </c>
      <c r="R210" s="5">
        <f t="shared" si="22"/>
        <v>5.3500000000000014</v>
      </c>
      <c r="S210" s="6">
        <f t="shared" si="23"/>
        <v>9.6657633242999114E-2</v>
      </c>
      <c r="T210" s="6">
        <f t="shared" si="24"/>
        <v>-2.0202973802218558E-2</v>
      </c>
    </row>
    <row r="211" spans="1:20" hidden="1" x14ac:dyDescent="0.25">
      <c r="A211" s="4" t="s">
        <v>225</v>
      </c>
      <c r="B211" s="5" t="s">
        <v>39</v>
      </c>
      <c r="C211" s="5" t="s">
        <v>1823</v>
      </c>
      <c r="D211" s="5">
        <v>1.55</v>
      </c>
      <c r="E211" s="5">
        <v>1.6</v>
      </c>
      <c r="F211" s="5">
        <v>1.6</v>
      </c>
      <c r="G211" s="5">
        <v>1.5</v>
      </c>
      <c r="H211" s="5">
        <v>1.5</v>
      </c>
      <c r="I211" s="5">
        <v>1.5</v>
      </c>
      <c r="J211" s="5">
        <v>1.51</v>
      </c>
      <c r="K211" s="5">
        <v>3825</v>
      </c>
      <c r="L211" s="5">
        <v>0.06</v>
      </c>
      <c r="M211" s="5">
        <v>22</v>
      </c>
      <c r="N211" s="5" t="s">
        <v>25</v>
      </c>
      <c r="O211" s="5" t="s">
        <v>25</v>
      </c>
      <c r="P211" s="5">
        <f t="shared" si="20"/>
        <v>-5.0000000000000044E-2</v>
      </c>
      <c r="Q211" s="6">
        <f t="shared" si="21"/>
        <v>-3.2258064516129059E-2</v>
      </c>
      <c r="R211" s="5">
        <f t="shared" si="22"/>
        <v>0.10000000000000009</v>
      </c>
      <c r="S211" s="6">
        <f t="shared" si="23"/>
        <v>6.4516129032258118E-2</v>
      </c>
      <c r="T211" s="6">
        <f t="shared" si="24"/>
        <v>-6.4516129032258117E-3</v>
      </c>
    </row>
    <row r="212" spans="1:20" hidden="1" x14ac:dyDescent="0.25">
      <c r="A212" s="4" t="s">
        <v>226</v>
      </c>
      <c r="B212" s="5" t="s">
        <v>16</v>
      </c>
      <c r="C212" s="5" t="s">
        <v>1823</v>
      </c>
      <c r="D212" s="5">
        <v>36.799999999999997</v>
      </c>
      <c r="E212" s="5">
        <v>37.15</v>
      </c>
      <c r="F212" s="5">
        <v>38.1</v>
      </c>
      <c r="G212" s="5">
        <v>35.549999999999997</v>
      </c>
      <c r="H212" s="5">
        <v>36.1</v>
      </c>
      <c r="I212" s="5">
        <v>36.35</v>
      </c>
      <c r="J212" s="5">
        <v>36.74</v>
      </c>
      <c r="K212" s="5">
        <v>80899</v>
      </c>
      <c r="L212" s="5">
        <v>29.72</v>
      </c>
      <c r="M212" s="5">
        <v>1193</v>
      </c>
      <c r="N212" s="5">
        <v>28567</v>
      </c>
      <c r="O212" s="5">
        <v>35.31</v>
      </c>
      <c r="P212" s="5">
        <f t="shared" si="20"/>
        <v>-0.44999999999999574</v>
      </c>
      <c r="Q212" s="6">
        <f t="shared" si="21"/>
        <v>-1.2228260869565102E-2</v>
      </c>
      <c r="R212" s="5">
        <f t="shared" si="22"/>
        <v>2.5500000000000043</v>
      </c>
      <c r="S212" s="6">
        <f t="shared" si="23"/>
        <v>6.9293478260869693E-2</v>
      </c>
      <c r="T212" s="6">
        <f t="shared" si="24"/>
        <v>-1.0601427115188598E-2</v>
      </c>
    </row>
    <row r="213" spans="1:20" hidden="1" x14ac:dyDescent="0.25">
      <c r="A213" s="4" t="s">
        <v>227</v>
      </c>
      <c r="B213" s="5" t="s">
        <v>16</v>
      </c>
      <c r="C213" s="5" t="s">
        <v>1823</v>
      </c>
      <c r="D213" s="5">
        <v>122.7</v>
      </c>
      <c r="E213" s="5">
        <v>124.9</v>
      </c>
      <c r="F213" s="5">
        <v>124.9</v>
      </c>
      <c r="G213" s="5">
        <v>117.5</v>
      </c>
      <c r="H213" s="5">
        <v>118.4</v>
      </c>
      <c r="I213" s="5">
        <v>119.25</v>
      </c>
      <c r="J213" s="5">
        <v>119.3</v>
      </c>
      <c r="K213" s="5">
        <v>13065</v>
      </c>
      <c r="L213" s="5">
        <v>15.59</v>
      </c>
      <c r="M213" s="5">
        <v>434</v>
      </c>
      <c r="N213" s="5">
        <v>9120</v>
      </c>
      <c r="O213" s="5">
        <v>69.8</v>
      </c>
      <c r="P213" s="5">
        <f t="shared" si="20"/>
        <v>-3.4500000000000028</v>
      </c>
      <c r="Q213" s="6">
        <f t="shared" si="21"/>
        <v>-2.8117359413202956E-2</v>
      </c>
      <c r="R213" s="5">
        <f t="shared" si="22"/>
        <v>7.4000000000000057</v>
      </c>
      <c r="S213" s="6">
        <f t="shared" si="23"/>
        <v>6.0309698451507784E-2</v>
      </c>
      <c r="T213" s="6">
        <f t="shared" si="24"/>
        <v>-4.110574452779542E-4</v>
      </c>
    </row>
    <row r="214" spans="1:20" hidden="1" x14ac:dyDescent="0.25">
      <c r="A214" s="4" t="s">
        <v>228</v>
      </c>
      <c r="B214" s="5" t="s">
        <v>16</v>
      </c>
      <c r="C214" s="5" t="s">
        <v>1823</v>
      </c>
      <c r="D214" s="5">
        <v>20.350000000000001</v>
      </c>
      <c r="E214" s="5">
        <v>20</v>
      </c>
      <c r="F214" s="5">
        <v>20.350000000000001</v>
      </c>
      <c r="G214" s="5">
        <v>19.55</v>
      </c>
      <c r="H214" s="5">
        <v>20.100000000000001</v>
      </c>
      <c r="I214" s="5">
        <v>20.100000000000001</v>
      </c>
      <c r="J214" s="5">
        <v>19.7</v>
      </c>
      <c r="K214" s="5">
        <v>1220</v>
      </c>
      <c r="L214" s="5">
        <v>0.24</v>
      </c>
      <c r="M214" s="5">
        <v>30</v>
      </c>
      <c r="N214" s="5">
        <v>1172</v>
      </c>
      <c r="O214" s="5">
        <v>96.07</v>
      </c>
      <c r="P214" s="5">
        <f t="shared" si="20"/>
        <v>-0.25</v>
      </c>
      <c r="Q214" s="6">
        <f t="shared" si="21"/>
        <v>-1.2285012285012284E-2</v>
      </c>
      <c r="R214" s="5">
        <f t="shared" si="22"/>
        <v>0.80000000000000071</v>
      </c>
      <c r="S214" s="6">
        <f t="shared" si="23"/>
        <v>3.9312039312039346E-2</v>
      </c>
      <c r="T214" s="6">
        <f t="shared" si="24"/>
        <v>2.0000000000000108E-2</v>
      </c>
    </row>
    <row r="215" spans="1:20" hidden="1" x14ac:dyDescent="0.25">
      <c r="A215" s="4" t="s">
        <v>229</v>
      </c>
      <c r="B215" s="5" t="s">
        <v>16</v>
      </c>
      <c r="C215" s="5" t="s">
        <v>1823</v>
      </c>
      <c r="D215" s="5">
        <v>21.1</v>
      </c>
      <c r="E215" s="5">
        <v>20.5</v>
      </c>
      <c r="F215" s="5">
        <v>22.4</v>
      </c>
      <c r="G215" s="5">
        <v>20.25</v>
      </c>
      <c r="H215" s="5">
        <v>21.7</v>
      </c>
      <c r="I215" s="5">
        <v>21.25</v>
      </c>
      <c r="J215" s="5">
        <v>21.2</v>
      </c>
      <c r="K215" s="5">
        <v>202</v>
      </c>
      <c r="L215" s="5">
        <v>0.04</v>
      </c>
      <c r="M215" s="5">
        <v>7</v>
      </c>
      <c r="N215" s="5">
        <v>69</v>
      </c>
      <c r="O215" s="5">
        <v>34.159999999999997</v>
      </c>
      <c r="P215" s="5">
        <f t="shared" si="20"/>
        <v>0.14999999999999858</v>
      </c>
      <c r="Q215" s="6">
        <f t="shared" si="21"/>
        <v>7.1090047393364249E-3</v>
      </c>
      <c r="R215" s="5">
        <f t="shared" si="22"/>
        <v>2.1499999999999986</v>
      </c>
      <c r="S215" s="6">
        <f t="shared" si="23"/>
        <v>0.10189573459715633</v>
      </c>
      <c r="T215" s="6">
        <f t="shared" si="24"/>
        <v>2.3696682464455312E-3</v>
      </c>
    </row>
    <row r="216" spans="1:20" hidden="1" x14ac:dyDescent="0.25">
      <c r="A216" s="4" t="s">
        <v>230</v>
      </c>
      <c r="B216" s="5" t="s">
        <v>16</v>
      </c>
      <c r="C216" s="5" t="s">
        <v>1823</v>
      </c>
      <c r="D216" s="5">
        <v>1.25</v>
      </c>
      <c r="E216" s="5">
        <v>1.25</v>
      </c>
      <c r="F216" s="5">
        <v>1.25</v>
      </c>
      <c r="G216" s="5">
        <v>1.2</v>
      </c>
      <c r="H216" s="5">
        <v>1.2</v>
      </c>
      <c r="I216" s="5">
        <v>1.25</v>
      </c>
      <c r="J216" s="5">
        <v>1.22</v>
      </c>
      <c r="K216" s="5">
        <v>58237</v>
      </c>
      <c r="L216" s="5">
        <v>0.71</v>
      </c>
      <c r="M216" s="5">
        <v>36</v>
      </c>
      <c r="N216" s="5">
        <v>49367</v>
      </c>
      <c r="O216" s="5">
        <v>84.77</v>
      </c>
      <c r="P216" s="5">
        <f t="shared" si="20"/>
        <v>0</v>
      </c>
      <c r="Q216" s="6">
        <f t="shared" si="21"/>
        <v>0</v>
      </c>
      <c r="R216" s="5">
        <f t="shared" si="22"/>
        <v>5.0000000000000044E-2</v>
      </c>
      <c r="S216" s="6">
        <f t="shared" si="23"/>
        <v>4.0000000000000036E-2</v>
      </c>
      <c r="T216" s="6">
        <f t="shared" si="24"/>
        <v>2.4242424242424263E-2</v>
      </c>
    </row>
    <row r="217" spans="1:20" x14ac:dyDescent="0.25">
      <c r="A217" s="4" t="s">
        <v>856</v>
      </c>
      <c r="B217" s="5" t="s">
        <v>16</v>
      </c>
      <c r="C217" s="5" t="s">
        <v>1823</v>
      </c>
      <c r="D217" s="5">
        <v>233.35</v>
      </c>
      <c r="E217" s="5">
        <v>233.5</v>
      </c>
      <c r="F217" s="5">
        <v>235.75</v>
      </c>
      <c r="G217" s="5">
        <v>228.3</v>
      </c>
      <c r="H217" s="5">
        <v>233.6</v>
      </c>
      <c r="I217" s="5">
        <v>234.4</v>
      </c>
      <c r="J217" s="5">
        <v>231.86</v>
      </c>
      <c r="K217" s="5">
        <v>7594921</v>
      </c>
      <c r="L217" s="5">
        <v>17609.22</v>
      </c>
      <c r="M217" s="5">
        <v>56227</v>
      </c>
      <c r="N217" s="5">
        <v>1554214</v>
      </c>
      <c r="O217" s="5">
        <v>20.46</v>
      </c>
      <c r="P217" s="5">
        <f t="shared" si="20"/>
        <v>1.0500000000000114</v>
      </c>
      <c r="Q217" s="6">
        <f t="shared" si="21"/>
        <v>4.4996785943861644E-3</v>
      </c>
      <c r="R217" s="5">
        <f t="shared" si="22"/>
        <v>7.4499999999999886</v>
      </c>
      <c r="S217" s="6">
        <f t="shared" si="23"/>
        <v>3.1926290979215725E-2</v>
      </c>
      <c r="T217" s="6">
        <f t="shared" si="24"/>
        <v>1.0901872418048145E-2</v>
      </c>
    </row>
    <row r="218" spans="1:20" hidden="1" x14ac:dyDescent="0.25">
      <c r="A218" s="4" t="s">
        <v>232</v>
      </c>
      <c r="B218" s="5" t="s">
        <v>16</v>
      </c>
      <c r="C218" s="5" t="s">
        <v>1823</v>
      </c>
      <c r="D218" s="5">
        <v>75.099999999999994</v>
      </c>
      <c r="E218" s="5">
        <v>74.25</v>
      </c>
      <c r="F218" s="5">
        <v>74.25</v>
      </c>
      <c r="G218" s="5">
        <v>70.599999999999994</v>
      </c>
      <c r="H218" s="5">
        <v>71.25</v>
      </c>
      <c r="I218" s="5">
        <v>71.900000000000006</v>
      </c>
      <c r="J218" s="5">
        <v>72.58</v>
      </c>
      <c r="K218" s="5">
        <v>8760</v>
      </c>
      <c r="L218" s="5">
        <v>6.36</v>
      </c>
      <c r="M218" s="5">
        <v>477</v>
      </c>
      <c r="N218" s="5">
        <v>6166</v>
      </c>
      <c r="O218" s="5">
        <v>70.39</v>
      </c>
      <c r="P218" s="5">
        <f t="shared" si="20"/>
        <v>-3.1999999999999886</v>
      </c>
      <c r="Q218" s="6">
        <f t="shared" si="21"/>
        <v>-4.2609853528628346E-2</v>
      </c>
      <c r="R218" s="5">
        <f t="shared" si="22"/>
        <v>3.6500000000000057</v>
      </c>
      <c r="S218" s="6">
        <f t="shared" si="23"/>
        <v>4.8601864181091955E-2</v>
      </c>
      <c r="T218" s="6">
        <f t="shared" si="24"/>
        <v>-9.347079037800585E-3</v>
      </c>
    </row>
    <row r="219" spans="1:20" hidden="1" x14ac:dyDescent="0.25">
      <c r="A219" s="4" t="s">
        <v>233</v>
      </c>
      <c r="B219" s="5" t="s">
        <v>16</v>
      </c>
      <c r="C219" s="5" t="s">
        <v>1823</v>
      </c>
      <c r="D219" s="5">
        <v>5742.95</v>
      </c>
      <c r="E219" s="5">
        <v>5742.95</v>
      </c>
      <c r="F219" s="5">
        <v>6184.95</v>
      </c>
      <c r="G219" s="5">
        <v>5742.95</v>
      </c>
      <c r="H219" s="5">
        <v>5945</v>
      </c>
      <c r="I219" s="5">
        <v>5948.15</v>
      </c>
      <c r="J219" s="5">
        <v>6021.94</v>
      </c>
      <c r="K219" s="5">
        <v>6770</v>
      </c>
      <c r="L219" s="5">
        <v>407.69</v>
      </c>
      <c r="M219" s="5">
        <v>1772</v>
      </c>
      <c r="N219" s="5">
        <v>3190</v>
      </c>
      <c r="O219" s="5">
        <v>47.12</v>
      </c>
      <c r="P219" s="5">
        <f t="shared" si="20"/>
        <v>205.19999999999982</v>
      </c>
      <c r="Q219" s="6">
        <f t="shared" si="21"/>
        <v>3.5730765547323212E-2</v>
      </c>
      <c r="R219" s="5">
        <f t="shared" si="22"/>
        <v>442</v>
      </c>
      <c r="S219" s="6">
        <f t="shared" si="23"/>
        <v>7.6963929687704061E-2</v>
      </c>
      <c r="T219" s="6">
        <f t="shared" si="24"/>
        <v>-1.2496718743384557E-2</v>
      </c>
    </row>
    <row r="220" spans="1:20" hidden="1" x14ac:dyDescent="0.25">
      <c r="A220" s="4" t="s">
        <v>234</v>
      </c>
      <c r="B220" s="5" t="s">
        <v>16</v>
      </c>
      <c r="C220" s="5" t="s">
        <v>1823</v>
      </c>
      <c r="D220" s="5">
        <v>29.75</v>
      </c>
      <c r="E220" s="5">
        <v>29.7</v>
      </c>
      <c r="F220" s="5">
        <v>30.1</v>
      </c>
      <c r="G220" s="5">
        <v>29</v>
      </c>
      <c r="H220" s="5">
        <v>29.15</v>
      </c>
      <c r="I220" s="5">
        <v>29.25</v>
      </c>
      <c r="J220" s="5">
        <v>29.48</v>
      </c>
      <c r="K220" s="5">
        <v>4453</v>
      </c>
      <c r="L220" s="5">
        <v>1.31</v>
      </c>
      <c r="M220" s="5">
        <v>82</v>
      </c>
      <c r="N220" s="5">
        <v>2508</v>
      </c>
      <c r="O220" s="5">
        <v>56.32</v>
      </c>
      <c r="P220" s="5">
        <f t="shared" si="20"/>
        <v>-0.5</v>
      </c>
      <c r="Q220" s="6">
        <f t="shared" si="21"/>
        <v>-1.680672268907563E-2</v>
      </c>
      <c r="R220" s="5">
        <f t="shared" si="22"/>
        <v>1.1000000000000014</v>
      </c>
      <c r="S220" s="6">
        <f t="shared" si="23"/>
        <v>3.6974789915966436E-2</v>
      </c>
      <c r="T220" s="6">
        <f t="shared" si="24"/>
        <v>-7.7933079203727383E-3</v>
      </c>
    </row>
    <row r="221" spans="1:20" x14ac:dyDescent="0.25">
      <c r="A221" s="4" t="s">
        <v>1795</v>
      </c>
      <c r="B221" s="5" t="s">
        <v>16</v>
      </c>
      <c r="C221" s="5" t="s">
        <v>1823</v>
      </c>
      <c r="D221" s="5">
        <v>307.10000000000002</v>
      </c>
      <c r="E221" s="5">
        <v>304.10000000000002</v>
      </c>
      <c r="F221" s="5">
        <v>309.8</v>
      </c>
      <c r="G221" s="5">
        <v>295.5</v>
      </c>
      <c r="H221" s="5">
        <v>297.95</v>
      </c>
      <c r="I221" s="5">
        <v>298.7</v>
      </c>
      <c r="J221" s="5">
        <v>302.11</v>
      </c>
      <c r="K221" s="5">
        <v>631163</v>
      </c>
      <c r="L221" s="5">
        <v>1906.82</v>
      </c>
      <c r="M221" s="5">
        <v>12570</v>
      </c>
      <c r="N221" s="5">
        <v>129299</v>
      </c>
      <c r="O221" s="5">
        <v>20.49</v>
      </c>
      <c r="P221" s="5">
        <f t="shared" si="20"/>
        <v>-8.4000000000000341</v>
      </c>
      <c r="Q221" s="6">
        <f t="shared" si="21"/>
        <v>-2.7352653858678064E-2</v>
      </c>
      <c r="R221" s="5">
        <f t="shared" si="22"/>
        <v>14.300000000000011</v>
      </c>
      <c r="S221" s="6">
        <f t="shared" si="23"/>
        <v>4.6564636926082745E-2</v>
      </c>
      <c r="T221" s="6">
        <f t="shared" si="24"/>
        <v>-1.129045608807226E-2</v>
      </c>
    </row>
    <row r="222" spans="1:20" x14ac:dyDescent="0.25">
      <c r="A222" s="4" t="s">
        <v>665</v>
      </c>
      <c r="B222" s="5" t="s">
        <v>16</v>
      </c>
      <c r="C222" s="5" t="s">
        <v>1823</v>
      </c>
      <c r="D222" s="5">
        <v>282.85000000000002</v>
      </c>
      <c r="E222" s="5">
        <v>284.45</v>
      </c>
      <c r="F222" s="5">
        <v>288.75</v>
      </c>
      <c r="G222" s="5">
        <v>278.05</v>
      </c>
      <c r="H222" s="5">
        <v>284.8</v>
      </c>
      <c r="I222" s="5">
        <v>285.39999999999998</v>
      </c>
      <c r="J222" s="5">
        <v>283.66000000000003</v>
      </c>
      <c r="K222" s="5">
        <v>8473780</v>
      </c>
      <c r="L222" s="5">
        <v>24036.61</v>
      </c>
      <c r="M222" s="5">
        <v>89522</v>
      </c>
      <c r="N222" s="5">
        <v>1737566</v>
      </c>
      <c r="O222" s="5">
        <v>20.51</v>
      </c>
      <c r="P222" s="5">
        <f t="shared" si="20"/>
        <v>2.5499999999999545</v>
      </c>
      <c r="Q222" s="6">
        <f t="shared" si="21"/>
        <v>9.0153791762416623E-3</v>
      </c>
      <c r="R222" s="5">
        <f t="shared" si="22"/>
        <v>10.699999999999989</v>
      </c>
      <c r="S222" s="6">
        <f t="shared" si="23"/>
        <v>3.7829238112073491E-2</v>
      </c>
      <c r="T222" s="6">
        <f t="shared" si="24"/>
        <v>6.1232569392511401E-3</v>
      </c>
    </row>
    <row r="223" spans="1:20" hidden="1" x14ac:dyDescent="0.25">
      <c r="A223" s="4" t="s">
        <v>237</v>
      </c>
      <c r="B223" s="5" t="s">
        <v>16</v>
      </c>
      <c r="C223" s="5" t="s">
        <v>1823</v>
      </c>
      <c r="D223" s="5">
        <v>26.5</v>
      </c>
      <c r="E223" s="5">
        <v>27</v>
      </c>
      <c r="F223" s="5">
        <v>27.45</v>
      </c>
      <c r="G223" s="5">
        <v>25</v>
      </c>
      <c r="H223" s="5">
        <v>26.95</v>
      </c>
      <c r="I223" s="5">
        <v>25.9</v>
      </c>
      <c r="J223" s="5">
        <v>25.54</v>
      </c>
      <c r="K223" s="5">
        <v>1498</v>
      </c>
      <c r="L223" s="5">
        <v>0.38</v>
      </c>
      <c r="M223" s="5">
        <v>37</v>
      </c>
      <c r="N223" s="5">
        <v>1022</v>
      </c>
      <c r="O223" s="5">
        <v>68.22</v>
      </c>
      <c r="P223" s="5">
        <f t="shared" si="20"/>
        <v>-0.60000000000000142</v>
      </c>
      <c r="Q223" s="6">
        <f t="shared" si="21"/>
        <v>-2.2641509433962318E-2</v>
      </c>
      <c r="R223" s="5">
        <f t="shared" si="22"/>
        <v>2.4499999999999993</v>
      </c>
      <c r="S223" s="6">
        <f t="shared" si="23"/>
        <v>9.2452830188679225E-2</v>
      </c>
      <c r="T223" s="6">
        <f t="shared" si="24"/>
        <v>1.3668723303274777E-2</v>
      </c>
    </row>
    <row r="224" spans="1:20" hidden="1" x14ac:dyDescent="0.25">
      <c r="A224" s="4" t="s">
        <v>238</v>
      </c>
      <c r="B224" s="5" t="s">
        <v>16</v>
      </c>
      <c r="C224" s="5" t="s">
        <v>1823</v>
      </c>
      <c r="D224" s="5">
        <v>203.3</v>
      </c>
      <c r="E224" s="5">
        <v>198.6</v>
      </c>
      <c r="F224" s="5">
        <v>210</v>
      </c>
      <c r="G224" s="5">
        <v>194</v>
      </c>
      <c r="H224" s="5">
        <v>194.05</v>
      </c>
      <c r="I224" s="5">
        <v>197.3</v>
      </c>
      <c r="J224" s="5">
        <v>195.63</v>
      </c>
      <c r="K224" s="5">
        <v>1681</v>
      </c>
      <c r="L224" s="5">
        <v>3.29</v>
      </c>
      <c r="M224" s="5">
        <v>85</v>
      </c>
      <c r="N224" s="5">
        <v>1350</v>
      </c>
      <c r="O224" s="5">
        <v>80.31</v>
      </c>
      <c r="P224" s="5">
        <f t="shared" si="20"/>
        <v>-6</v>
      </c>
      <c r="Q224" s="6">
        <f t="shared" si="21"/>
        <v>-2.9513034923757991E-2</v>
      </c>
      <c r="R224" s="5">
        <f t="shared" si="22"/>
        <v>16</v>
      </c>
      <c r="S224" s="6">
        <f t="shared" si="23"/>
        <v>7.8701426463354637E-2</v>
      </c>
      <c r="T224" s="6">
        <f t="shared" si="24"/>
        <v>8.3510438804851386E-3</v>
      </c>
    </row>
    <row r="225" spans="1:20" hidden="1" x14ac:dyDescent="0.25">
      <c r="A225" s="4" t="s">
        <v>239</v>
      </c>
      <c r="B225" s="5" t="s">
        <v>39</v>
      </c>
      <c r="C225" s="5" t="s">
        <v>1823</v>
      </c>
      <c r="D225" s="5">
        <v>1.1000000000000001</v>
      </c>
      <c r="E225" s="5">
        <v>1.05</v>
      </c>
      <c r="F225" s="5">
        <v>1.05</v>
      </c>
      <c r="G225" s="5">
        <v>1.05</v>
      </c>
      <c r="H225" s="5">
        <v>1.05</v>
      </c>
      <c r="I225" s="5">
        <v>1.05</v>
      </c>
      <c r="J225" s="5">
        <v>1.05</v>
      </c>
      <c r="K225" s="5">
        <v>88081</v>
      </c>
      <c r="L225" s="5">
        <v>0.92</v>
      </c>
      <c r="M225" s="5">
        <v>69</v>
      </c>
      <c r="N225" s="5" t="s">
        <v>25</v>
      </c>
      <c r="O225" s="5" t="s">
        <v>25</v>
      </c>
      <c r="P225" s="5">
        <f t="shared" si="20"/>
        <v>-5.0000000000000044E-2</v>
      </c>
      <c r="Q225" s="6">
        <f t="shared" si="21"/>
        <v>-4.5454545454545491E-2</v>
      </c>
      <c r="R225" s="5">
        <f t="shared" si="22"/>
        <v>0</v>
      </c>
      <c r="S225" s="6">
        <f t="shared" si="23"/>
        <v>0</v>
      </c>
      <c r="T225" s="6">
        <f t="shared" si="24"/>
        <v>0</v>
      </c>
    </row>
    <row r="226" spans="1:20" hidden="1" x14ac:dyDescent="0.25">
      <c r="A226" s="4" t="s">
        <v>240</v>
      </c>
      <c r="B226" s="5" t="s">
        <v>24</v>
      </c>
      <c r="C226" s="5" t="s">
        <v>1823</v>
      </c>
      <c r="D226" s="5">
        <v>12.75</v>
      </c>
      <c r="E226" s="5">
        <v>12.2</v>
      </c>
      <c r="F226" s="5">
        <v>13.3</v>
      </c>
      <c r="G226" s="5">
        <v>12.15</v>
      </c>
      <c r="H226" s="5">
        <v>12.7</v>
      </c>
      <c r="I226" s="5">
        <v>12.7</v>
      </c>
      <c r="J226" s="5">
        <v>12.65</v>
      </c>
      <c r="K226" s="5">
        <v>1605</v>
      </c>
      <c r="L226" s="5">
        <v>0.2</v>
      </c>
      <c r="M226" s="5">
        <v>17</v>
      </c>
      <c r="N226" s="5" t="s">
        <v>25</v>
      </c>
      <c r="O226" s="5" t="s">
        <v>25</v>
      </c>
      <c r="P226" s="5">
        <f t="shared" si="20"/>
        <v>-5.0000000000000711E-2</v>
      </c>
      <c r="Q226" s="6">
        <f t="shared" si="21"/>
        <v>-3.9215686274510358E-3</v>
      </c>
      <c r="R226" s="5">
        <f t="shared" si="22"/>
        <v>1.1500000000000004</v>
      </c>
      <c r="S226" s="6">
        <f t="shared" si="23"/>
        <v>9.0196078431372576E-2</v>
      </c>
      <c r="T226" s="6">
        <f t="shared" si="24"/>
        <v>3.9721946375371551E-3</v>
      </c>
    </row>
    <row r="227" spans="1:20" hidden="1" x14ac:dyDescent="0.25">
      <c r="A227" s="4" t="s">
        <v>241</v>
      </c>
      <c r="B227" s="5" t="s">
        <v>16</v>
      </c>
      <c r="C227" s="5" t="s">
        <v>1823</v>
      </c>
      <c r="D227" s="5">
        <v>11.4</v>
      </c>
      <c r="E227" s="5">
        <v>11.9</v>
      </c>
      <c r="F227" s="5">
        <v>11.9</v>
      </c>
      <c r="G227" s="5">
        <v>10.7</v>
      </c>
      <c r="H227" s="5">
        <v>11.2</v>
      </c>
      <c r="I227" s="5">
        <v>11.15</v>
      </c>
      <c r="J227" s="5">
        <v>11.17</v>
      </c>
      <c r="K227" s="5">
        <v>10764</v>
      </c>
      <c r="L227" s="5">
        <v>1.2</v>
      </c>
      <c r="M227" s="5">
        <v>104</v>
      </c>
      <c r="N227" s="5">
        <v>9434</v>
      </c>
      <c r="O227" s="5">
        <v>87.64</v>
      </c>
      <c r="P227" s="5">
        <f t="shared" si="20"/>
        <v>-0.25</v>
      </c>
      <c r="Q227" s="6">
        <f t="shared" si="21"/>
        <v>-2.1929824561403508E-2</v>
      </c>
      <c r="R227" s="5">
        <f t="shared" si="22"/>
        <v>1.2000000000000011</v>
      </c>
      <c r="S227" s="6">
        <f t="shared" si="23"/>
        <v>0.10526315789473693</v>
      </c>
      <c r="T227" s="6">
        <f t="shared" si="24"/>
        <v>-1.7524644030667755E-3</v>
      </c>
    </row>
    <row r="228" spans="1:20" x14ac:dyDescent="0.25">
      <c r="A228" s="4" t="s">
        <v>859</v>
      </c>
      <c r="B228" s="5" t="s">
        <v>16</v>
      </c>
      <c r="C228" s="5" t="s">
        <v>1823</v>
      </c>
      <c r="D228" s="5">
        <v>567.04999999999995</v>
      </c>
      <c r="E228" s="5">
        <v>565</v>
      </c>
      <c r="F228" s="5">
        <v>568.04999999999995</v>
      </c>
      <c r="G228" s="5">
        <v>547.85</v>
      </c>
      <c r="H228" s="5">
        <v>557.20000000000005</v>
      </c>
      <c r="I228" s="5">
        <v>557.6</v>
      </c>
      <c r="J228" s="5">
        <v>557.29</v>
      </c>
      <c r="K228" s="5">
        <v>334190</v>
      </c>
      <c r="L228" s="5">
        <v>1862.41</v>
      </c>
      <c r="M228" s="5">
        <v>9552</v>
      </c>
      <c r="N228" s="5">
        <v>68674</v>
      </c>
      <c r="O228" s="5">
        <v>20.55</v>
      </c>
      <c r="P228" s="5">
        <f t="shared" si="20"/>
        <v>-9.4499999999999318</v>
      </c>
      <c r="Q228" s="6">
        <f t="shared" si="21"/>
        <v>-1.6665197072568437E-2</v>
      </c>
      <c r="R228" s="5">
        <f t="shared" si="22"/>
        <v>20.199999999999932</v>
      </c>
      <c r="S228" s="6">
        <f t="shared" si="23"/>
        <v>3.5622960938188758E-2</v>
      </c>
      <c r="T228" s="6">
        <f t="shared" si="24"/>
        <v>5.5394237212429598E-4</v>
      </c>
    </row>
    <row r="229" spans="1:20" hidden="1" x14ac:dyDescent="0.25">
      <c r="A229" s="4" t="s">
        <v>243</v>
      </c>
      <c r="B229" s="5" t="s">
        <v>39</v>
      </c>
      <c r="C229" s="5" t="s">
        <v>1823</v>
      </c>
      <c r="D229" s="5">
        <v>4.8</v>
      </c>
      <c r="E229" s="5">
        <v>4.95</v>
      </c>
      <c r="F229" s="5">
        <v>4.95</v>
      </c>
      <c r="G229" s="5">
        <v>4.5999999999999996</v>
      </c>
      <c r="H229" s="5">
        <v>4.9000000000000004</v>
      </c>
      <c r="I229" s="5">
        <v>4.9000000000000004</v>
      </c>
      <c r="J229" s="5">
        <v>4.75</v>
      </c>
      <c r="K229" s="5">
        <v>724</v>
      </c>
      <c r="L229" s="5">
        <v>0.03</v>
      </c>
      <c r="M229" s="5">
        <v>11</v>
      </c>
      <c r="N229" s="5" t="s">
        <v>25</v>
      </c>
      <c r="O229" s="5" t="s">
        <v>25</v>
      </c>
      <c r="P229" s="5">
        <f t="shared" si="20"/>
        <v>0.10000000000000053</v>
      </c>
      <c r="Q229" s="6">
        <f t="shared" si="21"/>
        <v>2.0833333333333447E-2</v>
      </c>
      <c r="R229" s="5">
        <f t="shared" si="22"/>
        <v>0.35000000000000053</v>
      </c>
      <c r="S229" s="6">
        <f t="shared" si="23"/>
        <v>7.2916666666666782E-2</v>
      </c>
      <c r="T229" s="6">
        <f t="shared" si="24"/>
        <v>3.0927835051546466E-2</v>
      </c>
    </row>
    <row r="230" spans="1:20" hidden="1" x14ac:dyDescent="0.25">
      <c r="A230" s="4" t="s">
        <v>244</v>
      </c>
      <c r="B230" s="5" t="s">
        <v>16</v>
      </c>
      <c r="C230" s="5" t="s">
        <v>1823</v>
      </c>
      <c r="D230" s="5">
        <v>56.7</v>
      </c>
      <c r="E230" s="5">
        <v>56.6</v>
      </c>
      <c r="F230" s="5">
        <v>56.6</v>
      </c>
      <c r="G230" s="5">
        <v>54.6</v>
      </c>
      <c r="H230" s="5">
        <v>55.5</v>
      </c>
      <c r="I230" s="5">
        <v>55.25</v>
      </c>
      <c r="J230" s="5">
        <v>55.18</v>
      </c>
      <c r="K230" s="5">
        <v>55911</v>
      </c>
      <c r="L230" s="5">
        <v>30.85</v>
      </c>
      <c r="M230" s="5">
        <v>1069</v>
      </c>
      <c r="N230" s="5">
        <v>29630</v>
      </c>
      <c r="O230" s="5">
        <v>52.99</v>
      </c>
      <c r="P230" s="5">
        <f t="shared" si="20"/>
        <v>-1.4500000000000028</v>
      </c>
      <c r="Q230" s="6">
        <f t="shared" si="21"/>
        <v>-2.5573192239858954E-2</v>
      </c>
      <c r="R230" s="5">
        <f t="shared" si="22"/>
        <v>2</v>
      </c>
      <c r="S230" s="6">
        <f t="shared" si="23"/>
        <v>3.5273368606701938E-2</v>
      </c>
      <c r="T230" s="6">
        <f t="shared" si="24"/>
        <v>1.2553239184039504E-3</v>
      </c>
    </row>
    <row r="231" spans="1:20" hidden="1" x14ac:dyDescent="0.25">
      <c r="A231" s="4" t="s">
        <v>245</v>
      </c>
      <c r="B231" s="5" t="s">
        <v>16</v>
      </c>
      <c r="C231" s="5" t="s">
        <v>1823</v>
      </c>
      <c r="D231" s="5">
        <v>614.79999999999995</v>
      </c>
      <c r="E231" s="5">
        <v>607</v>
      </c>
      <c r="F231" s="5">
        <v>617.95000000000005</v>
      </c>
      <c r="G231" s="5">
        <v>586</v>
      </c>
      <c r="H231" s="5">
        <v>595.5</v>
      </c>
      <c r="I231" s="5">
        <v>595.75</v>
      </c>
      <c r="J231" s="5">
        <v>600.73</v>
      </c>
      <c r="K231" s="5">
        <v>34064</v>
      </c>
      <c r="L231" s="5">
        <v>204.63</v>
      </c>
      <c r="M231" s="5">
        <v>2574</v>
      </c>
      <c r="N231" s="5">
        <v>18473</v>
      </c>
      <c r="O231" s="5">
        <v>54.23</v>
      </c>
      <c r="P231" s="5">
        <f t="shared" si="20"/>
        <v>-19.049999999999955</v>
      </c>
      <c r="Q231" s="6">
        <f t="shared" si="21"/>
        <v>-3.0985686402081908E-2</v>
      </c>
      <c r="R231" s="5">
        <f t="shared" si="22"/>
        <v>31.950000000000045</v>
      </c>
      <c r="S231" s="6">
        <f t="shared" si="23"/>
        <v>5.1968119713728118E-2</v>
      </c>
      <c r="T231" s="6">
        <f t="shared" si="24"/>
        <v>-8.2768936718328311E-3</v>
      </c>
    </row>
    <row r="232" spans="1:20" x14ac:dyDescent="0.25">
      <c r="A232" s="4" t="s">
        <v>1197</v>
      </c>
      <c r="B232" s="5" t="s">
        <v>16</v>
      </c>
      <c r="C232" s="5" t="s">
        <v>1823</v>
      </c>
      <c r="D232" s="5">
        <v>738.65</v>
      </c>
      <c r="E232" s="5">
        <v>735.1</v>
      </c>
      <c r="F232" s="5">
        <v>886.35</v>
      </c>
      <c r="G232" s="5">
        <v>735.1</v>
      </c>
      <c r="H232" s="5">
        <v>886.35</v>
      </c>
      <c r="I232" s="5">
        <v>878.1</v>
      </c>
      <c r="J232" s="5">
        <v>847.17</v>
      </c>
      <c r="K232" s="5">
        <v>157811</v>
      </c>
      <c r="L232" s="5">
        <v>1336.93</v>
      </c>
      <c r="M232" s="5">
        <v>15553</v>
      </c>
      <c r="N232" s="5">
        <v>32611</v>
      </c>
      <c r="O232" s="5">
        <v>20.66</v>
      </c>
      <c r="P232" s="5">
        <f t="shared" si="20"/>
        <v>139.45000000000005</v>
      </c>
      <c r="Q232" s="6">
        <f t="shared" si="21"/>
        <v>0.18879036079333927</v>
      </c>
      <c r="R232" s="5">
        <f t="shared" si="22"/>
        <v>151.25</v>
      </c>
      <c r="S232" s="6">
        <f t="shared" si="23"/>
        <v>0.20476545048399108</v>
      </c>
      <c r="T232" s="6">
        <f t="shared" si="24"/>
        <v>3.8248342169941184E-2</v>
      </c>
    </row>
    <row r="233" spans="1:20" hidden="1" x14ac:dyDescent="0.25">
      <c r="A233" s="4" t="s">
        <v>247</v>
      </c>
      <c r="B233" s="5" t="s">
        <v>16</v>
      </c>
      <c r="C233" s="5" t="s">
        <v>1823</v>
      </c>
      <c r="D233" s="5">
        <v>1</v>
      </c>
      <c r="E233" s="5">
        <v>1.05</v>
      </c>
      <c r="F233" s="5">
        <v>1.05</v>
      </c>
      <c r="G233" s="5">
        <v>0.95</v>
      </c>
      <c r="H233" s="5">
        <v>0.95</v>
      </c>
      <c r="I233" s="5">
        <v>1</v>
      </c>
      <c r="J233" s="5">
        <v>1.01</v>
      </c>
      <c r="K233" s="5">
        <v>15070</v>
      </c>
      <c r="L233" s="5">
        <v>0.15</v>
      </c>
      <c r="M233" s="5">
        <v>60</v>
      </c>
      <c r="N233" s="5">
        <v>15042</v>
      </c>
      <c r="O233" s="5">
        <v>99.81</v>
      </c>
      <c r="P233" s="5">
        <f t="shared" si="20"/>
        <v>0</v>
      </c>
      <c r="Q233" s="6">
        <f t="shared" si="21"/>
        <v>0</v>
      </c>
      <c r="R233" s="5">
        <f t="shared" si="22"/>
        <v>0.10000000000000009</v>
      </c>
      <c r="S233" s="6">
        <f t="shared" si="23"/>
        <v>0.10000000000000009</v>
      </c>
      <c r="T233" s="6">
        <f t="shared" si="24"/>
        <v>-9.8765432098765517E-3</v>
      </c>
    </row>
    <row r="234" spans="1:20" hidden="1" x14ac:dyDescent="0.25">
      <c r="A234" s="4" t="s">
        <v>248</v>
      </c>
      <c r="B234" s="5" t="s">
        <v>16</v>
      </c>
      <c r="C234" s="5" t="s">
        <v>1823</v>
      </c>
      <c r="D234" s="5">
        <v>3.15</v>
      </c>
      <c r="E234" s="5">
        <v>3.15</v>
      </c>
      <c r="F234" s="5">
        <v>3.25</v>
      </c>
      <c r="G234" s="5">
        <v>3.1</v>
      </c>
      <c r="H234" s="5">
        <v>3.2</v>
      </c>
      <c r="I234" s="5">
        <v>3.2</v>
      </c>
      <c r="J234" s="5">
        <v>3.2</v>
      </c>
      <c r="K234" s="5">
        <v>11415</v>
      </c>
      <c r="L234" s="5">
        <v>0.37</v>
      </c>
      <c r="M234" s="5">
        <v>11</v>
      </c>
      <c r="N234" s="5">
        <v>10915</v>
      </c>
      <c r="O234" s="5">
        <v>95.62</v>
      </c>
      <c r="P234" s="5">
        <f t="shared" si="20"/>
        <v>5.0000000000000266E-2</v>
      </c>
      <c r="Q234" s="6">
        <f t="shared" si="21"/>
        <v>1.5873015873015959E-2</v>
      </c>
      <c r="R234" s="5">
        <f t="shared" si="22"/>
        <v>0.14999999999999991</v>
      </c>
      <c r="S234" s="6">
        <f t="shared" si="23"/>
        <v>4.7619047619047596E-2</v>
      </c>
      <c r="T234" s="6">
        <f t="shared" si="24"/>
        <v>0</v>
      </c>
    </row>
    <row r="235" spans="1:20" x14ac:dyDescent="0.25">
      <c r="A235" s="4" t="s">
        <v>1259</v>
      </c>
      <c r="B235" s="5" t="s">
        <v>16</v>
      </c>
      <c r="C235" s="5" t="s">
        <v>1823</v>
      </c>
      <c r="D235" s="5">
        <v>190.45</v>
      </c>
      <c r="E235" s="5">
        <v>193.5</v>
      </c>
      <c r="F235" s="5">
        <v>203.4</v>
      </c>
      <c r="G235" s="5">
        <v>193.1</v>
      </c>
      <c r="H235" s="5">
        <v>197.75</v>
      </c>
      <c r="I235" s="5">
        <v>198.75</v>
      </c>
      <c r="J235" s="5">
        <v>199.34</v>
      </c>
      <c r="K235" s="5">
        <v>27137978</v>
      </c>
      <c r="L235" s="5">
        <v>54095.93</v>
      </c>
      <c r="M235" s="5">
        <v>159539</v>
      </c>
      <c r="N235" s="5">
        <v>5684008</v>
      </c>
      <c r="O235" s="5">
        <v>20.94</v>
      </c>
      <c r="P235" s="5">
        <f t="shared" si="20"/>
        <v>8.3000000000000114</v>
      </c>
      <c r="Q235" s="6">
        <f t="shared" si="21"/>
        <v>4.3580992386453202E-2</v>
      </c>
      <c r="R235" s="5">
        <f t="shared" si="22"/>
        <v>10.300000000000011</v>
      </c>
      <c r="S235" s="6">
        <f t="shared" si="23"/>
        <v>5.4082436334996126E-2</v>
      </c>
      <c r="T235" s="6">
        <f t="shared" si="24"/>
        <v>-2.9920760697306039E-3</v>
      </c>
    </row>
    <row r="236" spans="1:20" hidden="1" x14ac:dyDescent="0.25">
      <c r="A236" s="4" t="s">
        <v>250</v>
      </c>
      <c r="B236" s="5" t="s">
        <v>16</v>
      </c>
      <c r="C236" s="5" t="s">
        <v>1823</v>
      </c>
      <c r="D236" s="5">
        <v>10.95</v>
      </c>
      <c r="E236" s="5">
        <v>11.3</v>
      </c>
      <c r="F236" s="5">
        <v>11.3</v>
      </c>
      <c r="G236" s="5">
        <v>10.45</v>
      </c>
      <c r="H236" s="5">
        <v>10.45</v>
      </c>
      <c r="I236" s="5">
        <v>10.45</v>
      </c>
      <c r="J236" s="5">
        <v>10.48</v>
      </c>
      <c r="K236" s="5">
        <v>66317</v>
      </c>
      <c r="L236" s="5">
        <v>6.95</v>
      </c>
      <c r="M236" s="5">
        <v>141</v>
      </c>
      <c r="N236" s="5">
        <v>48331</v>
      </c>
      <c r="O236" s="5">
        <v>72.88</v>
      </c>
      <c r="P236" s="5">
        <f t="shared" si="20"/>
        <v>-0.5</v>
      </c>
      <c r="Q236" s="6">
        <f t="shared" si="21"/>
        <v>-4.5662100456621009E-2</v>
      </c>
      <c r="R236" s="5">
        <f t="shared" si="22"/>
        <v>0.85000000000000142</v>
      </c>
      <c r="S236" s="6">
        <f t="shared" si="23"/>
        <v>7.7625570776255842E-2</v>
      </c>
      <c r="T236" s="6">
        <f t="shared" si="24"/>
        <v>-2.7586206896552772E-3</v>
      </c>
    </row>
    <row r="237" spans="1:20" hidden="1" x14ac:dyDescent="0.25">
      <c r="A237" s="4" t="s">
        <v>251</v>
      </c>
      <c r="B237" s="5" t="s">
        <v>16</v>
      </c>
      <c r="C237" s="5" t="s">
        <v>1823</v>
      </c>
      <c r="D237" s="5">
        <v>85.4</v>
      </c>
      <c r="E237" s="5">
        <v>84.1</v>
      </c>
      <c r="F237" s="5">
        <v>84.25</v>
      </c>
      <c r="G237" s="5">
        <v>79.900000000000006</v>
      </c>
      <c r="H237" s="5">
        <v>80</v>
      </c>
      <c r="I237" s="5">
        <v>80.099999999999994</v>
      </c>
      <c r="J237" s="5">
        <v>81.510000000000005</v>
      </c>
      <c r="K237" s="5">
        <v>25128</v>
      </c>
      <c r="L237" s="5">
        <v>20.48</v>
      </c>
      <c r="M237" s="5">
        <v>570</v>
      </c>
      <c r="N237" s="5">
        <v>18151</v>
      </c>
      <c r="O237" s="5">
        <v>72.23</v>
      </c>
      <c r="P237" s="5">
        <f t="shared" si="20"/>
        <v>-5.3000000000000114</v>
      </c>
      <c r="Q237" s="6">
        <f t="shared" si="21"/>
        <v>-6.206088992974252E-2</v>
      </c>
      <c r="R237" s="5">
        <f t="shared" si="22"/>
        <v>4.3499999999999943</v>
      </c>
      <c r="S237" s="6">
        <f t="shared" si="23"/>
        <v>5.0936768149882836E-2</v>
      </c>
      <c r="T237" s="6">
        <f t="shared" si="24"/>
        <v>-1.717679305619017E-2</v>
      </c>
    </row>
    <row r="238" spans="1:20" hidden="1" x14ac:dyDescent="0.25">
      <c r="A238" s="4" t="s">
        <v>252</v>
      </c>
      <c r="B238" s="5" t="s">
        <v>39</v>
      </c>
      <c r="C238" s="5" t="s">
        <v>1823</v>
      </c>
      <c r="D238" s="5">
        <v>2.95</v>
      </c>
      <c r="E238" s="5">
        <v>2.9</v>
      </c>
      <c r="F238" s="5">
        <v>2.9</v>
      </c>
      <c r="G238" s="5">
        <v>2.85</v>
      </c>
      <c r="H238" s="5">
        <v>2.9</v>
      </c>
      <c r="I238" s="5">
        <v>2.9</v>
      </c>
      <c r="J238" s="5">
        <v>2.87</v>
      </c>
      <c r="K238" s="5">
        <v>414</v>
      </c>
      <c r="L238" s="5">
        <v>0.01</v>
      </c>
      <c r="M238" s="5">
        <v>6</v>
      </c>
      <c r="N238" s="5" t="s">
        <v>25</v>
      </c>
      <c r="O238" s="5" t="s">
        <v>25</v>
      </c>
      <c r="P238" s="5">
        <f t="shared" si="20"/>
        <v>-5.0000000000000266E-2</v>
      </c>
      <c r="Q238" s="6">
        <f t="shared" si="21"/>
        <v>-1.6949152542372972E-2</v>
      </c>
      <c r="R238" s="5">
        <f t="shared" si="22"/>
        <v>4.9999999999999822E-2</v>
      </c>
      <c r="S238" s="6">
        <f t="shared" si="23"/>
        <v>1.6949152542372819E-2</v>
      </c>
      <c r="T238" s="6">
        <f t="shared" si="24"/>
        <v>1.0389610389610322E-2</v>
      </c>
    </row>
    <row r="239" spans="1:20" hidden="1" x14ac:dyDescent="0.25">
      <c r="A239" s="4" t="s">
        <v>253</v>
      </c>
      <c r="B239" s="5" t="s">
        <v>16</v>
      </c>
      <c r="C239" s="5" t="s">
        <v>1823</v>
      </c>
      <c r="D239" s="5">
        <v>2378.15</v>
      </c>
      <c r="E239" s="5">
        <v>2351.1999999999998</v>
      </c>
      <c r="F239" s="5">
        <v>2378.25</v>
      </c>
      <c r="G239" s="5">
        <v>2299</v>
      </c>
      <c r="H239" s="5">
        <v>2320</v>
      </c>
      <c r="I239" s="5">
        <v>2326.85</v>
      </c>
      <c r="J239" s="5">
        <v>2328.02</v>
      </c>
      <c r="K239" s="5">
        <v>4926</v>
      </c>
      <c r="L239" s="5">
        <v>114.68</v>
      </c>
      <c r="M239" s="5">
        <v>1999</v>
      </c>
      <c r="N239" s="5">
        <v>3026</v>
      </c>
      <c r="O239" s="5">
        <v>61.43</v>
      </c>
      <c r="P239" s="5">
        <f t="shared" si="20"/>
        <v>-51.300000000000182</v>
      </c>
      <c r="Q239" s="6">
        <f t="shared" si="21"/>
        <v>-2.1571389525471555E-2</v>
      </c>
      <c r="R239" s="5">
        <f t="shared" si="22"/>
        <v>79.25</v>
      </c>
      <c r="S239" s="6">
        <f t="shared" si="23"/>
        <v>3.3324222610011986E-2</v>
      </c>
      <c r="T239" s="6">
        <f t="shared" si="24"/>
        <v>-5.0025119451009494E-4</v>
      </c>
    </row>
    <row r="240" spans="1:20" hidden="1" x14ac:dyDescent="0.25">
      <c r="A240" s="4" t="s">
        <v>253</v>
      </c>
      <c r="B240" s="5" t="s">
        <v>254</v>
      </c>
      <c r="C240" s="5" t="s">
        <v>1823</v>
      </c>
      <c r="D240" s="5">
        <v>10.99</v>
      </c>
      <c r="E240" s="5">
        <v>10.59</v>
      </c>
      <c r="F240" s="5">
        <v>10.59</v>
      </c>
      <c r="G240" s="5">
        <v>10.54</v>
      </c>
      <c r="H240" s="5">
        <v>10.55</v>
      </c>
      <c r="I240" s="5">
        <v>10.55</v>
      </c>
      <c r="J240" s="5">
        <v>10.55</v>
      </c>
      <c r="K240" s="5">
        <v>28001</v>
      </c>
      <c r="L240" s="5">
        <v>2.95</v>
      </c>
      <c r="M240" s="5">
        <v>7</v>
      </c>
      <c r="N240" s="5">
        <v>27000</v>
      </c>
      <c r="O240" s="5">
        <v>96.43</v>
      </c>
      <c r="P240" s="5">
        <f t="shared" si="20"/>
        <v>-0.4399999999999995</v>
      </c>
      <c r="Q240" s="6">
        <f t="shared" si="21"/>
        <v>-4.0036396724294765E-2</v>
      </c>
      <c r="R240" s="5">
        <f t="shared" si="22"/>
        <v>5.0000000000000711E-2</v>
      </c>
      <c r="S240" s="6">
        <f t="shared" si="23"/>
        <v>4.549590536851748E-3</v>
      </c>
      <c r="T240" s="6">
        <f t="shared" si="24"/>
        <v>0</v>
      </c>
    </row>
    <row r="241" spans="1:20" hidden="1" x14ac:dyDescent="0.25">
      <c r="A241" s="4" t="s">
        <v>255</v>
      </c>
      <c r="B241" s="5" t="s">
        <v>16</v>
      </c>
      <c r="C241" s="5" t="s">
        <v>1823</v>
      </c>
      <c r="D241" s="5">
        <v>795.7</v>
      </c>
      <c r="E241" s="5">
        <v>789.95</v>
      </c>
      <c r="F241" s="5">
        <v>793.9</v>
      </c>
      <c r="G241" s="5">
        <v>762.05</v>
      </c>
      <c r="H241" s="5">
        <v>777</v>
      </c>
      <c r="I241" s="5">
        <v>770.35</v>
      </c>
      <c r="J241" s="5">
        <v>771.39</v>
      </c>
      <c r="K241" s="5">
        <v>24393</v>
      </c>
      <c r="L241" s="5">
        <v>188.17</v>
      </c>
      <c r="M241" s="5">
        <v>4737</v>
      </c>
      <c r="N241" s="5">
        <v>12221</v>
      </c>
      <c r="O241" s="5">
        <v>50.1</v>
      </c>
      <c r="P241" s="5">
        <f t="shared" si="20"/>
        <v>-25.350000000000023</v>
      </c>
      <c r="Q241" s="6">
        <f t="shared" si="21"/>
        <v>-3.1858740731431467E-2</v>
      </c>
      <c r="R241" s="5">
        <f t="shared" si="22"/>
        <v>31.850000000000023</v>
      </c>
      <c r="S241" s="6">
        <f t="shared" si="23"/>
        <v>4.0027648611285688E-2</v>
      </c>
      <c r="T241" s="6">
        <f t="shared" si="24"/>
        <v>-1.3349378259125088E-3</v>
      </c>
    </row>
    <row r="242" spans="1:20" x14ac:dyDescent="0.25">
      <c r="A242" s="4" t="s">
        <v>868</v>
      </c>
      <c r="B242" s="5" t="s">
        <v>16</v>
      </c>
      <c r="C242" s="5" t="s">
        <v>1823</v>
      </c>
      <c r="D242" s="5">
        <v>592.35</v>
      </c>
      <c r="E242" s="5">
        <v>584.95000000000005</v>
      </c>
      <c r="F242" s="5">
        <v>589.70000000000005</v>
      </c>
      <c r="G242" s="5">
        <v>565.75</v>
      </c>
      <c r="H242" s="5">
        <v>568.70000000000005</v>
      </c>
      <c r="I242" s="5">
        <v>568</v>
      </c>
      <c r="J242" s="5">
        <v>576.78</v>
      </c>
      <c r="K242" s="5">
        <v>390547</v>
      </c>
      <c r="L242" s="5">
        <v>2252.62</v>
      </c>
      <c r="M242" s="5">
        <v>9901</v>
      </c>
      <c r="N242" s="5">
        <v>82381</v>
      </c>
      <c r="O242" s="5">
        <v>21.09</v>
      </c>
      <c r="P242" s="5">
        <f t="shared" si="20"/>
        <v>-24.350000000000023</v>
      </c>
      <c r="Q242" s="6">
        <f t="shared" si="21"/>
        <v>-4.1107453363720813E-2</v>
      </c>
      <c r="R242" s="5">
        <f t="shared" si="22"/>
        <v>23.950000000000045</v>
      </c>
      <c r="S242" s="6">
        <f t="shared" si="23"/>
        <v>4.0432176922427697E-2</v>
      </c>
      <c r="T242" s="6">
        <f t="shared" si="24"/>
        <v>-1.5214001039681117E-2</v>
      </c>
    </row>
    <row r="243" spans="1:20" x14ac:dyDescent="0.25">
      <c r="A243" s="4" t="s">
        <v>52</v>
      </c>
      <c r="B243" s="5" t="s">
        <v>16</v>
      </c>
      <c r="C243" s="5" t="s">
        <v>1823</v>
      </c>
      <c r="D243" s="5">
        <v>232.5</v>
      </c>
      <c r="E243" s="5">
        <v>237.85</v>
      </c>
      <c r="F243" s="5">
        <v>246.8</v>
      </c>
      <c r="G243" s="5">
        <v>233.85</v>
      </c>
      <c r="H243" s="5">
        <v>236.95</v>
      </c>
      <c r="I243" s="5">
        <v>236.65</v>
      </c>
      <c r="J243" s="5">
        <v>240.66</v>
      </c>
      <c r="K243" s="5">
        <v>425944</v>
      </c>
      <c r="L243" s="5">
        <v>1025.08</v>
      </c>
      <c r="M243" s="5">
        <v>7156</v>
      </c>
      <c r="N243" s="5">
        <v>90321</v>
      </c>
      <c r="O243" s="5">
        <v>21.2</v>
      </c>
      <c r="P243" s="5">
        <f t="shared" si="20"/>
        <v>4.1500000000000057</v>
      </c>
      <c r="Q243" s="6">
        <f t="shared" si="21"/>
        <v>1.7849462365591422E-2</v>
      </c>
      <c r="R243" s="5">
        <f t="shared" si="22"/>
        <v>12.950000000000017</v>
      </c>
      <c r="S243" s="6">
        <f t="shared" si="23"/>
        <v>5.5698924731182868E-2</v>
      </c>
      <c r="T243" s="6">
        <f t="shared" si="24"/>
        <v>-1.6793173847039693E-2</v>
      </c>
    </row>
    <row r="244" spans="1:20" x14ac:dyDescent="0.25">
      <c r="A244" s="4" t="s">
        <v>1319</v>
      </c>
      <c r="B244" s="5" t="s">
        <v>16</v>
      </c>
      <c r="C244" s="5" t="s">
        <v>1823</v>
      </c>
      <c r="D244" s="5">
        <v>401</v>
      </c>
      <c r="E244" s="5">
        <v>396.15</v>
      </c>
      <c r="F244" s="5">
        <v>403.6</v>
      </c>
      <c r="G244" s="5">
        <v>377.7</v>
      </c>
      <c r="H244" s="5">
        <v>383</v>
      </c>
      <c r="I244" s="5">
        <v>383.7</v>
      </c>
      <c r="J244" s="5">
        <v>389.87</v>
      </c>
      <c r="K244" s="5">
        <v>8431771</v>
      </c>
      <c r="L244" s="5">
        <v>32872.69</v>
      </c>
      <c r="M244" s="5">
        <v>87332</v>
      </c>
      <c r="N244" s="5">
        <v>1818840</v>
      </c>
      <c r="O244" s="5">
        <v>21.57</v>
      </c>
      <c r="P244" s="5">
        <f t="shared" si="20"/>
        <v>-17.300000000000011</v>
      </c>
      <c r="Q244" s="6">
        <f t="shared" si="21"/>
        <v>-4.3142144638404017E-2</v>
      </c>
      <c r="R244" s="5">
        <f t="shared" si="22"/>
        <v>25.900000000000034</v>
      </c>
      <c r="S244" s="6">
        <f t="shared" si="23"/>
        <v>6.4588528678304322E-2</v>
      </c>
      <c r="T244" s="6">
        <f t="shared" si="24"/>
        <v>-1.580885885404994E-2</v>
      </c>
    </row>
    <row r="245" spans="1:20" hidden="1" x14ac:dyDescent="0.25">
      <c r="A245" s="4" t="s">
        <v>259</v>
      </c>
      <c r="B245" s="5" t="s">
        <v>16</v>
      </c>
      <c r="C245" s="5" t="s">
        <v>1823</v>
      </c>
      <c r="D245" s="5">
        <v>14575.65</v>
      </c>
      <c r="E245" s="5">
        <v>14600</v>
      </c>
      <c r="F245" s="5">
        <v>14637.1</v>
      </c>
      <c r="G245" s="5">
        <v>13831.1</v>
      </c>
      <c r="H245" s="5">
        <v>14075</v>
      </c>
      <c r="I245" s="5">
        <v>14082.4</v>
      </c>
      <c r="J245" s="5">
        <v>14093.75</v>
      </c>
      <c r="K245" s="5">
        <v>23616</v>
      </c>
      <c r="L245" s="5">
        <v>3328.38</v>
      </c>
      <c r="M245" s="5">
        <v>8751</v>
      </c>
      <c r="N245" s="5">
        <v>8017</v>
      </c>
      <c r="O245" s="5">
        <v>33.950000000000003</v>
      </c>
      <c r="P245" s="5">
        <f t="shared" si="20"/>
        <v>-493.25</v>
      </c>
      <c r="Q245" s="6">
        <f t="shared" si="21"/>
        <v>-3.3840686350179922E-2</v>
      </c>
      <c r="R245" s="5">
        <f t="shared" si="22"/>
        <v>806</v>
      </c>
      <c r="S245" s="6">
        <f t="shared" si="23"/>
        <v>5.5297705419655382E-2</v>
      </c>
      <c r="T245" s="6">
        <f t="shared" si="24"/>
        <v>-7.943923598352678E-4</v>
      </c>
    </row>
    <row r="246" spans="1:20" x14ac:dyDescent="0.25">
      <c r="A246" s="4" t="s">
        <v>415</v>
      </c>
      <c r="B246" s="5" t="s">
        <v>16</v>
      </c>
      <c r="C246" s="5" t="s">
        <v>1823</v>
      </c>
      <c r="D246" s="5">
        <v>167.25</v>
      </c>
      <c r="E246" s="5">
        <v>166.8</v>
      </c>
      <c r="F246" s="5">
        <v>167.45</v>
      </c>
      <c r="G246" s="5">
        <v>152.5</v>
      </c>
      <c r="H246" s="5">
        <v>155.80000000000001</v>
      </c>
      <c r="I246" s="5">
        <v>155.75</v>
      </c>
      <c r="J246" s="5">
        <v>158.46</v>
      </c>
      <c r="K246" s="5">
        <v>15184200</v>
      </c>
      <c r="L246" s="5">
        <v>24060.48</v>
      </c>
      <c r="M246" s="5">
        <v>79141</v>
      </c>
      <c r="N246" s="5">
        <v>3281631</v>
      </c>
      <c r="O246" s="5">
        <v>21.61</v>
      </c>
      <c r="P246" s="5">
        <f t="shared" si="20"/>
        <v>-11.5</v>
      </c>
      <c r="Q246" s="6">
        <f t="shared" si="21"/>
        <v>-6.8759342301943194E-2</v>
      </c>
      <c r="R246" s="5">
        <f t="shared" si="22"/>
        <v>14.949999999999989</v>
      </c>
      <c r="S246" s="6">
        <f t="shared" si="23"/>
        <v>8.9387144992526091E-2</v>
      </c>
      <c r="T246" s="6">
        <f t="shared" si="24"/>
        <v>-1.6871595330739349E-2</v>
      </c>
    </row>
    <row r="247" spans="1:20" hidden="1" x14ac:dyDescent="0.25">
      <c r="A247" s="4" t="s">
        <v>261</v>
      </c>
      <c r="B247" s="5" t="s">
        <v>16</v>
      </c>
      <c r="C247" s="5" t="s">
        <v>1823</v>
      </c>
      <c r="D247" s="5">
        <v>20.8</v>
      </c>
      <c r="E247" s="5">
        <v>20.9</v>
      </c>
      <c r="F247" s="5">
        <v>21.05</v>
      </c>
      <c r="G247" s="5">
        <v>20</v>
      </c>
      <c r="H247" s="5">
        <v>20.05</v>
      </c>
      <c r="I247" s="5">
        <v>20.2</v>
      </c>
      <c r="J247" s="5">
        <v>20.54</v>
      </c>
      <c r="K247" s="5">
        <v>97977</v>
      </c>
      <c r="L247" s="5">
        <v>20.12</v>
      </c>
      <c r="M247" s="5">
        <v>578</v>
      </c>
      <c r="N247" s="5">
        <v>57087</v>
      </c>
      <c r="O247" s="5">
        <v>58.27</v>
      </c>
      <c r="P247" s="5">
        <f t="shared" si="20"/>
        <v>-0.60000000000000142</v>
      </c>
      <c r="Q247" s="6">
        <f t="shared" si="21"/>
        <v>-2.8846153846153914E-2</v>
      </c>
      <c r="R247" s="5">
        <f t="shared" si="22"/>
        <v>1.0500000000000007</v>
      </c>
      <c r="S247" s="6">
        <f t="shared" si="23"/>
        <v>5.0480769230769267E-2</v>
      </c>
      <c r="T247" s="6">
        <f t="shared" si="24"/>
        <v>-1.6555082166768098E-2</v>
      </c>
    </row>
    <row r="248" spans="1:20" hidden="1" x14ac:dyDescent="0.25">
      <c r="A248" s="4" t="s">
        <v>262</v>
      </c>
      <c r="B248" s="5" t="s">
        <v>16</v>
      </c>
      <c r="C248" s="5" t="s">
        <v>1823</v>
      </c>
      <c r="D248" s="5">
        <v>6.05</v>
      </c>
      <c r="E248" s="5">
        <v>5.75</v>
      </c>
      <c r="F248" s="5">
        <v>6.35</v>
      </c>
      <c r="G248" s="5">
        <v>5.75</v>
      </c>
      <c r="H248" s="5">
        <v>5.75</v>
      </c>
      <c r="I248" s="5">
        <v>5.75</v>
      </c>
      <c r="J248" s="5">
        <v>5.88</v>
      </c>
      <c r="K248" s="5">
        <v>96636</v>
      </c>
      <c r="L248" s="5">
        <v>5.68</v>
      </c>
      <c r="M248" s="5">
        <v>88</v>
      </c>
      <c r="N248" s="5">
        <v>79487</v>
      </c>
      <c r="O248" s="5">
        <v>82.25</v>
      </c>
      <c r="P248" s="5">
        <f t="shared" si="20"/>
        <v>-0.29999999999999982</v>
      </c>
      <c r="Q248" s="6">
        <f t="shared" si="21"/>
        <v>-4.9586776859504106E-2</v>
      </c>
      <c r="R248" s="5">
        <f t="shared" si="22"/>
        <v>0.59999999999999964</v>
      </c>
      <c r="S248" s="6">
        <f t="shared" si="23"/>
        <v>9.9173553719008212E-2</v>
      </c>
      <c r="T248" s="6">
        <f t="shared" si="24"/>
        <v>-2.2033898305084728E-2</v>
      </c>
    </row>
    <row r="249" spans="1:20" hidden="1" x14ac:dyDescent="0.25">
      <c r="A249" s="4" t="s">
        <v>263</v>
      </c>
      <c r="B249" s="5" t="s">
        <v>16</v>
      </c>
      <c r="C249" s="5" t="s">
        <v>1823</v>
      </c>
      <c r="D249" s="5">
        <v>196.7</v>
      </c>
      <c r="E249" s="5">
        <v>197.1</v>
      </c>
      <c r="F249" s="5">
        <v>198.95</v>
      </c>
      <c r="G249" s="5">
        <v>191.3</v>
      </c>
      <c r="H249" s="5">
        <v>192.1</v>
      </c>
      <c r="I249" s="5">
        <v>193.85</v>
      </c>
      <c r="J249" s="5">
        <v>196.01</v>
      </c>
      <c r="K249" s="5">
        <v>63216</v>
      </c>
      <c r="L249" s="5">
        <v>123.91</v>
      </c>
      <c r="M249" s="5">
        <v>3689</v>
      </c>
      <c r="N249" s="5">
        <v>34188</v>
      </c>
      <c r="O249" s="5">
        <v>54.08</v>
      </c>
      <c r="P249" s="5">
        <f t="shared" si="20"/>
        <v>-2.8499999999999943</v>
      </c>
      <c r="Q249" s="6">
        <f t="shared" si="21"/>
        <v>-1.4489069649211969E-2</v>
      </c>
      <c r="R249" s="5">
        <f t="shared" si="22"/>
        <v>7.6499999999999773</v>
      </c>
      <c r="S249" s="6">
        <f t="shared" si="23"/>
        <v>3.8891713268937353E-2</v>
      </c>
      <c r="T249" s="6">
        <f t="shared" si="24"/>
        <v>-1.1059907834101365E-2</v>
      </c>
    </row>
    <row r="250" spans="1:20" hidden="1" x14ac:dyDescent="0.25">
      <c r="A250" s="4" t="s">
        <v>264</v>
      </c>
      <c r="B250" s="5" t="s">
        <v>28</v>
      </c>
      <c r="C250" s="5" t="s">
        <v>1823</v>
      </c>
      <c r="D250" s="5">
        <v>7.05</v>
      </c>
      <c r="E250" s="5">
        <v>7.05</v>
      </c>
      <c r="F250" s="5">
        <v>7.4</v>
      </c>
      <c r="G250" s="5">
        <v>7.05</v>
      </c>
      <c r="H250" s="5">
        <v>7.4</v>
      </c>
      <c r="I250" s="5">
        <v>7.4</v>
      </c>
      <c r="J250" s="5">
        <v>7.23</v>
      </c>
      <c r="K250" s="5">
        <v>36000</v>
      </c>
      <c r="L250" s="5">
        <v>2.6</v>
      </c>
      <c r="M250" s="5">
        <v>2</v>
      </c>
      <c r="N250" s="5">
        <v>36000</v>
      </c>
      <c r="O250" s="5">
        <v>100</v>
      </c>
      <c r="P250" s="5">
        <f t="shared" si="20"/>
        <v>0.35000000000000053</v>
      </c>
      <c r="Q250" s="6">
        <f t="shared" si="21"/>
        <v>4.9645390070922064E-2</v>
      </c>
      <c r="R250" s="5">
        <f t="shared" si="22"/>
        <v>0.35000000000000053</v>
      </c>
      <c r="S250" s="6">
        <f t="shared" si="23"/>
        <v>4.9645390070922064E-2</v>
      </c>
      <c r="T250" s="6">
        <f t="shared" si="24"/>
        <v>2.3529411764705875E-2</v>
      </c>
    </row>
    <row r="251" spans="1:20" hidden="1" x14ac:dyDescent="0.25">
      <c r="A251" s="4" t="s">
        <v>265</v>
      </c>
      <c r="B251" s="5" t="s">
        <v>16</v>
      </c>
      <c r="C251" s="5" t="s">
        <v>1823</v>
      </c>
      <c r="D251" s="5">
        <v>3080.2</v>
      </c>
      <c r="E251" s="5">
        <v>3079.95</v>
      </c>
      <c r="F251" s="5">
        <v>3090.3</v>
      </c>
      <c r="G251" s="5">
        <v>3001</v>
      </c>
      <c r="H251" s="5">
        <v>3048.7</v>
      </c>
      <c r="I251" s="5">
        <v>3036</v>
      </c>
      <c r="J251" s="5">
        <v>3046.58</v>
      </c>
      <c r="K251" s="5">
        <v>582998</v>
      </c>
      <c r="L251" s="5">
        <v>17761.52</v>
      </c>
      <c r="M251" s="5">
        <v>38248</v>
      </c>
      <c r="N251" s="5">
        <v>277093</v>
      </c>
      <c r="O251" s="5">
        <v>47.53</v>
      </c>
      <c r="P251" s="5">
        <f t="shared" si="20"/>
        <v>-44.199999999999818</v>
      </c>
      <c r="Q251" s="6">
        <f t="shared" si="21"/>
        <v>-1.4349717550808331E-2</v>
      </c>
      <c r="R251" s="5">
        <f t="shared" si="22"/>
        <v>89.300000000000182</v>
      </c>
      <c r="S251" s="6">
        <f t="shared" si="23"/>
        <v>2.8991623920524703E-2</v>
      </c>
      <c r="T251" s="6">
        <f t="shared" si="24"/>
        <v>-3.4667922750824067E-3</v>
      </c>
    </row>
    <row r="252" spans="1:20" hidden="1" x14ac:dyDescent="0.25">
      <c r="A252" s="4" t="s">
        <v>266</v>
      </c>
      <c r="B252" s="5" t="s">
        <v>16</v>
      </c>
      <c r="C252" s="5" t="s">
        <v>1823</v>
      </c>
      <c r="D252" s="5">
        <v>70.650000000000006</v>
      </c>
      <c r="E252" s="5">
        <v>69.650000000000006</v>
      </c>
      <c r="F252" s="5">
        <v>71.5</v>
      </c>
      <c r="G252" s="5">
        <v>68.3</v>
      </c>
      <c r="H252" s="5">
        <v>71.400000000000006</v>
      </c>
      <c r="I252" s="5">
        <v>69.7</v>
      </c>
      <c r="J252" s="5">
        <v>70.599999999999994</v>
      </c>
      <c r="K252" s="5">
        <v>50794</v>
      </c>
      <c r="L252" s="5">
        <v>35.86</v>
      </c>
      <c r="M252" s="5">
        <v>1638</v>
      </c>
      <c r="N252" s="5">
        <v>40716</v>
      </c>
      <c r="O252" s="5">
        <v>80.16</v>
      </c>
      <c r="P252" s="5">
        <f t="shared" si="20"/>
        <v>-0.95000000000000284</v>
      </c>
      <c r="Q252" s="6">
        <f t="shared" si="21"/>
        <v>-1.3446567586695015E-2</v>
      </c>
      <c r="R252" s="5">
        <f t="shared" si="22"/>
        <v>3.2000000000000028</v>
      </c>
      <c r="S252" s="6">
        <f t="shared" si="23"/>
        <v>4.5293701344656795E-2</v>
      </c>
      <c r="T252" s="6">
        <f t="shared" si="24"/>
        <v>-1.289629231595904E-2</v>
      </c>
    </row>
    <row r="253" spans="1:20" hidden="1" x14ac:dyDescent="0.25">
      <c r="A253" s="4" t="s">
        <v>267</v>
      </c>
      <c r="B253" s="5" t="s">
        <v>16</v>
      </c>
      <c r="C253" s="5" t="s">
        <v>1823</v>
      </c>
      <c r="D253" s="5">
        <v>38.25</v>
      </c>
      <c r="E253" s="5">
        <v>37.6</v>
      </c>
      <c r="F253" s="5">
        <v>38.799999999999997</v>
      </c>
      <c r="G253" s="5">
        <v>36.5</v>
      </c>
      <c r="H253" s="5">
        <v>36.549999999999997</v>
      </c>
      <c r="I253" s="5">
        <v>36.65</v>
      </c>
      <c r="J253" s="5">
        <v>37.79</v>
      </c>
      <c r="K253" s="5">
        <v>14641</v>
      </c>
      <c r="L253" s="5">
        <v>5.53</v>
      </c>
      <c r="M253" s="5">
        <v>266</v>
      </c>
      <c r="N253" s="5">
        <v>9841</v>
      </c>
      <c r="O253" s="5">
        <v>67.22</v>
      </c>
      <c r="P253" s="5">
        <f t="shared" si="20"/>
        <v>-1.6000000000000014</v>
      </c>
      <c r="Q253" s="6">
        <f t="shared" si="21"/>
        <v>-4.1830065359477163E-2</v>
      </c>
      <c r="R253" s="5">
        <f t="shared" si="22"/>
        <v>2.2999999999999972</v>
      </c>
      <c r="S253" s="6">
        <f t="shared" si="23"/>
        <v>6.0130718954248291E-2</v>
      </c>
      <c r="T253" s="6">
        <f t="shared" si="24"/>
        <v>-3.0491474423269823E-2</v>
      </c>
    </row>
    <row r="254" spans="1:20" hidden="1" x14ac:dyDescent="0.25">
      <c r="A254" s="4" t="s">
        <v>268</v>
      </c>
      <c r="B254" s="5" t="s">
        <v>16</v>
      </c>
      <c r="C254" s="5" t="s">
        <v>1823</v>
      </c>
      <c r="D254" s="5">
        <v>559.79999999999995</v>
      </c>
      <c r="E254" s="5">
        <v>557</v>
      </c>
      <c r="F254" s="5">
        <v>565.5</v>
      </c>
      <c r="G254" s="5">
        <v>554.1</v>
      </c>
      <c r="H254" s="5">
        <v>562.54999999999995</v>
      </c>
      <c r="I254" s="5">
        <v>563.04999999999995</v>
      </c>
      <c r="J254" s="5">
        <v>562.58000000000004</v>
      </c>
      <c r="K254" s="5">
        <v>328274</v>
      </c>
      <c r="L254" s="5">
        <v>1846.8</v>
      </c>
      <c r="M254" s="5">
        <v>18349</v>
      </c>
      <c r="N254" s="5">
        <v>273304</v>
      </c>
      <c r="O254" s="5">
        <v>83.25</v>
      </c>
      <c r="P254" s="5">
        <f t="shared" si="20"/>
        <v>3.25</v>
      </c>
      <c r="Q254" s="6">
        <f t="shared" si="21"/>
        <v>5.8056448731689898E-3</v>
      </c>
      <c r="R254" s="5">
        <f t="shared" si="22"/>
        <v>11.399999999999977</v>
      </c>
      <c r="S254" s="6">
        <f t="shared" si="23"/>
        <v>2.0364415862808107E-2</v>
      </c>
      <c r="T254" s="6">
        <f t="shared" si="24"/>
        <v>8.3941687317199321E-4</v>
      </c>
    </row>
    <row r="255" spans="1:20" hidden="1" x14ac:dyDescent="0.25">
      <c r="A255" s="4" t="s">
        <v>269</v>
      </c>
      <c r="B255" s="5" t="s">
        <v>39</v>
      </c>
      <c r="C255" s="5" t="s">
        <v>1823</v>
      </c>
      <c r="D255" s="5">
        <v>1.1000000000000001</v>
      </c>
      <c r="E255" s="5">
        <v>1.05</v>
      </c>
      <c r="F255" s="5">
        <v>1.05</v>
      </c>
      <c r="G255" s="5">
        <v>1.05</v>
      </c>
      <c r="H255" s="5">
        <v>1.05</v>
      </c>
      <c r="I255" s="5">
        <v>1.05</v>
      </c>
      <c r="J255" s="5">
        <v>1.05</v>
      </c>
      <c r="K255" s="5">
        <v>11306</v>
      </c>
      <c r="L255" s="5">
        <v>0.12</v>
      </c>
      <c r="M255" s="5">
        <v>12</v>
      </c>
      <c r="N255" s="5" t="s">
        <v>25</v>
      </c>
      <c r="O255" s="5" t="s">
        <v>25</v>
      </c>
      <c r="P255" s="5">
        <f t="shared" si="20"/>
        <v>-5.0000000000000044E-2</v>
      </c>
      <c r="Q255" s="6">
        <f t="shared" si="21"/>
        <v>-4.5454545454545491E-2</v>
      </c>
      <c r="R255" s="5">
        <f t="shared" si="22"/>
        <v>0</v>
      </c>
      <c r="S255" s="6">
        <f t="shared" si="23"/>
        <v>0</v>
      </c>
      <c r="T255" s="6">
        <f t="shared" si="24"/>
        <v>0</v>
      </c>
    </row>
    <row r="256" spans="1:20" hidden="1" x14ac:dyDescent="0.25">
      <c r="A256" s="4" t="s">
        <v>270</v>
      </c>
      <c r="B256" s="5" t="s">
        <v>28</v>
      </c>
      <c r="C256" s="5" t="s">
        <v>1823</v>
      </c>
      <c r="D256" s="5">
        <v>126.45</v>
      </c>
      <c r="E256" s="5">
        <v>126.3</v>
      </c>
      <c r="F256" s="5">
        <v>126.35</v>
      </c>
      <c r="G256" s="5">
        <v>126.3</v>
      </c>
      <c r="H256" s="5">
        <v>126.35</v>
      </c>
      <c r="I256" s="5">
        <v>126.35</v>
      </c>
      <c r="J256" s="5">
        <v>126.33</v>
      </c>
      <c r="K256" s="5">
        <v>2000</v>
      </c>
      <c r="L256" s="5">
        <v>2.5299999999999998</v>
      </c>
      <c r="M256" s="5">
        <v>2</v>
      </c>
      <c r="N256" s="5">
        <v>1000</v>
      </c>
      <c r="O256" s="5">
        <v>50</v>
      </c>
      <c r="P256" s="5">
        <f t="shared" si="20"/>
        <v>-0.10000000000000853</v>
      </c>
      <c r="Q256" s="6">
        <f t="shared" si="21"/>
        <v>-7.9082641360228177E-4</v>
      </c>
      <c r="R256" s="5">
        <f t="shared" si="22"/>
        <v>4.9999999999997158E-2</v>
      </c>
      <c r="S256" s="6">
        <f t="shared" si="23"/>
        <v>3.9541320680108467E-4</v>
      </c>
      <c r="T256" s="6">
        <f t="shared" si="24"/>
        <v>1.5832178903618462E-4</v>
      </c>
    </row>
    <row r="257" spans="1:20" hidden="1" x14ac:dyDescent="0.25">
      <c r="A257" s="4" t="s">
        <v>271</v>
      </c>
      <c r="B257" s="5" t="s">
        <v>16</v>
      </c>
      <c r="C257" s="5" t="s">
        <v>1823</v>
      </c>
      <c r="D257" s="5">
        <v>30.85</v>
      </c>
      <c r="E257" s="5">
        <v>30.15</v>
      </c>
      <c r="F257" s="5">
        <v>31.85</v>
      </c>
      <c r="G257" s="5">
        <v>30.15</v>
      </c>
      <c r="H257" s="5">
        <v>30.55</v>
      </c>
      <c r="I257" s="5">
        <v>30.55</v>
      </c>
      <c r="J257" s="5">
        <v>30.95</v>
      </c>
      <c r="K257" s="5">
        <v>1357</v>
      </c>
      <c r="L257" s="5">
        <v>0.42</v>
      </c>
      <c r="M257" s="5">
        <v>61</v>
      </c>
      <c r="N257" s="5">
        <v>556</v>
      </c>
      <c r="O257" s="5">
        <v>40.97</v>
      </c>
      <c r="P257" s="5">
        <f t="shared" si="20"/>
        <v>-0.30000000000000071</v>
      </c>
      <c r="Q257" s="6">
        <f t="shared" si="21"/>
        <v>-9.7244732576985647E-3</v>
      </c>
      <c r="R257" s="5">
        <f t="shared" si="22"/>
        <v>1.7000000000000028</v>
      </c>
      <c r="S257" s="6">
        <f t="shared" si="23"/>
        <v>5.5105348460291824E-2</v>
      </c>
      <c r="T257" s="6">
        <f t="shared" si="24"/>
        <v>-1.3039934800325951E-2</v>
      </c>
    </row>
    <row r="258" spans="1:20" hidden="1" x14ac:dyDescent="0.25">
      <c r="A258" s="4" t="s">
        <v>272</v>
      </c>
      <c r="B258" s="5" t="s">
        <v>16</v>
      </c>
      <c r="C258" s="5" t="s">
        <v>1823</v>
      </c>
      <c r="D258" s="5">
        <v>3498</v>
      </c>
      <c r="E258" s="5">
        <v>3471.05</v>
      </c>
      <c r="F258" s="5">
        <v>3549</v>
      </c>
      <c r="G258" s="5">
        <v>3461</v>
      </c>
      <c r="H258" s="5">
        <v>3549</v>
      </c>
      <c r="I258" s="5">
        <v>3505.55</v>
      </c>
      <c r="J258" s="5">
        <v>3486.36</v>
      </c>
      <c r="K258" s="5">
        <v>113</v>
      </c>
      <c r="L258" s="5">
        <v>3.94</v>
      </c>
      <c r="M258" s="5">
        <v>23</v>
      </c>
      <c r="N258" s="5">
        <v>72</v>
      </c>
      <c r="O258" s="5">
        <v>63.72</v>
      </c>
      <c r="P258" s="5">
        <f t="shared" si="20"/>
        <v>7.5500000000001819</v>
      </c>
      <c r="Q258" s="6">
        <f t="shared" si="21"/>
        <v>2.1583762149800408E-3</v>
      </c>
      <c r="R258" s="5">
        <f t="shared" si="22"/>
        <v>88</v>
      </c>
      <c r="S258" s="6">
        <f t="shared" si="23"/>
        <v>2.5157232704402517E-2</v>
      </c>
      <c r="T258" s="6">
        <f t="shared" si="24"/>
        <v>5.4881100481889971E-3</v>
      </c>
    </row>
    <row r="259" spans="1:20" hidden="1" x14ac:dyDescent="0.25">
      <c r="A259" s="4" t="s">
        <v>273</v>
      </c>
      <c r="B259" s="5" t="s">
        <v>16</v>
      </c>
      <c r="C259" s="5" t="s">
        <v>1823</v>
      </c>
      <c r="D259" s="5">
        <v>125.83</v>
      </c>
      <c r="E259" s="5">
        <v>125.4</v>
      </c>
      <c r="F259" s="5">
        <v>125.55</v>
      </c>
      <c r="G259" s="5">
        <v>124.13</v>
      </c>
      <c r="H259" s="5">
        <v>124.13</v>
      </c>
      <c r="I259" s="5">
        <v>124.13</v>
      </c>
      <c r="J259" s="5">
        <v>124.34</v>
      </c>
      <c r="K259" s="5">
        <v>171</v>
      </c>
      <c r="L259" s="5">
        <v>0.21</v>
      </c>
      <c r="M259" s="5">
        <v>6</v>
      </c>
      <c r="N259" s="5">
        <v>145</v>
      </c>
      <c r="O259" s="5">
        <v>84.8</v>
      </c>
      <c r="P259" s="5">
        <f t="shared" si="20"/>
        <v>-1.7000000000000028</v>
      </c>
      <c r="Q259" s="6">
        <f t="shared" si="21"/>
        <v>-1.3510291663355344E-2</v>
      </c>
      <c r="R259" s="5">
        <f t="shared" si="22"/>
        <v>1.4200000000000017</v>
      </c>
      <c r="S259" s="6">
        <f t="shared" si="23"/>
        <v>1.1285067154096811E-2</v>
      </c>
      <c r="T259" s="6">
        <f t="shared" si="24"/>
        <v>-1.6826586005889944E-3</v>
      </c>
    </row>
    <row r="260" spans="1:20" x14ac:dyDescent="0.25">
      <c r="A260" s="4" t="s">
        <v>936</v>
      </c>
      <c r="B260" s="5" t="s">
        <v>16</v>
      </c>
      <c r="C260" s="5" t="s">
        <v>1823</v>
      </c>
      <c r="D260" s="5">
        <v>97.05</v>
      </c>
      <c r="E260" s="5">
        <v>96.7</v>
      </c>
      <c r="F260" s="5">
        <v>96.7</v>
      </c>
      <c r="G260" s="5">
        <v>93.25</v>
      </c>
      <c r="H260" s="5">
        <v>93.8</v>
      </c>
      <c r="I260" s="5">
        <v>94.1</v>
      </c>
      <c r="J260" s="5">
        <v>94.68</v>
      </c>
      <c r="K260" s="5">
        <v>7593885</v>
      </c>
      <c r="L260" s="5">
        <v>7189.96</v>
      </c>
      <c r="M260" s="5">
        <v>32858</v>
      </c>
      <c r="N260" s="5">
        <v>1675343</v>
      </c>
      <c r="O260" s="5">
        <v>22.06</v>
      </c>
      <c r="P260" s="5">
        <f t="shared" si="20"/>
        <v>-2.9500000000000028</v>
      </c>
      <c r="Q260" s="6">
        <f t="shared" si="21"/>
        <v>-3.0396702730551291E-2</v>
      </c>
      <c r="R260" s="5">
        <f t="shared" si="22"/>
        <v>3.4500000000000028</v>
      </c>
      <c r="S260" s="6">
        <f t="shared" si="23"/>
        <v>3.5548686244204049E-2</v>
      </c>
      <c r="T260" s="6">
        <f t="shared" si="24"/>
        <v>-6.0932370321734736E-3</v>
      </c>
    </row>
    <row r="261" spans="1:20" hidden="1" x14ac:dyDescent="0.25">
      <c r="A261" s="4" t="s">
        <v>275</v>
      </c>
      <c r="B261" s="5" t="s">
        <v>39</v>
      </c>
      <c r="C261" s="5" t="s">
        <v>1823</v>
      </c>
      <c r="D261" s="5">
        <v>1.55</v>
      </c>
      <c r="E261" s="5">
        <v>1.5</v>
      </c>
      <c r="F261" s="5">
        <v>1.55</v>
      </c>
      <c r="G261" s="5">
        <v>1.5</v>
      </c>
      <c r="H261" s="5">
        <v>1.55</v>
      </c>
      <c r="I261" s="5">
        <v>1.55</v>
      </c>
      <c r="J261" s="5">
        <v>1.55</v>
      </c>
      <c r="K261" s="5">
        <v>8798</v>
      </c>
      <c r="L261" s="5">
        <v>0.14000000000000001</v>
      </c>
      <c r="M261" s="5">
        <v>26</v>
      </c>
      <c r="N261" s="5" t="s">
        <v>25</v>
      </c>
      <c r="O261" s="5" t="s">
        <v>25</v>
      </c>
      <c r="P261" s="5">
        <f t="shared" si="20"/>
        <v>0</v>
      </c>
      <c r="Q261" s="6">
        <f t="shared" si="21"/>
        <v>0</v>
      </c>
      <c r="R261" s="5">
        <f t="shared" si="22"/>
        <v>5.0000000000000044E-2</v>
      </c>
      <c r="S261" s="6">
        <f t="shared" si="23"/>
        <v>3.2258064516129059E-2</v>
      </c>
      <c r="T261" s="6">
        <f t="shared" si="24"/>
        <v>0</v>
      </c>
    </row>
    <row r="262" spans="1:20" hidden="1" x14ac:dyDescent="0.25">
      <c r="A262" s="4" t="s">
        <v>276</v>
      </c>
      <c r="B262" s="5" t="s">
        <v>16</v>
      </c>
      <c r="C262" s="5" t="s">
        <v>1823</v>
      </c>
      <c r="D262" s="5">
        <v>166.55</v>
      </c>
      <c r="E262" s="5">
        <v>166.35</v>
      </c>
      <c r="F262" s="5">
        <v>166.4</v>
      </c>
      <c r="G262" s="5">
        <v>161</v>
      </c>
      <c r="H262" s="5">
        <v>161.55000000000001</v>
      </c>
      <c r="I262" s="5">
        <v>161.85</v>
      </c>
      <c r="J262" s="5">
        <v>163.44</v>
      </c>
      <c r="K262" s="5">
        <v>12188</v>
      </c>
      <c r="L262" s="5">
        <v>19.920000000000002</v>
      </c>
      <c r="M262" s="5">
        <v>445</v>
      </c>
      <c r="N262" s="5">
        <v>6089</v>
      </c>
      <c r="O262" s="5">
        <v>49.96</v>
      </c>
      <c r="P262" s="5">
        <f t="shared" si="20"/>
        <v>-4.7000000000000171</v>
      </c>
      <c r="Q262" s="6">
        <f t="shared" si="21"/>
        <v>-2.8219753827679477E-2</v>
      </c>
      <c r="R262" s="5">
        <f t="shared" si="22"/>
        <v>5.4000000000000057</v>
      </c>
      <c r="S262" s="6">
        <f t="shared" si="23"/>
        <v>3.2422695887121017E-2</v>
      </c>
      <c r="T262" s="6">
        <f t="shared" si="24"/>
        <v>-9.7010372178157611E-3</v>
      </c>
    </row>
    <row r="263" spans="1:20" hidden="1" x14ac:dyDescent="0.25">
      <c r="A263" s="4" t="s">
        <v>277</v>
      </c>
      <c r="B263" s="5" t="s">
        <v>39</v>
      </c>
      <c r="C263" s="5" t="s">
        <v>1823</v>
      </c>
      <c r="D263" s="5">
        <v>13.75</v>
      </c>
      <c r="E263" s="5">
        <v>14.4</v>
      </c>
      <c r="F263" s="5">
        <v>14.4</v>
      </c>
      <c r="G263" s="5">
        <v>13.1</v>
      </c>
      <c r="H263" s="5">
        <v>13.1</v>
      </c>
      <c r="I263" s="5">
        <v>13.1</v>
      </c>
      <c r="J263" s="5">
        <v>13.14</v>
      </c>
      <c r="K263" s="5">
        <v>10976</v>
      </c>
      <c r="L263" s="5">
        <v>1.44</v>
      </c>
      <c r="M263" s="5">
        <v>11</v>
      </c>
      <c r="N263" s="5" t="s">
        <v>25</v>
      </c>
      <c r="O263" s="5" t="s">
        <v>25</v>
      </c>
      <c r="P263" s="5">
        <f t="shared" si="20"/>
        <v>-0.65000000000000036</v>
      </c>
      <c r="Q263" s="6">
        <f t="shared" si="21"/>
        <v>-4.72727272727273E-2</v>
      </c>
      <c r="R263" s="5">
        <f t="shared" si="22"/>
        <v>1.3000000000000007</v>
      </c>
      <c r="S263" s="6">
        <f t="shared" si="23"/>
        <v>9.4545454545454599E-2</v>
      </c>
      <c r="T263" s="6">
        <f t="shared" si="24"/>
        <v>-2.9090909090909761E-3</v>
      </c>
    </row>
    <row r="264" spans="1:20" hidden="1" x14ac:dyDescent="0.25">
      <c r="A264" s="4" t="s">
        <v>278</v>
      </c>
      <c r="B264" s="5" t="s">
        <v>16</v>
      </c>
      <c r="C264" s="5" t="s">
        <v>1823</v>
      </c>
      <c r="D264" s="5">
        <v>23.2</v>
      </c>
      <c r="E264" s="5">
        <v>23.9</v>
      </c>
      <c r="F264" s="5">
        <v>24.5</v>
      </c>
      <c r="G264" s="5">
        <v>23</v>
      </c>
      <c r="H264" s="5">
        <v>23.5</v>
      </c>
      <c r="I264" s="5">
        <v>23.45</v>
      </c>
      <c r="J264" s="5">
        <v>23.92</v>
      </c>
      <c r="K264" s="5">
        <v>33053</v>
      </c>
      <c r="L264" s="5">
        <v>7.91</v>
      </c>
      <c r="M264" s="5">
        <v>548</v>
      </c>
      <c r="N264" s="5">
        <v>25860</v>
      </c>
      <c r="O264" s="5">
        <v>78.239999999999995</v>
      </c>
      <c r="P264" s="5">
        <f t="shared" si="20"/>
        <v>0.25</v>
      </c>
      <c r="Q264" s="6">
        <f t="shared" si="21"/>
        <v>1.0775862068965518E-2</v>
      </c>
      <c r="R264" s="5">
        <f t="shared" si="22"/>
        <v>1.5</v>
      </c>
      <c r="S264" s="6">
        <f t="shared" si="23"/>
        <v>6.4655172413793108E-2</v>
      </c>
      <c r="T264" s="6">
        <f t="shared" si="24"/>
        <v>-1.9820769636267891E-2</v>
      </c>
    </row>
    <row r="265" spans="1:20" hidden="1" x14ac:dyDescent="0.25">
      <c r="A265" s="4" t="s">
        <v>279</v>
      </c>
      <c r="B265" s="5" t="s">
        <v>16</v>
      </c>
      <c r="C265" s="5" t="s">
        <v>1823</v>
      </c>
      <c r="D265" s="5">
        <v>253.95</v>
      </c>
      <c r="E265" s="5">
        <v>251.15</v>
      </c>
      <c r="F265" s="5">
        <v>252.5</v>
      </c>
      <c r="G265" s="5">
        <v>245.65</v>
      </c>
      <c r="H265" s="5">
        <v>248</v>
      </c>
      <c r="I265" s="5">
        <v>249.1</v>
      </c>
      <c r="J265" s="5">
        <v>248.94</v>
      </c>
      <c r="K265" s="5">
        <v>1275169</v>
      </c>
      <c r="L265" s="5">
        <v>3174.43</v>
      </c>
      <c r="M265" s="5">
        <v>29447</v>
      </c>
      <c r="N265" s="5">
        <v>495583</v>
      </c>
      <c r="O265" s="5">
        <v>38.86</v>
      </c>
      <c r="P265" s="5">
        <f t="shared" si="20"/>
        <v>-4.8499999999999943</v>
      </c>
      <c r="Q265" s="6">
        <f t="shared" si="21"/>
        <v>-1.9098247686552449E-2</v>
      </c>
      <c r="R265" s="5">
        <f t="shared" si="22"/>
        <v>6.8499999999999943</v>
      </c>
      <c r="S265" s="6">
        <f t="shared" si="23"/>
        <v>2.6973813742862746E-2</v>
      </c>
      <c r="T265" s="6">
        <f t="shared" si="24"/>
        <v>6.4102564102562736E-4</v>
      </c>
    </row>
    <row r="266" spans="1:20" hidden="1" x14ac:dyDescent="0.25">
      <c r="A266" s="4" t="s">
        <v>280</v>
      </c>
      <c r="B266" s="5" t="s">
        <v>28</v>
      </c>
      <c r="C266" s="5" t="s">
        <v>1823</v>
      </c>
      <c r="D266" s="5">
        <v>47</v>
      </c>
      <c r="E266" s="5">
        <v>47</v>
      </c>
      <c r="F266" s="5">
        <v>47</v>
      </c>
      <c r="G266" s="5">
        <v>45.15</v>
      </c>
      <c r="H266" s="5">
        <v>45.75</v>
      </c>
      <c r="I266" s="5">
        <v>45.75</v>
      </c>
      <c r="J266" s="5">
        <v>45.79</v>
      </c>
      <c r="K266" s="5">
        <v>8000</v>
      </c>
      <c r="L266" s="5">
        <v>3.66</v>
      </c>
      <c r="M266" s="5">
        <v>4</v>
      </c>
      <c r="N266" s="5">
        <v>8000</v>
      </c>
      <c r="O266" s="5">
        <v>100</v>
      </c>
      <c r="P266" s="5">
        <f t="shared" si="20"/>
        <v>-1.25</v>
      </c>
      <c r="Q266" s="6">
        <f t="shared" si="21"/>
        <v>-2.6595744680851064E-2</v>
      </c>
      <c r="R266" s="5">
        <f t="shared" si="22"/>
        <v>1.8500000000000014</v>
      </c>
      <c r="S266" s="6">
        <f t="shared" si="23"/>
        <v>3.9361702127659604E-2</v>
      </c>
      <c r="T266" s="6">
        <f t="shared" si="24"/>
        <v>-8.6533261222280469E-4</v>
      </c>
    </row>
    <row r="267" spans="1:20" hidden="1" x14ac:dyDescent="0.25">
      <c r="A267" s="4" t="s">
        <v>281</v>
      </c>
      <c r="B267" s="5" t="s">
        <v>16</v>
      </c>
      <c r="C267" s="5" t="s">
        <v>1823</v>
      </c>
      <c r="D267" s="5">
        <v>12.8</v>
      </c>
      <c r="E267" s="5">
        <v>13.1</v>
      </c>
      <c r="F267" s="5">
        <v>13.1</v>
      </c>
      <c r="G267" s="5">
        <v>12.2</v>
      </c>
      <c r="H267" s="5">
        <v>12.25</v>
      </c>
      <c r="I267" s="5">
        <v>12.25</v>
      </c>
      <c r="J267" s="5">
        <v>12.36</v>
      </c>
      <c r="K267" s="5">
        <v>35160</v>
      </c>
      <c r="L267" s="5">
        <v>4.34</v>
      </c>
      <c r="M267" s="5">
        <v>118</v>
      </c>
      <c r="N267" s="5">
        <v>24224</v>
      </c>
      <c r="O267" s="5">
        <v>68.900000000000006</v>
      </c>
      <c r="P267" s="5">
        <f t="shared" si="20"/>
        <v>-0.55000000000000071</v>
      </c>
      <c r="Q267" s="6">
        <f t="shared" si="21"/>
        <v>-4.2968750000000056E-2</v>
      </c>
      <c r="R267" s="5">
        <f t="shared" si="22"/>
        <v>0.90000000000000036</v>
      </c>
      <c r="S267" s="6">
        <f t="shared" si="23"/>
        <v>7.0312500000000028E-2</v>
      </c>
      <c r="T267" s="6">
        <f t="shared" si="24"/>
        <v>-8.6870681145113076E-3</v>
      </c>
    </row>
    <row r="268" spans="1:20" hidden="1" x14ac:dyDescent="0.25">
      <c r="A268" s="4" t="s">
        <v>282</v>
      </c>
      <c r="B268" s="5" t="s">
        <v>16</v>
      </c>
      <c r="C268" s="5" t="s">
        <v>1823</v>
      </c>
      <c r="D268" s="5">
        <v>59.95</v>
      </c>
      <c r="E268" s="5">
        <v>59.9</v>
      </c>
      <c r="F268" s="5">
        <v>61</v>
      </c>
      <c r="G268" s="5">
        <v>57.7</v>
      </c>
      <c r="H268" s="5">
        <v>57.75</v>
      </c>
      <c r="I268" s="5">
        <v>58.1</v>
      </c>
      <c r="J268" s="5">
        <v>59.15</v>
      </c>
      <c r="K268" s="5">
        <v>63114</v>
      </c>
      <c r="L268" s="5">
        <v>37.33</v>
      </c>
      <c r="M268" s="5">
        <v>2352</v>
      </c>
      <c r="N268" s="5">
        <v>46135</v>
      </c>
      <c r="O268" s="5">
        <v>73.099999999999994</v>
      </c>
      <c r="P268" s="5">
        <f t="shared" ref="P268:P331" si="25">I268-D268</f>
        <v>-1.8500000000000014</v>
      </c>
      <c r="Q268" s="6">
        <f t="shared" ref="Q268:Q331" si="26">P268/D268</f>
        <v>-3.0859049207673083E-2</v>
      </c>
      <c r="R268" s="5">
        <f t="shared" ref="R268:R331" si="27">ABS(F268-G268)</f>
        <v>3.2999999999999972</v>
      </c>
      <c r="S268" s="6">
        <f t="shared" ref="S268:S331" si="28">R268/D268</f>
        <v>5.5045871559632975E-2</v>
      </c>
      <c r="T268" s="6">
        <f t="shared" ref="T268:T331" si="29">(I268-J268)/AVERAGE(E268:G268,I268)</f>
        <v>-1.7743979721165985E-2</v>
      </c>
    </row>
    <row r="269" spans="1:20" x14ac:dyDescent="0.25">
      <c r="A269" s="4" t="s">
        <v>257</v>
      </c>
      <c r="B269" s="5" t="s">
        <v>16</v>
      </c>
      <c r="C269" s="5" t="s">
        <v>1823</v>
      </c>
      <c r="D269" s="5">
        <v>88.8</v>
      </c>
      <c r="E269" s="5">
        <v>88.8</v>
      </c>
      <c r="F269" s="5">
        <v>89.9</v>
      </c>
      <c r="G269" s="5">
        <v>85.5</v>
      </c>
      <c r="H269" s="5">
        <v>85.7</v>
      </c>
      <c r="I269" s="5">
        <v>86.1</v>
      </c>
      <c r="J269" s="5">
        <v>87.84</v>
      </c>
      <c r="K269" s="5">
        <v>1680268</v>
      </c>
      <c r="L269" s="5">
        <v>1475.95</v>
      </c>
      <c r="M269" s="5">
        <v>9670</v>
      </c>
      <c r="N269" s="5">
        <v>371067</v>
      </c>
      <c r="O269" s="5">
        <v>22.08</v>
      </c>
      <c r="P269" s="5">
        <f t="shared" si="25"/>
        <v>-2.7000000000000028</v>
      </c>
      <c r="Q269" s="6">
        <f t="shared" si="26"/>
        <v>-3.0405405405405438E-2</v>
      </c>
      <c r="R269" s="5">
        <f t="shared" si="27"/>
        <v>4.4000000000000057</v>
      </c>
      <c r="S269" s="6">
        <f t="shared" si="28"/>
        <v>4.9549549549549612E-2</v>
      </c>
      <c r="T269" s="6">
        <f t="shared" si="29"/>
        <v>-1.9868683985155688E-2</v>
      </c>
    </row>
    <row r="270" spans="1:20" hidden="1" x14ac:dyDescent="0.25">
      <c r="A270" s="4" t="s">
        <v>284</v>
      </c>
      <c r="B270" s="5" t="s">
        <v>24</v>
      </c>
      <c r="C270" s="5" t="s">
        <v>1823</v>
      </c>
      <c r="D270" s="5">
        <v>3.6</v>
      </c>
      <c r="E270" s="5">
        <v>3.5</v>
      </c>
      <c r="F270" s="5">
        <v>3.65</v>
      </c>
      <c r="G270" s="5">
        <v>3.5</v>
      </c>
      <c r="H270" s="5">
        <v>3.5</v>
      </c>
      <c r="I270" s="5">
        <v>3.5</v>
      </c>
      <c r="J270" s="5">
        <v>3.58</v>
      </c>
      <c r="K270" s="5">
        <v>1700</v>
      </c>
      <c r="L270" s="5">
        <v>0.06</v>
      </c>
      <c r="M270" s="5">
        <v>9</v>
      </c>
      <c r="N270" s="5" t="s">
        <v>25</v>
      </c>
      <c r="O270" s="5" t="s">
        <v>25</v>
      </c>
      <c r="P270" s="5">
        <f t="shared" si="25"/>
        <v>-0.10000000000000009</v>
      </c>
      <c r="Q270" s="6">
        <f t="shared" si="26"/>
        <v>-2.7777777777777801E-2</v>
      </c>
      <c r="R270" s="5">
        <f t="shared" si="27"/>
        <v>0.14999999999999991</v>
      </c>
      <c r="S270" s="6">
        <f t="shared" si="28"/>
        <v>4.1666666666666644E-2</v>
      </c>
      <c r="T270" s="6">
        <f t="shared" si="29"/>
        <v>-2.2614840989399313E-2</v>
      </c>
    </row>
    <row r="271" spans="1:20" x14ac:dyDescent="0.25">
      <c r="A271" s="4" t="s">
        <v>192</v>
      </c>
      <c r="B271" s="5" t="s">
        <v>16</v>
      </c>
      <c r="C271" s="5" t="s">
        <v>1823</v>
      </c>
      <c r="D271" s="5">
        <v>789.3</v>
      </c>
      <c r="E271" s="5">
        <v>789.9</v>
      </c>
      <c r="F271" s="5">
        <v>798.1</v>
      </c>
      <c r="G271" s="5">
        <v>773.6</v>
      </c>
      <c r="H271" s="5">
        <v>775.5</v>
      </c>
      <c r="I271" s="5">
        <v>778.95</v>
      </c>
      <c r="J271" s="5">
        <v>783.35</v>
      </c>
      <c r="K271" s="5">
        <v>269354</v>
      </c>
      <c r="L271" s="5">
        <v>2109.9899999999998</v>
      </c>
      <c r="M271" s="5">
        <v>9252</v>
      </c>
      <c r="N271" s="5">
        <v>60546</v>
      </c>
      <c r="O271" s="5">
        <v>22.48</v>
      </c>
      <c r="P271" s="5">
        <f t="shared" si="25"/>
        <v>-10.349999999999909</v>
      </c>
      <c r="Q271" s="6">
        <f t="shared" si="26"/>
        <v>-1.3112884834663512E-2</v>
      </c>
      <c r="R271" s="5">
        <f t="shared" si="27"/>
        <v>24.5</v>
      </c>
      <c r="S271" s="6">
        <f t="shared" si="28"/>
        <v>3.1040162169010517E-2</v>
      </c>
      <c r="T271" s="6">
        <f t="shared" si="29"/>
        <v>-5.6041139290888249E-3</v>
      </c>
    </row>
    <row r="272" spans="1:20" hidden="1" x14ac:dyDescent="0.25">
      <c r="A272" s="4" t="s">
        <v>286</v>
      </c>
      <c r="B272" s="5" t="s">
        <v>16</v>
      </c>
      <c r="C272" s="5" t="s">
        <v>1823</v>
      </c>
      <c r="D272" s="5">
        <v>241.25</v>
      </c>
      <c r="E272" s="5">
        <v>242.5</v>
      </c>
      <c r="F272" s="5">
        <v>242.5</v>
      </c>
      <c r="G272" s="5">
        <v>238.8</v>
      </c>
      <c r="H272" s="5">
        <v>240.85</v>
      </c>
      <c r="I272" s="5">
        <v>240.45</v>
      </c>
      <c r="J272" s="5">
        <v>239.82</v>
      </c>
      <c r="K272" s="5">
        <v>12047</v>
      </c>
      <c r="L272" s="5">
        <v>28.89</v>
      </c>
      <c r="M272" s="5">
        <v>347</v>
      </c>
      <c r="N272" s="5">
        <v>2953</v>
      </c>
      <c r="O272" s="5">
        <v>24.51</v>
      </c>
      <c r="P272" s="5">
        <f t="shared" si="25"/>
        <v>-0.80000000000001137</v>
      </c>
      <c r="Q272" s="6">
        <f t="shared" si="26"/>
        <v>-3.3160621761658504E-3</v>
      </c>
      <c r="R272" s="5">
        <f t="shared" si="27"/>
        <v>3.6999999999999886</v>
      </c>
      <c r="S272" s="6">
        <f t="shared" si="28"/>
        <v>1.5336787564766792E-2</v>
      </c>
      <c r="T272" s="6">
        <f t="shared" si="29"/>
        <v>2.6134301270417234E-3</v>
      </c>
    </row>
    <row r="273" spans="1:20" hidden="1" x14ac:dyDescent="0.25">
      <c r="A273" s="4" t="s">
        <v>287</v>
      </c>
      <c r="B273" s="5" t="s">
        <v>16</v>
      </c>
      <c r="C273" s="5" t="s">
        <v>1823</v>
      </c>
      <c r="D273" s="5">
        <v>211.55</v>
      </c>
      <c r="E273" s="5">
        <v>211.9</v>
      </c>
      <c r="F273" s="5">
        <v>212.8</v>
      </c>
      <c r="G273" s="5">
        <v>206</v>
      </c>
      <c r="H273" s="5">
        <v>206.5</v>
      </c>
      <c r="I273" s="5">
        <v>206.8</v>
      </c>
      <c r="J273" s="5">
        <v>208.94</v>
      </c>
      <c r="K273" s="5">
        <v>32162</v>
      </c>
      <c r="L273" s="5">
        <v>67.2</v>
      </c>
      <c r="M273" s="5">
        <v>1432</v>
      </c>
      <c r="N273" s="5">
        <v>21005</v>
      </c>
      <c r="O273" s="5">
        <v>65.31</v>
      </c>
      <c r="P273" s="5">
        <f t="shared" si="25"/>
        <v>-4.75</v>
      </c>
      <c r="Q273" s="6">
        <f t="shared" si="26"/>
        <v>-2.2453320727960292E-2</v>
      </c>
      <c r="R273" s="5">
        <f t="shared" si="27"/>
        <v>6.8000000000000114</v>
      </c>
      <c r="S273" s="6">
        <f t="shared" si="28"/>
        <v>3.2143701252658995E-2</v>
      </c>
      <c r="T273" s="6">
        <f t="shared" si="29"/>
        <v>-1.0220895522387995E-2</v>
      </c>
    </row>
    <row r="274" spans="1:20" hidden="1" x14ac:dyDescent="0.25">
      <c r="A274" s="4" t="s">
        <v>288</v>
      </c>
      <c r="B274" s="5" t="s">
        <v>16</v>
      </c>
      <c r="C274" s="5" t="s">
        <v>1823</v>
      </c>
      <c r="D274" s="5">
        <v>422.15</v>
      </c>
      <c r="E274" s="5">
        <v>422</v>
      </c>
      <c r="F274" s="5">
        <v>427.85</v>
      </c>
      <c r="G274" s="5">
        <v>418.6</v>
      </c>
      <c r="H274" s="5">
        <v>421</v>
      </c>
      <c r="I274" s="5">
        <v>423.1</v>
      </c>
      <c r="J274" s="5">
        <v>423.25</v>
      </c>
      <c r="K274" s="5">
        <v>12363</v>
      </c>
      <c r="L274" s="5">
        <v>52.33</v>
      </c>
      <c r="M274" s="5">
        <v>690</v>
      </c>
      <c r="N274" s="5">
        <v>8691</v>
      </c>
      <c r="O274" s="5">
        <v>70.3</v>
      </c>
      <c r="P274" s="5">
        <f t="shared" si="25"/>
        <v>0.95000000000004547</v>
      </c>
      <c r="Q274" s="6">
        <f t="shared" si="26"/>
        <v>2.2503849342651793E-3</v>
      </c>
      <c r="R274" s="5">
        <f t="shared" si="27"/>
        <v>9.25</v>
      </c>
      <c r="S274" s="6">
        <f t="shared" si="28"/>
        <v>2.1911642781002015E-2</v>
      </c>
      <c r="T274" s="6">
        <f t="shared" si="29"/>
        <v>-3.5470426531873666E-4</v>
      </c>
    </row>
    <row r="275" spans="1:20" hidden="1" x14ac:dyDescent="0.25">
      <c r="A275" s="4" t="s">
        <v>289</v>
      </c>
      <c r="B275" s="5" t="s">
        <v>39</v>
      </c>
      <c r="C275" s="5" t="s">
        <v>1823</v>
      </c>
      <c r="D275" s="5">
        <v>153.80000000000001</v>
      </c>
      <c r="E275" s="5">
        <v>150</v>
      </c>
      <c r="F275" s="5">
        <v>161.44999999999999</v>
      </c>
      <c r="G275" s="5">
        <v>146.15</v>
      </c>
      <c r="H275" s="5">
        <v>159.5</v>
      </c>
      <c r="I275" s="5">
        <v>159.25</v>
      </c>
      <c r="J275" s="5">
        <v>156.19999999999999</v>
      </c>
      <c r="K275" s="5">
        <v>1451</v>
      </c>
      <c r="L275" s="5">
        <v>2.27</v>
      </c>
      <c r="M275" s="5">
        <v>34</v>
      </c>
      <c r="N275" s="5" t="s">
        <v>25</v>
      </c>
      <c r="O275" s="5" t="s">
        <v>25</v>
      </c>
      <c r="P275" s="5">
        <f t="shared" si="25"/>
        <v>5.4499999999999886</v>
      </c>
      <c r="Q275" s="6">
        <f t="shared" si="26"/>
        <v>3.5435630689206687E-2</v>
      </c>
      <c r="R275" s="5">
        <f t="shared" si="27"/>
        <v>15.299999999999983</v>
      </c>
      <c r="S275" s="6">
        <f t="shared" si="28"/>
        <v>9.9479843953185834E-2</v>
      </c>
      <c r="T275" s="6">
        <f t="shared" si="29"/>
        <v>1.9777903866418166E-2</v>
      </c>
    </row>
    <row r="276" spans="1:20" hidden="1" x14ac:dyDescent="0.25">
      <c r="A276" s="4" t="s">
        <v>290</v>
      </c>
      <c r="B276" s="5" t="s">
        <v>16</v>
      </c>
      <c r="C276" s="5" t="s">
        <v>1823</v>
      </c>
      <c r="D276" s="5">
        <v>322.3</v>
      </c>
      <c r="E276" s="5">
        <v>327.7</v>
      </c>
      <c r="F276" s="5">
        <v>327.7</v>
      </c>
      <c r="G276" s="5">
        <v>301.39999999999998</v>
      </c>
      <c r="H276" s="5">
        <v>305.45</v>
      </c>
      <c r="I276" s="5">
        <v>305.64999999999998</v>
      </c>
      <c r="J276" s="5">
        <v>306.64</v>
      </c>
      <c r="K276" s="5">
        <v>85317</v>
      </c>
      <c r="L276" s="5">
        <v>261.61</v>
      </c>
      <c r="M276" s="5">
        <v>2002</v>
      </c>
      <c r="N276" s="5">
        <v>71027</v>
      </c>
      <c r="O276" s="5">
        <v>83.25</v>
      </c>
      <c r="P276" s="5">
        <f t="shared" si="25"/>
        <v>-16.650000000000034</v>
      </c>
      <c r="Q276" s="6">
        <f t="shared" si="26"/>
        <v>-5.1659944151411834E-2</v>
      </c>
      <c r="R276" s="5">
        <f t="shared" si="27"/>
        <v>26.300000000000011</v>
      </c>
      <c r="S276" s="6">
        <f t="shared" si="28"/>
        <v>8.1600992863791535E-2</v>
      </c>
      <c r="T276" s="6">
        <f t="shared" si="29"/>
        <v>-3.1367578914016691E-3</v>
      </c>
    </row>
    <row r="277" spans="1:20" hidden="1" x14ac:dyDescent="0.25">
      <c r="A277" s="4" t="s">
        <v>291</v>
      </c>
      <c r="B277" s="5" t="s">
        <v>16</v>
      </c>
      <c r="C277" s="5" t="s">
        <v>1823</v>
      </c>
      <c r="D277" s="5">
        <v>93.15</v>
      </c>
      <c r="E277" s="5">
        <v>94.85</v>
      </c>
      <c r="F277" s="5">
        <v>94.85</v>
      </c>
      <c r="G277" s="5">
        <v>91.3</v>
      </c>
      <c r="H277" s="5">
        <v>93.95</v>
      </c>
      <c r="I277" s="5">
        <v>92.6</v>
      </c>
      <c r="J277" s="5">
        <v>92.65</v>
      </c>
      <c r="K277" s="5">
        <v>19076</v>
      </c>
      <c r="L277" s="5">
        <v>17.670000000000002</v>
      </c>
      <c r="M277" s="5">
        <v>291</v>
      </c>
      <c r="N277" s="5">
        <v>12141</v>
      </c>
      <c r="O277" s="5">
        <v>63.65</v>
      </c>
      <c r="P277" s="5">
        <f t="shared" si="25"/>
        <v>-0.55000000000001137</v>
      </c>
      <c r="Q277" s="6">
        <f t="shared" si="26"/>
        <v>-5.9044551798176203E-3</v>
      </c>
      <c r="R277" s="5">
        <f t="shared" si="27"/>
        <v>3.5499999999999972</v>
      </c>
      <c r="S277" s="6">
        <f t="shared" si="28"/>
        <v>3.8110574342458368E-2</v>
      </c>
      <c r="T277" s="6">
        <f t="shared" si="29"/>
        <v>-5.3533190578170626E-4</v>
      </c>
    </row>
    <row r="278" spans="1:20" hidden="1" x14ac:dyDescent="0.25">
      <c r="A278" s="4" t="s">
        <v>292</v>
      </c>
      <c r="B278" s="5" t="s">
        <v>16</v>
      </c>
      <c r="C278" s="5" t="s">
        <v>1823</v>
      </c>
      <c r="D278" s="5">
        <v>533.85</v>
      </c>
      <c r="E278" s="5">
        <v>534.5</v>
      </c>
      <c r="F278" s="5">
        <v>542</v>
      </c>
      <c r="G278" s="5">
        <v>524</v>
      </c>
      <c r="H278" s="5">
        <v>539.95000000000005</v>
      </c>
      <c r="I278" s="5">
        <v>529.9</v>
      </c>
      <c r="J278" s="5">
        <v>531.29</v>
      </c>
      <c r="K278" s="5">
        <v>30674</v>
      </c>
      <c r="L278" s="5">
        <v>162.97</v>
      </c>
      <c r="M278" s="5">
        <v>2026</v>
      </c>
      <c r="N278" s="5">
        <v>23728</v>
      </c>
      <c r="O278" s="5">
        <v>77.36</v>
      </c>
      <c r="P278" s="5">
        <f t="shared" si="25"/>
        <v>-3.9500000000000455</v>
      </c>
      <c r="Q278" s="6">
        <f t="shared" si="26"/>
        <v>-7.3990821391777565E-3</v>
      </c>
      <c r="R278" s="5">
        <f t="shared" si="27"/>
        <v>18</v>
      </c>
      <c r="S278" s="6">
        <f t="shared" si="28"/>
        <v>3.3717336330429892E-2</v>
      </c>
      <c r="T278" s="6">
        <f t="shared" si="29"/>
        <v>-2.6098385279759414E-3</v>
      </c>
    </row>
    <row r="279" spans="1:20" hidden="1" x14ac:dyDescent="0.25">
      <c r="A279" s="4" t="s">
        <v>293</v>
      </c>
      <c r="B279" s="5" t="s">
        <v>39</v>
      </c>
      <c r="C279" s="5" t="s">
        <v>1823</v>
      </c>
      <c r="D279" s="5">
        <v>0.5</v>
      </c>
      <c r="E279" s="5">
        <v>0.5</v>
      </c>
      <c r="F279" s="5">
        <v>0.5</v>
      </c>
      <c r="G279" s="5">
        <v>0.45</v>
      </c>
      <c r="H279" s="5">
        <v>0.45</v>
      </c>
      <c r="I279" s="5">
        <v>0.45</v>
      </c>
      <c r="J279" s="5">
        <v>0.45</v>
      </c>
      <c r="K279" s="5">
        <v>133064</v>
      </c>
      <c r="L279" s="5">
        <v>0.6</v>
      </c>
      <c r="M279" s="5">
        <v>77</v>
      </c>
      <c r="N279" s="5" t="s">
        <v>25</v>
      </c>
      <c r="O279" s="5" t="s">
        <v>25</v>
      </c>
      <c r="P279" s="5">
        <f t="shared" si="25"/>
        <v>-4.9999999999999989E-2</v>
      </c>
      <c r="Q279" s="6">
        <f t="shared" si="26"/>
        <v>-9.9999999999999978E-2</v>
      </c>
      <c r="R279" s="5">
        <f t="shared" si="27"/>
        <v>4.9999999999999989E-2</v>
      </c>
      <c r="S279" s="6">
        <f t="shared" si="28"/>
        <v>9.9999999999999978E-2</v>
      </c>
      <c r="T279" s="6">
        <f t="shared" si="29"/>
        <v>0</v>
      </c>
    </row>
    <row r="280" spans="1:20" hidden="1" x14ac:dyDescent="0.25">
      <c r="A280" s="4" t="s">
        <v>294</v>
      </c>
      <c r="B280" s="5" t="s">
        <v>16</v>
      </c>
      <c r="C280" s="5" t="s">
        <v>1823</v>
      </c>
      <c r="D280" s="5">
        <v>133.44999999999999</v>
      </c>
      <c r="E280" s="5">
        <v>134.6</v>
      </c>
      <c r="F280" s="5">
        <v>134.69999999999999</v>
      </c>
      <c r="G280" s="5">
        <v>131.1</v>
      </c>
      <c r="H280" s="5">
        <v>132</v>
      </c>
      <c r="I280" s="5">
        <v>132.05000000000001</v>
      </c>
      <c r="J280" s="5">
        <v>132.26</v>
      </c>
      <c r="K280" s="5">
        <v>1399381</v>
      </c>
      <c r="L280" s="5">
        <v>1850.82</v>
      </c>
      <c r="M280" s="5">
        <v>13087</v>
      </c>
      <c r="N280" s="5">
        <v>776954</v>
      </c>
      <c r="O280" s="5">
        <v>55.52</v>
      </c>
      <c r="P280" s="5">
        <f t="shared" si="25"/>
        <v>-1.3999999999999773</v>
      </c>
      <c r="Q280" s="6">
        <f t="shared" si="26"/>
        <v>-1.04908205320343E-2</v>
      </c>
      <c r="R280" s="5">
        <f t="shared" si="27"/>
        <v>3.5999999999999943</v>
      </c>
      <c r="S280" s="6">
        <f t="shared" si="28"/>
        <v>2.6976395653802884E-2</v>
      </c>
      <c r="T280" s="6">
        <f t="shared" si="29"/>
        <v>-1.5776129214009167E-3</v>
      </c>
    </row>
    <row r="281" spans="1:20" hidden="1" x14ac:dyDescent="0.25">
      <c r="A281" s="4" t="s">
        <v>295</v>
      </c>
      <c r="B281" s="5" t="s">
        <v>16</v>
      </c>
      <c r="C281" s="5" t="s">
        <v>1823</v>
      </c>
      <c r="D281" s="5">
        <v>4.3</v>
      </c>
      <c r="E281" s="5">
        <v>4.4000000000000004</v>
      </c>
      <c r="F281" s="5">
        <v>4.45</v>
      </c>
      <c r="G281" s="5">
        <v>4.1500000000000004</v>
      </c>
      <c r="H281" s="5">
        <v>4.25</v>
      </c>
      <c r="I281" s="5">
        <v>4.3</v>
      </c>
      <c r="J281" s="5">
        <v>4.37</v>
      </c>
      <c r="K281" s="5">
        <v>16527</v>
      </c>
      <c r="L281" s="5">
        <v>0.72</v>
      </c>
      <c r="M281" s="5">
        <v>35</v>
      </c>
      <c r="N281" s="5">
        <v>13967</v>
      </c>
      <c r="O281" s="5">
        <v>84.51</v>
      </c>
      <c r="P281" s="5">
        <f t="shared" si="25"/>
        <v>0</v>
      </c>
      <c r="Q281" s="6">
        <f t="shared" si="26"/>
        <v>0</v>
      </c>
      <c r="R281" s="5">
        <f t="shared" si="27"/>
        <v>0.29999999999999982</v>
      </c>
      <c r="S281" s="6">
        <f t="shared" si="28"/>
        <v>6.9767441860465074E-2</v>
      </c>
      <c r="T281" s="6">
        <f t="shared" si="29"/>
        <v>-1.6184971098265961E-2</v>
      </c>
    </row>
    <row r="282" spans="1:20" hidden="1" x14ac:dyDescent="0.25">
      <c r="A282" s="4" t="s">
        <v>296</v>
      </c>
      <c r="B282" s="5" t="s">
        <v>16</v>
      </c>
      <c r="C282" s="5" t="s">
        <v>1823</v>
      </c>
      <c r="D282" s="5">
        <v>241.45</v>
      </c>
      <c r="E282" s="5">
        <v>241.25</v>
      </c>
      <c r="F282" s="5">
        <v>243.5</v>
      </c>
      <c r="G282" s="5">
        <v>232.2</v>
      </c>
      <c r="H282" s="5">
        <v>233.15</v>
      </c>
      <c r="I282" s="5">
        <v>232.95</v>
      </c>
      <c r="J282" s="5">
        <v>233.8</v>
      </c>
      <c r="K282" s="5">
        <v>95376</v>
      </c>
      <c r="L282" s="5">
        <v>222.99</v>
      </c>
      <c r="M282" s="5">
        <v>14895</v>
      </c>
      <c r="N282" s="5">
        <v>61161</v>
      </c>
      <c r="O282" s="5">
        <v>64.13</v>
      </c>
      <c r="P282" s="5">
        <f t="shared" si="25"/>
        <v>-8.5</v>
      </c>
      <c r="Q282" s="6">
        <f t="shared" si="26"/>
        <v>-3.5203975978463455E-2</v>
      </c>
      <c r="R282" s="5">
        <f t="shared" si="27"/>
        <v>11.300000000000011</v>
      </c>
      <c r="S282" s="6">
        <f t="shared" si="28"/>
        <v>4.6800579830192639E-2</v>
      </c>
      <c r="T282" s="6">
        <f t="shared" si="29"/>
        <v>-3.5793241393831882E-3</v>
      </c>
    </row>
    <row r="283" spans="1:20" x14ac:dyDescent="0.25">
      <c r="A283" s="4" t="s">
        <v>1285</v>
      </c>
      <c r="B283" s="5" t="s">
        <v>16</v>
      </c>
      <c r="C283" s="5" t="s">
        <v>1823</v>
      </c>
      <c r="D283" s="5">
        <v>56.4</v>
      </c>
      <c r="E283" s="5">
        <v>57.5</v>
      </c>
      <c r="F283" s="5">
        <v>60.9</v>
      </c>
      <c r="G283" s="5">
        <v>57.5</v>
      </c>
      <c r="H283" s="5">
        <v>57.8</v>
      </c>
      <c r="I283" s="5">
        <v>58.1</v>
      </c>
      <c r="J283" s="5">
        <v>59.14</v>
      </c>
      <c r="K283" s="5">
        <v>4817796</v>
      </c>
      <c r="L283" s="5">
        <v>2849.37</v>
      </c>
      <c r="M283" s="5">
        <v>23157</v>
      </c>
      <c r="N283" s="5">
        <v>1088970</v>
      </c>
      <c r="O283" s="5">
        <v>22.6</v>
      </c>
      <c r="P283" s="5">
        <f t="shared" si="25"/>
        <v>1.7000000000000028</v>
      </c>
      <c r="Q283" s="6">
        <f t="shared" si="26"/>
        <v>3.0141843971631256E-2</v>
      </c>
      <c r="R283" s="5">
        <f t="shared" si="27"/>
        <v>3.3999999999999986</v>
      </c>
      <c r="S283" s="6">
        <f t="shared" si="28"/>
        <v>6.0283687943262387E-2</v>
      </c>
      <c r="T283" s="6">
        <f t="shared" si="29"/>
        <v>-1.7777777777777764E-2</v>
      </c>
    </row>
    <row r="284" spans="1:20" hidden="1" x14ac:dyDescent="0.25">
      <c r="A284" s="4" t="s">
        <v>298</v>
      </c>
      <c r="B284" s="5" t="s">
        <v>16</v>
      </c>
      <c r="C284" s="5" t="s">
        <v>1823</v>
      </c>
      <c r="D284" s="5">
        <v>978.85</v>
      </c>
      <c r="E284" s="5">
        <v>980</v>
      </c>
      <c r="F284" s="5">
        <v>981.9</v>
      </c>
      <c r="G284" s="5">
        <v>957.05</v>
      </c>
      <c r="H284" s="5">
        <v>965</v>
      </c>
      <c r="I284" s="5">
        <v>965.7</v>
      </c>
      <c r="J284" s="5">
        <v>965.75</v>
      </c>
      <c r="K284" s="5">
        <v>133227</v>
      </c>
      <c r="L284" s="5">
        <v>1286.6400000000001</v>
      </c>
      <c r="M284" s="5">
        <v>5473</v>
      </c>
      <c r="N284" s="5">
        <v>35983</v>
      </c>
      <c r="O284" s="5">
        <v>27.01</v>
      </c>
      <c r="P284" s="5">
        <f t="shared" si="25"/>
        <v>-13.149999999999977</v>
      </c>
      <c r="Q284" s="6">
        <f t="shared" si="26"/>
        <v>-1.34341318894621E-2</v>
      </c>
      <c r="R284" s="5">
        <f t="shared" si="27"/>
        <v>24.850000000000023</v>
      </c>
      <c r="S284" s="6">
        <f t="shared" si="28"/>
        <v>2.5386933646626166E-2</v>
      </c>
      <c r="T284" s="6">
        <f t="shared" si="29"/>
        <v>-5.1484689740341634E-5</v>
      </c>
    </row>
    <row r="285" spans="1:20" hidden="1" x14ac:dyDescent="0.25">
      <c r="A285" s="4" t="s">
        <v>299</v>
      </c>
      <c r="B285" s="5" t="s">
        <v>16</v>
      </c>
      <c r="C285" s="5" t="s">
        <v>1823</v>
      </c>
      <c r="D285" s="5">
        <v>16.850000000000001</v>
      </c>
      <c r="E285" s="5">
        <v>16.7</v>
      </c>
      <c r="F285" s="5">
        <v>16.75</v>
      </c>
      <c r="G285" s="5">
        <v>15.7</v>
      </c>
      <c r="H285" s="5">
        <v>15.7</v>
      </c>
      <c r="I285" s="5">
        <v>15.8</v>
      </c>
      <c r="J285" s="5">
        <v>16.059999999999999</v>
      </c>
      <c r="K285" s="5">
        <v>31965</v>
      </c>
      <c r="L285" s="5">
        <v>5.13</v>
      </c>
      <c r="M285" s="5">
        <v>202</v>
      </c>
      <c r="N285" s="5">
        <v>18731</v>
      </c>
      <c r="O285" s="5">
        <v>58.6</v>
      </c>
      <c r="P285" s="5">
        <f t="shared" si="25"/>
        <v>-1.0500000000000007</v>
      </c>
      <c r="Q285" s="6">
        <f t="shared" si="26"/>
        <v>-6.2314540059347216E-2</v>
      </c>
      <c r="R285" s="5">
        <f t="shared" si="27"/>
        <v>1.0500000000000007</v>
      </c>
      <c r="S285" s="6">
        <f t="shared" si="28"/>
        <v>6.2314540059347216E-2</v>
      </c>
      <c r="T285" s="6">
        <f t="shared" si="29"/>
        <v>-1.6012317167051454E-2</v>
      </c>
    </row>
    <row r="286" spans="1:20" hidden="1" x14ac:dyDescent="0.25">
      <c r="A286" s="4" t="s">
        <v>300</v>
      </c>
      <c r="B286" s="5" t="s">
        <v>16</v>
      </c>
      <c r="C286" s="5" t="s">
        <v>1823</v>
      </c>
      <c r="D286" s="5">
        <v>6.95</v>
      </c>
      <c r="E286" s="5">
        <v>6.9</v>
      </c>
      <c r="F286" s="5">
        <v>7.1</v>
      </c>
      <c r="G286" s="5">
        <v>6.8</v>
      </c>
      <c r="H286" s="5">
        <v>7</v>
      </c>
      <c r="I286" s="5">
        <v>7</v>
      </c>
      <c r="J286" s="5">
        <v>6.88</v>
      </c>
      <c r="K286" s="5">
        <v>2129</v>
      </c>
      <c r="L286" s="5">
        <v>0.15</v>
      </c>
      <c r="M286" s="5">
        <v>14</v>
      </c>
      <c r="N286" s="5">
        <v>2103</v>
      </c>
      <c r="O286" s="5">
        <v>98.78</v>
      </c>
      <c r="P286" s="5">
        <f t="shared" si="25"/>
        <v>4.9999999999999822E-2</v>
      </c>
      <c r="Q286" s="6">
        <f t="shared" si="26"/>
        <v>7.1942446043165211E-3</v>
      </c>
      <c r="R286" s="5">
        <f t="shared" si="27"/>
        <v>0.29999999999999982</v>
      </c>
      <c r="S286" s="6">
        <f t="shared" si="28"/>
        <v>4.3165467625899255E-2</v>
      </c>
      <c r="T286" s="6">
        <f t="shared" si="29"/>
        <v>1.7266187050359726E-2</v>
      </c>
    </row>
    <row r="287" spans="1:20" hidden="1" x14ac:dyDescent="0.25">
      <c r="A287" s="4" t="s">
        <v>301</v>
      </c>
      <c r="B287" s="5" t="s">
        <v>39</v>
      </c>
      <c r="C287" s="5" t="s">
        <v>1823</v>
      </c>
      <c r="D287" s="5">
        <v>4</v>
      </c>
      <c r="E287" s="5">
        <v>3.95</v>
      </c>
      <c r="F287" s="5">
        <v>4</v>
      </c>
      <c r="G287" s="5">
        <v>3.85</v>
      </c>
      <c r="H287" s="5">
        <v>4</v>
      </c>
      <c r="I287" s="5">
        <v>3.9</v>
      </c>
      <c r="J287" s="5">
        <v>3.88</v>
      </c>
      <c r="K287" s="5">
        <v>3500</v>
      </c>
      <c r="L287" s="5">
        <v>0.14000000000000001</v>
      </c>
      <c r="M287" s="5">
        <v>33</v>
      </c>
      <c r="N287" s="5" t="s">
        <v>25</v>
      </c>
      <c r="O287" s="5" t="s">
        <v>25</v>
      </c>
      <c r="P287" s="5">
        <f t="shared" si="25"/>
        <v>-0.10000000000000009</v>
      </c>
      <c r="Q287" s="6">
        <f t="shared" si="26"/>
        <v>-2.5000000000000022E-2</v>
      </c>
      <c r="R287" s="5">
        <f t="shared" si="27"/>
        <v>0.14999999999999991</v>
      </c>
      <c r="S287" s="6">
        <f t="shared" si="28"/>
        <v>3.7499999999999978E-2</v>
      </c>
      <c r="T287" s="6">
        <f t="shared" si="29"/>
        <v>5.0955414012738894E-3</v>
      </c>
    </row>
    <row r="288" spans="1:20" hidden="1" x14ac:dyDescent="0.25">
      <c r="A288" s="4" t="s">
        <v>302</v>
      </c>
      <c r="B288" s="5" t="s">
        <v>16</v>
      </c>
      <c r="C288" s="5" t="s">
        <v>1823</v>
      </c>
      <c r="D288" s="5">
        <v>186.5</v>
      </c>
      <c r="E288" s="5">
        <v>188</v>
      </c>
      <c r="F288" s="5">
        <v>190.5</v>
      </c>
      <c r="G288" s="5">
        <v>183.2</v>
      </c>
      <c r="H288" s="5">
        <v>187</v>
      </c>
      <c r="I288" s="5">
        <v>186.95</v>
      </c>
      <c r="J288" s="5">
        <v>186.88</v>
      </c>
      <c r="K288" s="5">
        <v>26922</v>
      </c>
      <c r="L288" s="5">
        <v>50.31</v>
      </c>
      <c r="M288" s="5">
        <v>585</v>
      </c>
      <c r="N288" s="5">
        <v>12405</v>
      </c>
      <c r="O288" s="5">
        <v>46.08</v>
      </c>
      <c r="P288" s="5">
        <f t="shared" si="25"/>
        <v>0.44999999999998863</v>
      </c>
      <c r="Q288" s="6">
        <f t="shared" si="26"/>
        <v>2.4128686327077138E-3</v>
      </c>
      <c r="R288" s="5">
        <f t="shared" si="27"/>
        <v>7.3000000000000114</v>
      </c>
      <c r="S288" s="6">
        <f t="shared" si="28"/>
        <v>3.9142091152815077E-2</v>
      </c>
      <c r="T288" s="6">
        <f t="shared" si="29"/>
        <v>3.7400654511450304E-4</v>
      </c>
    </row>
    <row r="289" spans="1:20" hidden="1" x14ac:dyDescent="0.25">
      <c r="A289" s="4" t="s">
        <v>303</v>
      </c>
      <c r="B289" s="5" t="s">
        <v>16</v>
      </c>
      <c r="C289" s="5" t="s">
        <v>1823</v>
      </c>
      <c r="D289" s="5">
        <v>3.1</v>
      </c>
      <c r="E289" s="5">
        <v>3.15</v>
      </c>
      <c r="F289" s="5">
        <v>3.15</v>
      </c>
      <c r="G289" s="5">
        <v>2.95</v>
      </c>
      <c r="H289" s="5">
        <v>2.95</v>
      </c>
      <c r="I289" s="5">
        <v>2.95</v>
      </c>
      <c r="J289" s="5">
        <v>2.99</v>
      </c>
      <c r="K289" s="5">
        <v>19456</v>
      </c>
      <c r="L289" s="5">
        <v>0.57999999999999996</v>
      </c>
      <c r="M289" s="5">
        <v>51</v>
      </c>
      <c r="N289" s="5">
        <v>17337</v>
      </c>
      <c r="O289" s="5">
        <v>89.11</v>
      </c>
      <c r="P289" s="5">
        <f t="shared" si="25"/>
        <v>-0.14999999999999991</v>
      </c>
      <c r="Q289" s="6">
        <f t="shared" si="26"/>
        <v>-4.8387096774193519E-2</v>
      </c>
      <c r="R289" s="5">
        <f t="shared" si="27"/>
        <v>0.19999999999999973</v>
      </c>
      <c r="S289" s="6">
        <f t="shared" si="28"/>
        <v>6.4516129032257979E-2</v>
      </c>
      <c r="T289" s="6">
        <f t="shared" si="29"/>
        <v>-1.3114754098360668E-2</v>
      </c>
    </row>
    <row r="290" spans="1:20" hidden="1" x14ac:dyDescent="0.25">
      <c r="A290" s="4" t="s">
        <v>304</v>
      </c>
      <c r="B290" s="5" t="s">
        <v>16</v>
      </c>
      <c r="C290" s="5" t="s">
        <v>1823</v>
      </c>
      <c r="D290" s="5">
        <v>19.95</v>
      </c>
      <c r="E290" s="5">
        <v>19.8</v>
      </c>
      <c r="F290" s="5">
        <v>19.899999999999999</v>
      </c>
      <c r="G290" s="5">
        <v>19.45</v>
      </c>
      <c r="H290" s="5">
        <v>19.55</v>
      </c>
      <c r="I290" s="5">
        <v>19.55</v>
      </c>
      <c r="J290" s="5">
        <v>19.61</v>
      </c>
      <c r="K290" s="5">
        <v>365683</v>
      </c>
      <c r="L290" s="5">
        <v>71.709999999999994</v>
      </c>
      <c r="M290" s="5">
        <v>1046</v>
      </c>
      <c r="N290" s="5">
        <v>222050</v>
      </c>
      <c r="O290" s="5">
        <v>60.72</v>
      </c>
      <c r="P290" s="5">
        <f t="shared" si="25"/>
        <v>-0.39999999999999858</v>
      </c>
      <c r="Q290" s="6">
        <f t="shared" si="26"/>
        <v>-2.0050125313283138E-2</v>
      </c>
      <c r="R290" s="5">
        <f t="shared" si="27"/>
        <v>0.44999999999999929</v>
      </c>
      <c r="S290" s="6">
        <f t="shared" si="28"/>
        <v>2.2556390977443573E-2</v>
      </c>
      <c r="T290" s="6">
        <f t="shared" si="29"/>
        <v>-3.0495552731892614E-3</v>
      </c>
    </row>
    <row r="291" spans="1:20" hidden="1" x14ac:dyDescent="0.25">
      <c r="A291" s="4" t="s">
        <v>305</v>
      </c>
      <c r="B291" s="5" t="s">
        <v>16</v>
      </c>
      <c r="C291" s="5" t="s">
        <v>1823</v>
      </c>
      <c r="D291" s="5">
        <v>24.4</v>
      </c>
      <c r="E291" s="5">
        <v>24.7</v>
      </c>
      <c r="F291" s="5">
        <v>24.7</v>
      </c>
      <c r="G291" s="5">
        <v>23.9</v>
      </c>
      <c r="H291" s="5">
        <v>24.6</v>
      </c>
      <c r="I291" s="5">
        <v>24.45</v>
      </c>
      <c r="J291" s="5">
        <v>24.28</v>
      </c>
      <c r="K291" s="5">
        <v>99530</v>
      </c>
      <c r="L291" s="5">
        <v>24.17</v>
      </c>
      <c r="M291" s="5">
        <v>776</v>
      </c>
      <c r="N291" s="5">
        <v>70170</v>
      </c>
      <c r="O291" s="5">
        <v>70.5</v>
      </c>
      <c r="P291" s="5">
        <f t="shared" si="25"/>
        <v>5.0000000000000711E-2</v>
      </c>
      <c r="Q291" s="6">
        <f t="shared" si="26"/>
        <v>2.0491803278688816E-3</v>
      </c>
      <c r="R291" s="5">
        <f t="shared" si="27"/>
        <v>0.80000000000000071</v>
      </c>
      <c r="S291" s="6">
        <f t="shared" si="28"/>
        <v>3.2786885245901669E-2</v>
      </c>
      <c r="T291" s="6">
        <f t="shared" si="29"/>
        <v>6.9565217391303596E-3</v>
      </c>
    </row>
    <row r="292" spans="1:20" hidden="1" x14ac:dyDescent="0.25">
      <c r="A292" s="4" t="s">
        <v>306</v>
      </c>
      <c r="B292" s="5" t="s">
        <v>16</v>
      </c>
      <c r="C292" s="5" t="s">
        <v>1823</v>
      </c>
      <c r="D292" s="5">
        <v>418.85</v>
      </c>
      <c r="E292" s="5">
        <v>433</v>
      </c>
      <c r="F292" s="5">
        <v>456.4</v>
      </c>
      <c r="G292" s="5">
        <v>430.6</v>
      </c>
      <c r="H292" s="5">
        <v>442</v>
      </c>
      <c r="I292" s="5">
        <v>442.6</v>
      </c>
      <c r="J292" s="5">
        <v>444.63</v>
      </c>
      <c r="K292" s="5">
        <v>7325</v>
      </c>
      <c r="L292" s="5">
        <v>32.57</v>
      </c>
      <c r="M292" s="5">
        <v>890</v>
      </c>
      <c r="N292" s="5">
        <v>3092</v>
      </c>
      <c r="O292" s="5">
        <v>42.21</v>
      </c>
      <c r="P292" s="5">
        <f t="shared" si="25"/>
        <v>23.75</v>
      </c>
      <c r="Q292" s="6">
        <f t="shared" si="26"/>
        <v>5.6702876924913451E-2</v>
      </c>
      <c r="R292" s="5">
        <f t="shared" si="27"/>
        <v>25.799999999999955</v>
      </c>
      <c r="S292" s="6">
        <f t="shared" si="28"/>
        <v>6.1597230512116401E-2</v>
      </c>
      <c r="T292" s="6">
        <f t="shared" si="29"/>
        <v>-4.606830818109549E-3</v>
      </c>
    </row>
    <row r="293" spans="1:20" x14ac:dyDescent="0.25">
      <c r="A293" s="4" t="s">
        <v>818</v>
      </c>
      <c r="B293" s="5" t="s">
        <v>16</v>
      </c>
      <c r="C293" s="5" t="s">
        <v>1823</v>
      </c>
      <c r="D293" s="5">
        <v>199.9</v>
      </c>
      <c r="E293" s="5">
        <v>202.45</v>
      </c>
      <c r="F293" s="5">
        <v>206.4</v>
      </c>
      <c r="G293" s="5">
        <v>189.35</v>
      </c>
      <c r="H293" s="5">
        <v>190.15</v>
      </c>
      <c r="I293" s="5">
        <v>192.1</v>
      </c>
      <c r="J293" s="5">
        <v>198.71</v>
      </c>
      <c r="K293" s="5">
        <v>312686</v>
      </c>
      <c r="L293" s="5">
        <v>621.35</v>
      </c>
      <c r="M293" s="5">
        <v>7812</v>
      </c>
      <c r="N293" s="5">
        <v>71144</v>
      </c>
      <c r="O293" s="5">
        <v>22.75</v>
      </c>
      <c r="P293" s="5">
        <f t="shared" si="25"/>
        <v>-7.8000000000000114</v>
      </c>
      <c r="Q293" s="6">
        <f t="shared" si="26"/>
        <v>-3.9019509754877495E-2</v>
      </c>
      <c r="R293" s="5">
        <f t="shared" si="27"/>
        <v>17.050000000000011</v>
      </c>
      <c r="S293" s="6">
        <f t="shared" si="28"/>
        <v>8.5292646323161636E-2</v>
      </c>
      <c r="T293" s="6">
        <f t="shared" si="29"/>
        <v>-3.3455649753258321E-2</v>
      </c>
    </row>
    <row r="294" spans="1:20" x14ac:dyDescent="0.25">
      <c r="A294" s="4" t="s">
        <v>1725</v>
      </c>
      <c r="B294" s="5" t="s">
        <v>16</v>
      </c>
      <c r="C294" s="5" t="s">
        <v>1823</v>
      </c>
      <c r="D294" s="5">
        <v>106.95</v>
      </c>
      <c r="E294" s="5">
        <v>107.3</v>
      </c>
      <c r="F294" s="5">
        <v>112.7</v>
      </c>
      <c r="G294" s="5">
        <v>106.1</v>
      </c>
      <c r="H294" s="5">
        <v>107.65</v>
      </c>
      <c r="I294" s="5">
        <v>108.55</v>
      </c>
      <c r="J294" s="5">
        <v>109.46</v>
      </c>
      <c r="K294" s="5">
        <v>395115</v>
      </c>
      <c r="L294" s="5">
        <v>432.49</v>
      </c>
      <c r="M294" s="5">
        <v>5153</v>
      </c>
      <c r="N294" s="5">
        <v>89950</v>
      </c>
      <c r="O294" s="5">
        <v>22.77</v>
      </c>
      <c r="P294" s="5">
        <f t="shared" si="25"/>
        <v>1.5999999999999943</v>
      </c>
      <c r="Q294" s="6">
        <f t="shared" si="26"/>
        <v>1.4960261804581527E-2</v>
      </c>
      <c r="R294" s="5">
        <f t="shared" si="27"/>
        <v>6.6000000000000085</v>
      </c>
      <c r="S294" s="6">
        <f t="shared" si="28"/>
        <v>6.1711079943899093E-2</v>
      </c>
      <c r="T294" s="6">
        <f t="shared" si="29"/>
        <v>-8.3745542390428768E-3</v>
      </c>
    </row>
    <row r="295" spans="1:20" hidden="1" x14ac:dyDescent="0.25">
      <c r="A295" s="4" t="s">
        <v>309</v>
      </c>
      <c r="B295" s="5" t="s">
        <v>16</v>
      </c>
      <c r="C295" s="5" t="s">
        <v>1823</v>
      </c>
      <c r="D295" s="5">
        <v>2747.4</v>
      </c>
      <c r="E295" s="5">
        <v>2790</v>
      </c>
      <c r="F295" s="5">
        <v>2790</v>
      </c>
      <c r="G295" s="5">
        <v>2665</v>
      </c>
      <c r="H295" s="5">
        <v>2684</v>
      </c>
      <c r="I295" s="5">
        <v>2696.9</v>
      </c>
      <c r="J295" s="5">
        <v>2710.17</v>
      </c>
      <c r="K295" s="5">
        <v>5688</v>
      </c>
      <c r="L295" s="5">
        <v>154.15</v>
      </c>
      <c r="M295" s="5">
        <v>1686</v>
      </c>
      <c r="N295" s="5">
        <v>3472</v>
      </c>
      <c r="O295" s="5">
        <v>61.04</v>
      </c>
      <c r="P295" s="5">
        <f t="shared" si="25"/>
        <v>-50.5</v>
      </c>
      <c r="Q295" s="6">
        <f t="shared" si="26"/>
        <v>-1.838101477760792E-2</v>
      </c>
      <c r="R295" s="5">
        <f t="shared" si="27"/>
        <v>125</v>
      </c>
      <c r="S295" s="6">
        <f t="shared" si="28"/>
        <v>4.5497561330712671E-2</v>
      </c>
      <c r="T295" s="6">
        <f t="shared" si="29"/>
        <v>-4.8510770524314729E-3</v>
      </c>
    </row>
    <row r="296" spans="1:20" x14ac:dyDescent="0.25">
      <c r="A296" s="4" t="s">
        <v>426</v>
      </c>
      <c r="B296" s="5" t="s">
        <v>16</v>
      </c>
      <c r="C296" s="5" t="s">
        <v>1823</v>
      </c>
      <c r="D296" s="5">
        <v>344.35</v>
      </c>
      <c r="E296" s="5">
        <v>344.4</v>
      </c>
      <c r="F296" s="5">
        <v>354.4</v>
      </c>
      <c r="G296" s="5">
        <v>341.25</v>
      </c>
      <c r="H296" s="5">
        <v>344.1</v>
      </c>
      <c r="I296" s="5">
        <v>344.65</v>
      </c>
      <c r="J296" s="5">
        <v>347.61</v>
      </c>
      <c r="K296" s="5">
        <v>227152</v>
      </c>
      <c r="L296" s="5">
        <v>789.59</v>
      </c>
      <c r="M296" s="5">
        <v>7442</v>
      </c>
      <c r="N296" s="5">
        <v>53509</v>
      </c>
      <c r="O296" s="5">
        <v>23.56</v>
      </c>
      <c r="P296" s="5">
        <f t="shared" si="25"/>
        <v>0.29999999999995453</v>
      </c>
      <c r="Q296" s="6">
        <f t="shared" si="26"/>
        <v>8.7120662117018877E-4</v>
      </c>
      <c r="R296" s="5">
        <f t="shared" si="27"/>
        <v>13.149999999999977</v>
      </c>
      <c r="S296" s="6">
        <f t="shared" si="28"/>
        <v>3.8187890227965662E-2</v>
      </c>
      <c r="T296" s="6">
        <f t="shared" si="29"/>
        <v>-8.5505885751427368E-3</v>
      </c>
    </row>
    <row r="297" spans="1:20" hidden="1" x14ac:dyDescent="0.25">
      <c r="A297" s="4" t="s">
        <v>311</v>
      </c>
      <c r="B297" s="5" t="s">
        <v>42</v>
      </c>
      <c r="C297" s="5" t="s">
        <v>1823</v>
      </c>
      <c r="D297" s="5">
        <v>10.1</v>
      </c>
      <c r="E297" s="5">
        <v>10.06</v>
      </c>
      <c r="F297" s="5">
        <v>10.1</v>
      </c>
      <c r="G297" s="5">
        <v>10.06</v>
      </c>
      <c r="H297" s="5">
        <v>10.1</v>
      </c>
      <c r="I297" s="5">
        <v>10.1</v>
      </c>
      <c r="J297" s="5">
        <v>10.09</v>
      </c>
      <c r="K297" s="5">
        <v>13580</v>
      </c>
      <c r="L297" s="5">
        <v>1.37</v>
      </c>
      <c r="M297" s="5">
        <v>6</v>
      </c>
      <c r="N297" s="5">
        <v>13580</v>
      </c>
      <c r="O297" s="5">
        <v>100</v>
      </c>
      <c r="P297" s="5">
        <f t="shared" si="25"/>
        <v>0</v>
      </c>
      <c r="Q297" s="6">
        <f t="shared" si="26"/>
        <v>0</v>
      </c>
      <c r="R297" s="5">
        <f t="shared" si="27"/>
        <v>3.9999999999999147E-2</v>
      </c>
      <c r="S297" s="6">
        <f t="shared" si="28"/>
        <v>3.9603960396038763E-3</v>
      </c>
      <c r="T297" s="6">
        <f t="shared" si="29"/>
        <v>9.9206349206347097E-4</v>
      </c>
    </row>
    <row r="298" spans="1:20" x14ac:dyDescent="0.25">
      <c r="A298" s="4" t="s">
        <v>172</v>
      </c>
      <c r="B298" s="5" t="s">
        <v>16</v>
      </c>
      <c r="C298" s="5" t="s">
        <v>1823</v>
      </c>
      <c r="D298" s="5">
        <v>267.95</v>
      </c>
      <c r="E298" s="5">
        <v>268.7</v>
      </c>
      <c r="F298" s="5">
        <v>294.7</v>
      </c>
      <c r="G298" s="5">
        <v>266.45</v>
      </c>
      <c r="H298" s="5">
        <v>283.8</v>
      </c>
      <c r="I298" s="5">
        <v>283.89999999999998</v>
      </c>
      <c r="J298" s="5">
        <v>284.54000000000002</v>
      </c>
      <c r="K298" s="5">
        <v>281520</v>
      </c>
      <c r="L298" s="5">
        <v>801.04</v>
      </c>
      <c r="M298" s="5">
        <v>7066</v>
      </c>
      <c r="N298" s="5">
        <v>66774</v>
      </c>
      <c r="O298" s="5">
        <v>23.72</v>
      </c>
      <c r="P298" s="5">
        <f t="shared" si="25"/>
        <v>15.949999999999989</v>
      </c>
      <c r="Q298" s="6">
        <f t="shared" si="26"/>
        <v>5.9526030975928304E-2</v>
      </c>
      <c r="R298" s="5">
        <f t="shared" si="27"/>
        <v>28.25</v>
      </c>
      <c r="S298" s="6">
        <f t="shared" si="28"/>
        <v>0.10543011755924614</v>
      </c>
      <c r="T298" s="6">
        <f t="shared" si="29"/>
        <v>-2.2985409652077869E-3</v>
      </c>
    </row>
    <row r="299" spans="1:20" hidden="1" x14ac:dyDescent="0.25">
      <c r="A299" s="4" t="s">
        <v>313</v>
      </c>
      <c r="B299" s="5" t="s">
        <v>16</v>
      </c>
      <c r="C299" s="5" t="s">
        <v>1823</v>
      </c>
      <c r="D299" s="5">
        <v>382</v>
      </c>
      <c r="E299" s="5">
        <v>376.35</v>
      </c>
      <c r="F299" s="5">
        <v>400</v>
      </c>
      <c r="G299" s="5">
        <v>376.25</v>
      </c>
      <c r="H299" s="5">
        <v>400</v>
      </c>
      <c r="I299" s="5">
        <v>395.8</v>
      </c>
      <c r="J299" s="5">
        <v>390.8</v>
      </c>
      <c r="K299" s="5">
        <v>22106</v>
      </c>
      <c r="L299" s="5">
        <v>86.39</v>
      </c>
      <c r="M299" s="5">
        <v>1104</v>
      </c>
      <c r="N299" s="5">
        <v>19131</v>
      </c>
      <c r="O299" s="5">
        <v>86.54</v>
      </c>
      <c r="P299" s="5">
        <f t="shared" si="25"/>
        <v>13.800000000000011</v>
      </c>
      <c r="Q299" s="6">
        <f t="shared" si="26"/>
        <v>3.6125654450261807E-2</v>
      </c>
      <c r="R299" s="5">
        <f t="shared" si="27"/>
        <v>23.75</v>
      </c>
      <c r="S299" s="6">
        <f t="shared" si="28"/>
        <v>6.2172774869109951E-2</v>
      </c>
      <c r="T299" s="6">
        <f t="shared" si="29"/>
        <v>1.2916559028674762E-2</v>
      </c>
    </row>
    <row r="300" spans="1:20" x14ac:dyDescent="0.25">
      <c r="A300" s="4" t="s">
        <v>815</v>
      </c>
      <c r="B300" s="5" t="s">
        <v>16</v>
      </c>
      <c r="C300" s="5" t="s">
        <v>1823</v>
      </c>
      <c r="D300" s="5">
        <v>93</v>
      </c>
      <c r="E300" s="5">
        <v>93</v>
      </c>
      <c r="F300" s="5">
        <v>93.05</v>
      </c>
      <c r="G300" s="5">
        <v>89.1</v>
      </c>
      <c r="H300" s="5">
        <v>89.4</v>
      </c>
      <c r="I300" s="5">
        <v>89.6</v>
      </c>
      <c r="J300" s="5">
        <v>91.06</v>
      </c>
      <c r="K300" s="5">
        <v>1177611</v>
      </c>
      <c r="L300" s="5">
        <v>1072.3599999999999</v>
      </c>
      <c r="M300" s="5">
        <v>9122</v>
      </c>
      <c r="N300" s="5">
        <v>282009</v>
      </c>
      <c r="O300" s="5">
        <v>23.95</v>
      </c>
      <c r="P300" s="5">
        <f t="shared" si="25"/>
        <v>-3.4000000000000057</v>
      </c>
      <c r="Q300" s="6">
        <f t="shared" si="26"/>
        <v>-3.65591397849463E-2</v>
      </c>
      <c r="R300" s="5">
        <f t="shared" si="27"/>
        <v>3.9500000000000028</v>
      </c>
      <c r="S300" s="6">
        <f t="shared" si="28"/>
        <v>4.247311827956992E-2</v>
      </c>
      <c r="T300" s="6">
        <f t="shared" si="29"/>
        <v>-1.6010966415353069E-2</v>
      </c>
    </row>
    <row r="301" spans="1:20" x14ac:dyDescent="0.25">
      <c r="A301" s="4" t="s">
        <v>204</v>
      </c>
      <c r="B301" s="5" t="s">
        <v>16</v>
      </c>
      <c r="C301" s="5" t="s">
        <v>1823</v>
      </c>
      <c r="D301" s="5">
        <v>70.599999999999994</v>
      </c>
      <c r="E301" s="5">
        <v>70.400000000000006</v>
      </c>
      <c r="F301" s="5">
        <v>70.400000000000006</v>
      </c>
      <c r="G301" s="5">
        <v>65.7</v>
      </c>
      <c r="H301" s="5">
        <v>66.45</v>
      </c>
      <c r="I301" s="5">
        <v>66.45</v>
      </c>
      <c r="J301" s="5">
        <v>67.09</v>
      </c>
      <c r="K301" s="5">
        <v>10350823</v>
      </c>
      <c r="L301" s="5">
        <v>6944.75</v>
      </c>
      <c r="M301" s="5">
        <v>27206</v>
      </c>
      <c r="N301" s="5">
        <v>2511792</v>
      </c>
      <c r="O301" s="5">
        <v>24.27</v>
      </c>
      <c r="P301" s="5">
        <f t="shared" si="25"/>
        <v>-4.1499999999999915</v>
      </c>
      <c r="Q301" s="6">
        <f t="shared" si="26"/>
        <v>-5.8781869688385155E-2</v>
      </c>
      <c r="R301" s="5">
        <f t="shared" si="27"/>
        <v>4.7000000000000028</v>
      </c>
      <c r="S301" s="6">
        <f t="shared" si="28"/>
        <v>6.6572237960339994E-2</v>
      </c>
      <c r="T301" s="6">
        <f t="shared" si="29"/>
        <v>-9.3790071441656065E-3</v>
      </c>
    </row>
    <row r="302" spans="1:20" hidden="1" x14ac:dyDescent="0.25">
      <c r="A302" s="4" t="s">
        <v>316</v>
      </c>
      <c r="B302" s="5" t="s">
        <v>16</v>
      </c>
      <c r="C302" s="5" t="s">
        <v>1823</v>
      </c>
      <c r="D302" s="5">
        <v>318.60000000000002</v>
      </c>
      <c r="E302" s="5">
        <v>320.64999999999998</v>
      </c>
      <c r="F302" s="5">
        <v>328</v>
      </c>
      <c r="G302" s="5">
        <v>317.64999999999998</v>
      </c>
      <c r="H302" s="5">
        <v>328</v>
      </c>
      <c r="I302" s="5">
        <v>322.05</v>
      </c>
      <c r="J302" s="5">
        <v>321.43</v>
      </c>
      <c r="K302" s="5">
        <v>4637</v>
      </c>
      <c r="L302" s="5">
        <v>14.9</v>
      </c>
      <c r="M302" s="5">
        <v>478</v>
      </c>
      <c r="N302" s="5">
        <v>3449</v>
      </c>
      <c r="O302" s="5">
        <v>74.38</v>
      </c>
      <c r="P302" s="5">
        <f t="shared" si="25"/>
        <v>3.4499999999999886</v>
      </c>
      <c r="Q302" s="6">
        <f t="shared" si="26"/>
        <v>1.082862523540486E-2</v>
      </c>
      <c r="R302" s="5">
        <f t="shared" si="27"/>
        <v>10.350000000000023</v>
      </c>
      <c r="S302" s="6">
        <f t="shared" si="28"/>
        <v>3.2485875706214758E-2</v>
      </c>
      <c r="T302" s="6">
        <f t="shared" si="29"/>
        <v>1.9249427562386141E-3</v>
      </c>
    </row>
    <row r="303" spans="1:20" x14ac:dyDescent="0.25">
      <c r="A303" s="4" t="s">
        <v>804</v>
      </c>
      <c r="B303" s="5" t="s">
        <v>16</v>
      </c>
      <c r="C303" s="5" t="s">
        <v>1823</v>
      </c>
      <c r="D303" s="5">
        <v>246.85</v>
      </c>
      <c r="E303" s="5">
        <v>246.1</v>
      </c>
      <c r="F303" s="5">
        <v>260</v>
      </c>
      <c r="G303" s="5">
        <v>238.7</v>
      </c>
      <c r="H303" s="5">
        <v>253.2</v>
      </c>
      <c r="I303" s="5">
        <v>256.60000000000002</v>
      </c>
      <c r="J303" s="5">
        <v>253.1</v>
      </c>
      <c r="K303" s="5">
        <v>106521</v>
      </c>
      <c r="L303" s="5">
        <v>269.61</v>
      </c>
      <c r="M303" s="5">
        <v>3991</v>
      </c>
      <c r="N303" s="5">
        <v>25940</v>
      </c>
      <c r="O303" s="5">
        <v>24.35</v>
      </c>
      <c r="P303" s="5">
        <f t="shared" si="25"/>
        <v>9.7500000000000284</v>
      </c>
      <c r="Q303" s="6">
        <f t="shared" si="26"/>
        <v>3.9497670650192537E-2</v>
      </c>
      <c r="R303" s="5">
        <f t="shared" si="27"/>
        <v>21.300000000000011</v>
      </c>
      <c r="S303" s="6">
        <f t="shared" si="28"/>
        <v>8.6287218958881959E-2</v>
      </c>
      <c r="T303" s="6">
        <f t="shared" si="29"/>
        <v>1.398042740163782E-2</v>
      </c>
    </row>
    <row r="304" spans="1:20" hidden="1" x14ac:dyDescent="0.25">
      <c r="A304" s="4" t="s">
        <v>318</v>
      </c>
      <c r="B304" s="5" t="s">
        <v>16</v>
      </c>
      <c r="C304" s="5" t="s">
        <v>1823</v>
      </c>
      <c r="D304" s="5">
        <v>178.4</v>
      </c>
      <c r="E304" s="5">
        <v>184.65</v>
      </c>
      <c r="F304" s="5">
        <v>184.65</v>
      </c>
      <c r="G304" s="5">
        <v>178</v>
      </c>
      <c r="H304" s="5">
        <v>178</v>
      </c>
      <c r="I304" s="5">
        <v>178</v>
      </c>
      <c r="J304" s="5">
        <v>178</v>
      </c>
      <c r="K304" s="5">
        <v>1931</v>
      </c>
      <c r="L304" s="5">
        <v>3.44</v>
      </c>
      <c r="M304" s="5">
        <v>15</v>
      </c>
      <c r="N304" s="5">
        <v>1930</v>
      </c>
      <c r="O304" s="5">
        <v>99.95</v>
      </c>
      <c r="P304" s="5">
        <f t="shared" si="25"/>
        <v>-0.40000000000000568</v>
      </c>
      <c r="Q304" s="6">
        <f t="shared" si="26"/>
        <v>-2.2421524663677446E-3</v>
      </c>
      <c r="R304" s="5">
        <f t="shared" si="27"/>
        <v>6.6500000000000057</v>
      </c>
      <c r="S304" s="6">
        <f t="shared" si="28"/>
        <v>3.727578475336326E-2</v>
      </c>
      <c r="T304" s="6">
        <f t="shared" si="29"/>
        <v>0</v>
      </c>
    </row>
    <row r="305" spans="1:20" x14ac:dyDescent="0.25">
      <c r="A305" s="4" t="s">
        <v>1189</v>
      </c>
      <c r="B305" s="5" t="s">
        <v>16</v>
      </c>
      <c r="C305" s="5" t="s">
        <v>1823</v>
      </c>
      <c r="D305" s="5">
        <v>64.150000000000006</v>
      </c>
      <c r="E305" s="5">
        <v>63.25</v>
      </c>
      <c r="F305" s="5">
        <v>63.8</v>
      </c>
      <c r="G305" s="5">
        <v>61.45</v>
      </c>
      <c r="H305" s="5">
        <v>61.9</v>
      </c>
      <c r="I305" s="5">
        <v>62.25</v>
      </c>
      <c r="J305" s="5">
        <v>62.46</v>
      </c>
      <c r="K305" s="5">
        <v>502635</v>
      </c>
      <c r="L305" s="5">
        <v>313.93</v>
      </c>
      <c r="M305" s="5">
        <v>4667</v>
      </c>
      <c r="N305" s="5">
        <v>122853</v>
      </c>
      <c r="O305" s="5">
        <v>24.44</v>
      </c>
      <c r="P305" s="5">
        <f t="shared" si="25"/>
        <v>-1.9000000000000057</v>
      </c>
      <c r="Q305" s="6">
        <f t="shared" si="26"/>
        <v>-2.9618082618862129E-2</v>
      </c>
      <c r="R305" s="5">
        <f t="shared" si="27"/>
        <v>2.3499999999999943</v>
      </c>
      <c r="S305" s="6">
        <f t="shared" si="28"/>
        <v>3.6632891660171384E-2</v>
      </c>
      <c r="T305" s="6">
        <f t="shared" si="29"/>
        <v>-3.3499501495513596E-3</v>
      </c>
    </row>
    <row r="306" spans="1:20" x14ac:dyDescent="0.25">
      <c r="A306" s="4" t="s">
        <v>589</v>
      </c>
      <c r="B306" s="5" t="s">
        <v>16</v>
      </c>
      <c r="C306" s="5" t="s">
        <v>1823</v>
      </c>
      <c r="D306" s="5">
        <v>348.1</v>
      </c>
      <c r="E306" s="5">
        <v>348.6</v>
      </c>
      <c r="F306" s="5">
        <v>354.85</v>
      </c>
      <c r="G306" s="5">
        <v>336.05</v>
      </c>
      <c r="H306" s="5">
        <v>343.3</v>
      </c>
      <c r="I306" s="5">
        <v>342.8</v>
      </c>
      <c r="J306" s="5">
        <v>345.15</v>
      </c>
      <c r="K306" s="5">
        <v>1621140</v>
      </c>
      <c r="L306" s="5">
        <v>5595.36</v>
      </c>
      <c r="M306" s="5">
        <v>32071</v>
      </c>
      <c r="N306" s="5">
        <v>404227</v>
      </c>
      <c r="O306" s="5">
        <v>24.93</v>
      </c>
      <c r="P306" s="5">
        <f t="shared" si="25"/>
        <v>-5.3000000000000114</v>
      </c>
      <c r="Q306" s="6">
        <f t="shared" si="26"/>
        <v>-1.5225509910945163E-2</v>
      </c>
      <c r="R306" s="5">
        <f t="shared" si="27"/>
        <v>18.800000000000011</v>
      </c>
      <c r="S306" s="6">
        <f t="shared" si="28"/>
        <v>5.400746911806955E-2</v>
      </c>
      <c r="T306" s="6">
        <f t="shared" si="29"/>
        <v>-6.8002604355059419E-3</v>
      </c>
    </row>
    <row r="307" spans="1:20" hidden="1" x14ac:dyDescent="0.25">
      <c r="A307" s="4" t="s">
        <v>321</v>
      </c>
      <c r="B307" s="5" t="s">
        <v>16</v>
      </c>
      <c r="C307" s="5" t="s">
        <v>1823</v>
      </c>
      <c r="D307" s="5">
        <v>487.75</v>
      </c>
      <c r="E307" s="5">
        <v>489.95</v>
      </c>
      <c r="F307" s="5">
        <v>494.6</v>
      </c>
      <c r="G307" s="5">
        <v>473.15</v>
      </c>
      <c r="H307" s="5">
        <v>485.1</v>
      </c>
      <c r="I307" s="5">
        <v>485.4</v>
      </c>
      <c r="J307" s="5">
        <v>482.4</v>
      </c>
      <c r="K307" s="5">
        <v>22639</v>
      </c>
      <c r="L307" s="5">
        <v>109.21</v>
      </c>
      <c r="M307" s="5">
        <v>2544</v>
      </c>
      <c r="N307" s="5">
        <v>12397</v>
      </c>
      <c r="O307" s="5">
        <v>54.76</v>
      </c>
      <c r="P307" s="5">
        <f t="shared" si="25"/>
        <v>-2.3500000000000227</v>
      </c>
      <c r="Q307" s="6">
        <f t="shared" si="26"/>
        <v>-4.8180420297283914E-3</v>
      </c>
      <c r="R307" s="5">
        <f t="shared" si="27"/>
        <v>21.450000000000045</v>
      </c>
      <c r="S307" s="6">
        <f t="shared" si="28"/>
        <v>4.3977447462839665E-2</v>
      </c>
      <c r="T307" s="6">
        <f t="shared" si="29"/>
        <v>6.1756986259070556E-3</v>
      </c>
    </row>
    <row r="308" spans="1:20" hidden="1" x14ac:dyDescent="0.25">
      <c r="A308" s="4" t="s">
        <v>322</v>
      </c>
      <c r="B308" s="5" t="s">
        <v>16</v>
      </c>
      <c r="C308" s="5" t="s">
        <v>1823</v>
      </c>
      <c r="D308" s="5">
        <v>294.8</v>
      </c>
      <c r="E308" s="5">
        <v>300</v>
      </c>
      <c r="F308" s="5">
        <v>300</v>
      </c>
      <c r="G308" s="5">
        <v>289</v>
      </c>
      <c r="H308" s="5">
        <v>292.5</v>
      </c>
      <c r="I308" s="5">
        <v>291.89999999999998</v>
      </c>
      <c r="J308" s="5">
        <v>291.38</v>
      </c>
      <c r="K308" s="5">
        <v>12451</v>
      </c>
      <c r="L308" s="5">
        <v>36.28</v>
      </c>
      <c r="M308" s="5">
        <v>286</v>
      </c>
      <c r="N308" s="5">
        <v>10468</v>
      </c>
      <c r="O308" s="5">
        <v>84.07</v>
      </c>
      <c r="P308" s="5">
        <f t="shared" si="25"/>
        <v>-2.9000000000000341</v>
      </c>
      <c r="Q308" s="6">
        <f t="shared" si="26"/>
        <v>-9.8371777476256236E-3</v>
      </c>
      <c r="R308" s="5">
        <f t="shared" si="27"/>
        <v>11</v>
      </c>
      <c r="S308" s="6">
        <f t="shared" si="28"/>
        <v>3.7313432835820892E-2</v>
      </c>
      <c r="T308" s="6">
        <f t="shared" si="29"/>
        <v>1.7613684477939936E-3</v>
      </c>
    </row>
    <row r="309" spans="1:20" hidden="1" x14ac:dyDescent="0.25">
      <c r="A309" s="4" t="s">
        <v>323</v>
      </c>
      <c r="B309" s="5" t="s">
        <v>16</v>
      </c>
      <c r="C309" s="5" t="s">
        <v>1823</v>
      </c>
      <c r="D309" s="5">
        <v>25.85</v>
      </c>
      <c r="E309" s="5">
        <v>26.25</v>
      </c>
      <c r="F309" s="5">
        <v>26.25</v>
      </c>
      <c r="G309" s="5">
        <v>23.3</v>
      </c>
      <c r="H309" s="5">
        <v>23.3</v>
      </c>
      <c r="I309" s="5">
        <v>23.6</v>
      </c>
      <c r="J309" s="5">
        <v>24.22</v>
      </c>
      <c r="K309" s="5">
        <v>37516</v>
      </c>
      <c r="L309" s="5">
        <v>9.09</v>
      </c>
      <c r="M309" s="5">
        <v>275</v>
      </c>
      <c r="N309" s="5">
        <v>23711</v>
      </c>
      <c r="O309" s="5">
        <v>63.2</v>
      </c>
      <c r="P309" s="5">
        <f t="shared" si="25"/>
        <v>-2.25</v>
      </c>
      <c r="Q309" s="6">
        <f t="shared" si="26"/>
        <v>-8.7040618955512572E-2</v>
      </c>
      <c r="R309" s="5">
        <f t="shared" si="27"/>
        <v>2.9499999999999993</v>
      </c>
      <c r="S309" s="6">
        <f t="shared" si="28"/>
        <v>0.11411992263056089</v>
      </c>
      <c r="T309" s="6">
        <f t="shared" si="29"/>
        <v>-2.4949698189134704E-2</v>
      </c>
    </row>
    <row r="310" spans="1:20" hidden="1" x14ac:dyDescent="0.25">
      <c r="A310" s="4" t="s">
        <v>324</v>
      </c>
      <c r="B310" s="5" t="s">
        <v>16</v>
      </c>
      <c r="C310" s="5" t="s">
        <v>1823</v>
      </c>
      <c r="D310" s="5">
        <v>38.950000000000003</v>
      </c>
      <c r="E310" s="5">
        <v>39.65</v>
      </c>
      <c r="F310" s="5">
        <v>39.65</v>
      </c>
      <c r="G310" s="5">
        <v>36.549999999999997</v>
      </c>
      <c r="H310" s="5">
        <v>37</v>
      </c>
      <c r="I310" s="5">
        <v>36.950000000000003</v>
      </c>
      <c r="J310" s="5">
        <v>37.6</v>
      </c>
      <c r="K310" s="5">
        <v>19410</v>
      </c>
      <c r="L310" s="5">
        <v>7.3</v>
      </c>
      <c r="M310" s="5">
        <v>322</v>
      </c>
      <c r="N310" s="5">
        <v>17009</v>
      </c>
      <c r="O310" s="5">
        <v>87.63</v>
      </c>
      <c r="P310" s="5">
        <f t="shared" si="25"/>
        <v>-2</v>
      </c>
      <c r="Q310" s="6">
        <f t="shared" si="26"/>
        <v>-5.1347881899871627E-2</v>
      </c>
      <c r="R310" s="5">
        <f t="shared" si="27"/>
        <v>3.1000000000000014</v>
      </c>
      <c r="S310" s="6">
        <f t="shared" si="28"/>
        <v>7.9589216944801061E-2</v>
      </c>
      <c r="T310" s="6">
        <f t="shared" si="29"/>
        <v>-1.7015706806282685E-2</v>
      </c>
    </row>
    <row r="311" spans="1:20" hidden="1" x14ac:dyDescent="0.25">
      <c r="A311" s="4" t="s">
        <v>325</v>
      </c>
      <c r="B311" s="5" t="s">
        <v>16</v>
      </c>
      <c r="C311" s="5" t="s">
        <v>1823</v>
      </c>
      <c r="D311" s="5">
        <v>10.15</v>
      </c>
      <c r="E311" s="5">
        <v>10.65</v>
      </c>
      <c r="F311" s="5">
        <v>10.65</v>
      </c>
      <c r="G311" s="5">
        <v>9.75</v>
      </c>
      <c r="H311" s="5">
        <v>10.65</v>
      </c>
      <c r="I311" s="5">
        <v>10.65</v>
      </c>
      <c r="J311" s="5">
        <v>10.59</v>
      </c>
      <c r="K311" s="5">
        <v>64735</v>
      </c>
      <c r="L311" s="5">
        <v>6.85</v>
      </c>
      <c r="M311" s="5">
        <v>165</v>
      </c>
      <c r="N311" s="5">
        <v>63519</v>
      </c>
      <c r="O311" s="5">
        <v>98.12</v>
      </c>
      <c r="P311" s="5">
        <f t="shared" si="25"/>
        <v>0.5</v>
      </c>
      <c r="Q311" s="6">
        <f t="shared" si="26"/>
        <v>4.926108374384236E-2</v>
      </c>
      <c r="R311" s="5">
        <f t="shared" si="27"/>
        <v>0.90000000000000036</v>
      </c>
      <c r="S311" s="6">
        <f t="shared" si="28"/>
        <v>8.8669950738916287E-2</v>
      </c>
      <c r="T311" s="6">
        <f t="shared" si="29"/>
        <v>5.7553956834532844E-3</v>
      </c>
    </row>
    <row r="312" spans="1:20" x14ac:dyDescent="0.25">
      <c r="A312" s="4" t="s">
        <v>1320</v>
      </c>
      <c r="B312" s="5" t="s">
        <v>16</v>
      </c>
      <c r="C312" s="5" t="s">
        <v>1823</v>
      </c>
      <c r="D312" s="5">
        <v>49.15</v>
      </c>
      <c r="E312" s="5">
        <v>50</v>
      </c>
      <c r="F312" s="5">
        <v>51.8</v>
      </c>
      <c r="G312" s="5">
        <v>49.8</v>
      </c>
      <c r="H312" s="5">
        <v>50.2</v>
      </c>
      <c r="I312" s="5">
        <v>50.35</v>
      </c>
      <c r="J312" s="5">
        <v>50.67</v>
      </c>
      <c r="K312" s="5">
        <v>5253575</v>
      </c>
      <c r="L312" s="5">
        <v>2662.19</v>
      </c>
      <c r="M312" s="5">
        <v>19642</v>
      </c>
      <c r="N312" s="5">
        <v>1316417</v>
      </c>
      <c r="O312" s="5">
        <v>25.06</v>
      </c>
      <c r="P312" s="5">
        <f t="shared" si="25"/>
        <v>1.2000000000000028</v>
      </c>
      <c r="Q312" s="6">
        <f t="shared" si="26"/>
        <v>2.4415055951169946E-2</v>
      </c>
      <c r="R312" s="5">
        <f t="shared" si="27"/>
        <v>2</v>
      </c>
      <c r="S312" s="6">
        <f t="shared" si="28"/>
        <v>4.0691759918616482E-2</v>
      </c>
      <c r="T312" s="6">
        <f t="shared" si="29"/>
        <v>-6.338202525377575E-3</v>
      </c>
    </row>
    <row r="313" spans="1:20" hidden="1" x14ac:dyDescent="0.25">
      <c r="A313" s="4" t="s">
        <v>327</v>
      </c>
      <c r="B313" s="5" t="s">
        <v>16</v>
      </c>
      <c r="C313" s="5" t="s">
        <v>1823</v>
      </c>
      <c r="D313" s="5">
        <v>0.7</v>
      </c>
      <c r="E313" s="5">
        <v>0.65</v>
      </c>
      <c r="F313" s="5">
        <v>0.75</v>
      </c>
      <c r="G313" s="5">
        <v>0.65</v>
      </c>
      <c r="H313" s="5">
        <v>0.75</v>
      </c>
      <c r="I313" s="5">
        <v>0.7</v>
      </c>
      <c r="J313" s="5">
        <v>0.68</v>
      </c>
      <c r="K313" s="5">
        <v>568711</v>
      </c>
      <c r="L313" s="5">
        <v>3.87</v>
      </c>
      <c r="M313" s="5">
        <v>301</v>
      </c>
      <c r="N313" s="5">
        <v>379949</v>
      </c>
      <c r="O313" s="5">
        <v>66.81</v>
      </c>
      <c r="P313" s="5">
        <f t="shared" si="25"/>
        <v>0</v>
      </c>
      <c r="Q313" s="6">
        <f t="shared" si="26"/>
        <v>0</v>
      </c>
      <c r="R313" s="5">
        <f t="shared" si="27"/>
        <v>9.9999999999999978E-2</v>
      </c>
      <c r="S313" s="6">
        <f t="shared" si="28"/>
        <v>0.14285714285714282</v>
      </c>
      <c r="T313" s="6">
        <f t="shared" si="29"/>
        <v>2.9090909090908956E-2</v>
      </c>
    </row>
    <row r="314" spans="1:20" hidden="1" x14ac:dyDescent="0.25">
      <c r="A314" s="4" t="s">
        <v>328</v>
      </c>
      <c r="B314" s="5" t="s">
        <v>28</v>
      </c>
      <c r="C314" s="5" t="s">
        <v>1823</v>
      </c>
      <c r="D314" s="5">
        <v>5.05</v>
      </c>
      <c r="E314" s="5">
        <v>5.0999999999999996</v>
      </c>
      <c r="F314" s="5">
        <v>5.0999999999999996</v>
      </c>
      <c r="G314" s="5">
        <v>5.05</v>
      </c>
      <c r="H314" s="5">
        <v>5.05</v>
      </c>
      <c r="I314" s="5">
        <v>5.05</v>
      </c>
      <c r="J314" s="5">
        <v>5.05</v>
      </c>
      <c r="K314" s="5">
        <v>68000</v>
      </c>
      <c r="L314" s="5">
        <v>3.44</v>
      </c>
      <c r="M314" s="5">
        <v>13</v>
      </c>
      <c r="N314" s="5">
        <v>68000</v>
      </c>
      <c r="O314" s="5">
        <v>100</v>
      </c>
      <c r="P314" s="5">
        <f t="shared" si="25"/>
        <v>0</v>
      </c>
      <c r="Q314" s="6">
        <f t="shared" si="26"/>
        <v>0</v>
      </c>
      <c r="R314" s="5">
        <f t="shared" si="27"/>
        <v>4.9999999999999822E-2</v>
      </c>
      <c r="S314" s="6">
        <f t="shared" si="28"/>
        <v>9.9009900990098664E-3</v>
      </c>
      <c r="T314" s="6">
        <f t="shared" si="29"/>
        <v>0</v>
      </c>
    </row>
    <row r="315" spans="1:20" hidden="1" x14ac:dyDescent="0.25">
      <c r="A315" s="4" t="s">
        <v>329</v>
      </c>
      <c r="B315" s="5" t="s">
        <v>16</v>
      </c>
      <c r="C315" s="5" t="s">
        <v>1823</v>
      </c>
      <c r="D315" s="5">
        <v>78</v>
      </c>
      <c r="E315" s="5">
        <v>78</v>
      </c>
      <c r="F315" s="5">
        <v>78</v>
      </c>
      <c r="G315" s="5">
        <v>76.3</v>
      </c>
      <c r="H315" s="5">
        <v>76.55</v>
      </c>
      <c r="I315" s="5">
        <v>76.75</v>
      </c>
      <c r="J315" s="5">
        <v>77.239999999999995</v>
      </c>
      <c r="K315" s="5">
        <v>1494</v>
      </c>
      <c r="L315" s="5">
        <v>1.1499999999999999</v>
      </c>
      <c r="M315" s="5">
        <v>53</v>
      </c>
      <c r="N315" s="5">
        <v>1271</v>
      </c>
      <c r="O315" s="5">
        <v>85.07</v>
      </c>
      <c r="P315" s="5">
        <f t="shared" si="25"/>
        <v>-1.25</v>
      </c>
      <c r="Q315" s="6">
        <f t="shared" si="26"/>
        <v>-1.6025641025641024E-2</v>
      </c>
      <c r="R315" s="5">
        <f t="shared" si="27"/>
        <v>1.7000000000000028</v>
      </c>
      <c r="S315" s="6">
        <f t="shared" si="28"/>
        <v>2.1794871794871832E-2</v>
      </c>
      <c r="T315" s="6">
        <f t="shared" si="29"/>
        <v>-6.3420158550395707E-3</v>
      </c>
    </row>
    <row r="316" spans="1:20" hidden="1" x14ac:dyDescent="0.25">
      <c r="A316" s="4" t="s">
        <v>330</v>
      </c>
      <c r="B316" s="5" t="s">
        <v>16</v>
      </c>
      <c r="C316" s="5" t="s">
        <v>1823</v>
      </c>
      <c r="D316" s="5">
        <v>310.45</v>
      </c>
      <c r="E316" s="5">
        <v>313.8</v>
      </c>
      <c r="F316" s="5">
        <v>314.05</v>
      </c>
      <c r="G316" s="5">
        <v>302.10000000000002</v>
      </c>
      <c r="H316" s="5">
        <v>302.5</v>
      </c>
      <c r="I316" s="5">
        <v>304.39999999999998</v>
      </c>
      <c r="J316" s="5">
        <v>309</v>
      </c>
      <c r="K316" s="5">
        <v>14799</v>
      </c>
      <c r="L316" s="5">
        <v>45.73</v>
      </c>
      <c r="M316" s="5">
        <v>935</v>
      </c>
      <c r="N316" s="5">
        <v>9126</v>
      </c>
      <c r="O316" s="5">
        <v>61.67</v>
      </c>
      <c r="P316" s="5">
        <f t="shared" si="25"/>
        <v>-6.0500000000000114</v>
      </c>
      <c r="Q316" s="6">
        <f t="shared" si="26"/>
        <v>-1.9487840231921443E-2</v>
      </c>
      <c r="R316" s="5">
        <f t="shared" si="27"/>
        <v>11.949999999999989</v>
      </c>
      <c r="S316" s="6">
        <f t="shared" si="28"/>
        <v>3.8492510871315798E-2</v>
      </c>
      <c r="T316" s="6">
        <f t="shared" si="29"/>
        <v>-1.490663102037517E-2</v>
      </c>
    </row>
    <row r="317" spans="1:20" hidden="1" x14ac:dyDescent="0.25">
      <c r="A317" s="4" t="s">
        <v>331</v>
      </c>
      <c r="B317" s="5" t="s">
        <v>16</v>
      </c>
      <c r="C317" s="5" t="s">
        <v>1823</v>
      </c>
      <c r="D317" s="5">
        <v>68.349999999999994</v>
      </c>
      <c r="E317" s="5">
        <v>69</v>
      </c>
      <c r="F317" s="5">
        <v>69</v>
      </c>
      <c r="G317" s="5">
        <v>65.25</v>
      </c>
      <c r="H317" s="5">
        <v>66.900000000000006</v>
      </c>
      <c r="I317" s="5">
        <v>65.900000000000006</v>
      </c>
      <c r="J317" s="5">
        <v>66.209999999999994</v>
      </c>
      <c r="K317" s="5">
        <v>7034</v>
      </c>
      <c r="L317" s="5">
        <v>4.66</v>
      </c>
      <c r="M317" s="5">
        <v>181</v>
      </c>
      <c r="N317" s="5">
        <v>4385</v>
      </c>
      <c r="O317" s="5">
        <v>62.34</v>
      </c>
      <c r="P317" s="5">
        <f t="shared" si="25"/>
        <v>-2.4499999999999886</v>
      </c>
      <c r="Q317" s="6">
        <f t="shared" si="26"/>
        <v>-3.5844915874176868E-2</v>
      </c>
      <c r="R317" s="5">
        <f t="shared" si="27"/>
        <v>3.75</v>
      </c>
      <c r="S317" s="6">
        <f t="shared" si="28"/>
        <v>5.4864667154352599E-2</v>
      </c>
      <c r="T317" s="6">
        <f t="shared" si="29"/>
        <v>-4.6070964146385004E-3</v>
      </c>
    </row>
    <row r="318" spans="1:20" hidden="1" x14ac:dyDescent="0.25">
      <c r="A318" s="4" t="s">
        <v>332</v>
      </c>
      <c r="B318" s="5" t="s">
        <v>28</v>
      </c>
      <c r="C318" s="5" t="s">
        <v>1823</v>
      </c>
      <c r="D318" s="5">
        <v>4.2</v>
      </c>
      <c r="E318" s="5">
        <v>4</v>
      </c>
      <c r="F318" s="5">
        <v>4</v>
      </c>
      <c r="G318" s="5">
        <v>4</v>
      </c>
      <c r="H318" s="5">
        <v>4</v>
      </c>
      <c r="I318" s="5">
        <v>4</v>
      </c>
      <c r="J318" s="5">
        <v>4</v>
      </c>
      <c r="K318" s="5">
        <v>3000</v>
      </c>
      <c r="L318" s="5">
        <v>0.12</v>
      </c>
      <c r="M318" s="5">
        <v>1</v>
      </c>
      <c r="N318" s="5">
        <v>3000</v>
      </c>
      <c r="O318" s="5">
        <v>100</v>
      </c>
      <c r="P318" s="5">
        <f t="shared" si="25"/>
        <v>-0.20000000000000018</v>
      </c>
      <c r="Q318" s="6">
        <f t="shared" si="26"/>
        <v>-4.7619047619047658E-2</v>
      </c>
      <c r="R318" s="5">
        <f t="shared" si="27"/>
        <v>0</v>
      </c>
      <c r="S318" s="6">
        <f t="shared" si="28"/>
        <v>0</v>
      </c>
      <c r="T318" s="6">
        <f t="shared" si="29"/>
        <v>0</v>
      </c>
    </row>
    <row r="319" spans="1:20" hidden="1" x14ac:dyDescent="0.25">
      <c r="A319" s="4" t="s">
        <v>333</v>
      </c>
      <c r="B319" s="5" t="s">
        <v>16</v>
      </c>
      <c r="C319" s="5" t="s">
        <v>1823</v>
      </c>
      <c r="D319" s="5">
        <v>9.5500000000000007</v>
      </c>
      <c r="E319" s="5">
        <v>9.4499999999999993</v>
      </c>
      <c r="F319" s="5">
        <v>9.5</v>
      </c>
      <c r="G319" s="5">
        <v>8.5500000000000007</v>
      </c>
      <c r="H319" s="5">
        <v>8.8000000000000007</v>
      </c>
      <c r="I319" s="5">
        <v>8.8000000000000007</v>
      </c>
      <c r="J319" s="5">
        <v>8.91</v>
      </c>
      <c r="K319" s="5">
        <v>111</v>
      </c>
      <c r="L319" s="5">
        <v>0.01</v>
      </c>
      <c r="M319" s="5">
        <v>12</v>
      </c>
      <c r="N319" s="5">
        <v>100</v>
      </c>
      <c r="O319" s="5">
        <v>90.09</v>
      </c>
      <c r="P319" s="5">
        <f t="shared" si="25"/>
        <v>-0.75</v>
      </c>
      <c r="Q319" s="6">
        <f t="shared" si="26"/>
        <v>-7.8534031413612565E-2</v>
      </c>
      <c r="R319" s="5">
        <f t="shared" si="27"/>
        <v>0.94999999999999929</v>
      </c>
      <c r="S319" s="6">
        <f t="shared" si="28"/>
        <v>9.9476439790575841E-2</v>
      </c>
      <c r="T319" s="6">
        <f t="shared" si="29"/>
        <v>-1.2121212121212059E-2</v>
      </c>
    </row>
    <row r="320" spans="1:20" x14ac:dyDescent="0.25">
      <c r="A320" s="4" t="s">
        <v>1415</v>
      </c>
      <c r="B320" s="5" t="s">
        <v>16</v>
      </c>
      <c r="C320" s="5" t="s">
        <v>1823</v>
      </c>
      <c r="D320" s="5">
        <v>38</v>
      </c>
      <c r="E320" s="5">
        <v>38.35</v>
      </c>
      <c r="F320" s="5">
        <v>41.4</v>
      </c>
      <c r="G320" s="5">
        <v>36.700000000000003</v>
      </c>
      <c r="H320" s="5">
        <v>39.1</v>
      </c>
      <c r="I320" s="5">
        <v>39.1</v>
      </c>
      <c r="J320" s="5">
        <v>39.29</v>
      </c>
      <c r="K320" s="5">
        <v>11114757</v>
      </c>
      <c r="L320" s="5">
        <v>4367.03</v>
      </c>
      <c r="M320" s="5">
        <v>34613</v>
      </c>
      <c r="N320" s="5">
        <v>2791516</v>
      </c>
      <c r="O320" s="5">
        <v>25.12</v>
      </c>
      <c r="P320" s="5">
        <f t="shared" si="25"/>
        <v>1.1000000000000014</v>
      </c>
      <c r="Q320" s="6">
        <f t="shared" si="26"/>
        <v>2.894736842105267E-2</v>
      </c>
      <c r="R320" s="5">
        <f t="shared" si="27"/>
        <v>4.6999999999999957</v>
      </c>
      <c r="S320" s="6">
        <f t="shared" si="28"/>
        <v>0.12368421052631567</v>
      </c>
      <c r="T320" s="6">
        <f t="shared" si="29"/>
        <v>-4.8858887817421464E-3</v>
      </c>
    </row>
    <row r="321" spans="1:20" hidden="1" x14ac:dyDescent="0.25">
      <c r="A321" s="4" t="s">
        <v>335</v>
      </c>
      <c r="B321" s="5" t="s">
        <v>16</v>
      </c>
      <c r="C321" s="5" t="s">
        <v>1823</v>
      </c>
      <c r="D321" s="5">
        <v>350.95</v>
      </c>
      <c r="E321" s="5">
        <v>352.05</v>
      </c>
      <c r="F321" s="5">
        <v>352.25</v>
      </c>
      <c r="G321" s="5">
        <v>343</v>
      </c>
      <c r="H321" s="5">
        <v>344</v>
      </c>
      <c r="I321" s="5">
        <v>344</v>
      </c>
      <c r="J321" s="5">
        <v>346.92</v>
      </c>
      <c r="K321" s="5">
        <v>40810</v>
      </c>
      <c r="L321" s="5">
        <v>141.58000000000001</v>
      </c>
      <c r="M321" s="5">
        <v>2816</v>
      </c>
      <c r="N321" s="5">
        <v>24957</v>
      </c>
      <c r="O321" s="5">
        <v>61.15</v>
      </c>
      <c r="P321" s="5">
        <f t="shared" si="25"/>
        <v>-6.9499999999999886</v>
      </c>
      <c r="Q321" s="6">
        <f t="shared" si="26"/>
        <v>-1.9803390796409713E-2</v>
      </c>
      <c r="R321" s="5">
        <f t="shared" si="27"/>
        <v>9.25</v>
      </c>
      <c r="S321" s="6">
        <f t="shared" si="28"/>
        <v>2.6357030916084913E-2</v>
      </c>
      <c r="T321" s="6">
        <f t="shared" si="29"/>
        <v>-8.3950262344570283E-3</v>
      </c>
    </row>
    <row r="322" spans="1:20" hidden="1" x14ac:dyDescent="0.25">
      <c r="A322" s="4" t="s">
        <v>336</v>
      </c>
      <c r="B322" s="5" t="s">
        <v>16</v>
      </c>
      <c r="C322" s="5" t="s">
        <v>1823</v>
      </c>
      <c r="D322" s="5">
        <v>58.9</v>
      </c>
      <c r="E322" s="5">
        <v>56</v>
      </c>
      <c r="F322" s="5">
        <v>56</v>
      </c>
      <c r="G322" s="5">
        <v>56</v>
      </c>
      <c r="H322" s="5">
        <v>56</v>
      </c>
      <c r="I322" s="5">
        <v>56</v>
      </c>
      <c r="J322" s="5">
        <v>56</v>
      </c>
      <c r="K322" s="5">
        <v>131008</v>
      </c>
      <c r="L322" s="5">
        <v>73.36</v>
      </c>
      <c r="M322" s="5">
        <v>1659</v>
      </c>
      <c r="N322" s="5">
        <v>131007</v>
      </c>
      <c r="O322" s="5">
        <v>100</v>
      </c>
      <c r="P322" s="5">
        <f t="shared" si="25"/>
        <v>-2.8999999999999986</v>
      </c>
      <c r="Q322" s="6">
        <f t="shared" si="26"/>
        <v>-4.9235993208828502E-2</v>
      </c>
      <c r="R322" s="5">
        <f t="shared" si="27"/>
        <v>0</v>
      </c>
      <c r="S322" s="6">
        <f t="shared" si="28"/>
        <v>0</v>
      </c>
      <c r="T322" s="6">
        <f t="shared" si="29"/>
        <v>0</v>
      </c>
    </row>
    <row r="323" spans="1:20" hidden="1" x14ac:dyDescent="0.25">
      <c r="A323" s="4" t="s">
        <v>337</v>
      </c>
      <c r="B323" s="5" t="s">
        <v>16</v>
      </c>
      <c r="C323" s="5" t="s">
        <v>1823</v>
      </c>
      <c r="D323" s="5">
        <v>1518.4</v>
      </c>
      <c r="E323" s="5">
        <v>1516.45</v>
      </c>
      <c r="F323" s="5">
        <v>1516.45</v>
      </c>
      <c r="G323" s="5">
        <v>1474.1</v>
      </c>
      <c r="H323" s="5">
        <v>1490</v>
      </c>
      <c r="I323" s="5">
        <v>1486.95</v>
      </c>
      <c r="J323" s="5">
        <v>1492.77</v>
      </c>
      <c r="K323" s="5">
        <v>499631</v>
      </c>
      <c r="L323" s="5">
        <v>7458.35</v>
      </c>
      <c r="M323" s="5">
        <v>42387</v>
      </c>
      <c r="N323" s="5">
        <v>248797</v>
      </c>
      <c r="O323" s="5">
        <v>49.8</v>
      </c>
      <c r="P323" s="5">
        <f t="shared" si="25"/>
        <v>-31.450000000000045</v>
      </c>
      <c r="Q323" s="6">
        <f t="shared" si="26"/>
        <v>-2.0712592202318258E-2</v>
      </c>
      <c r="R323" s="5">
        <f t="shared" si="27"/>
        <v>42.350000000000136</v>
      </c>
      <c r="S323" s="6">
        <f t="shared" si="28"/>
        <v>2.7891201264489025E-2</v>
      </c>
      <c r="T323" s="6">
        <f t="shared" si="29"/>
        <v>-3.8839162822512279E-3</v>
      </c>
    </row>
    <row r="324" spans="1:20" hidden="1" x14ac:dyDescent="0.25">
      <c r="A324" s="4" t="s">
        <v>338</v>
      </c>
      <c r="B324" s="5" t="s">
        <v>16</v>
      </c>
      <c r="C324" s="5" t="s">
        <v>1823</v>
      </c>
      <c r="D324" s="5">
        <v>11.2</v>
      </c>
      <c r="E324" s="5">
        <v>11.5</v>
      </c>
      <c r="F324" s="5">
        <v>11.8</v>
      </c>
      <c r="G324" s="5">
        <v>11</v>
      </c>
      <c r="H324" s="5">
        <v>11.25</v>
      </c>
      <c r="I324" s="5">
        <v>11.25</v>
      </c>
      <c r="J324" s="5">
        <v>11.26</v>
      </c>
      <c r="K324" s="5">
        <v>89162</v>
      </c>
      <c r="L324" s="5">
        <v>10.039999999999999</v>
      </c>
      <c r="M324" s="5">
        <v>286</v>
      </c>
      <c r="N324" s="5">
        <v>32674</v>
      </c>
      <c r="O324" s="5">
        <v>36.65</v>
      </c>
      <c r="P324" s="5">
        <f t="shared" si="25"/>
        <v>5.0000000000000711E-2</v>
      </c>
      <c r="Q324" s="6">
        <f t="shared" si="26"/>
        <v>4.4642857142857782E-3</v>
      </c>
      <c r="R324" s="5">
        <f t="shared" si="27"/>
        <v>0.80000000000000071</v>
      </c>
      <c r="S324" s="6">
        <f t="shared" si="28"/>
        <v>7.1428571428571494E-2</v>
      </c>
      <c r="T324" s="6">
        <f t="shared" si="29"/>
        <v>-8.781558726673798E-4</v>
      </c>
    </row>
    <row r="325" spans="1:20" hidden="1" x14ac:dyDescent="0.25">
      <c r="A325" s="4" t="s">
        <v>339</v>
      </c>
      <c r="B325" s="5" t="s">
        <v>16</v>
      </c>
      <c r="C325" s="5" t="s">
        <v>1823</v>
      </c>
      <c r="D325" s="5">
        <v>9.1</v>
      </c>
      <c r="E325" s="5">
        <v>8.9</v>
      </c>
      <c r="F325" s="5">
        <v>9.1999999999999993</v>
      </c>
      <c r="G325" s="5">
        <v>8.9</v>
      </c>
      <c r="H325" s="5">
        <v>8.9</v>
      </c>
      <c r="I325" s="5">
        <v>8.9499999999999993</v>
      </c>
      <c r="J325" s="5">
        <v>8.9600000000000009</v>
      </c>
      <c r="K325" s="5">
        <v>38466</v>
      </c>
      <c r="L325" s="5">
        <v>3.45</v>
      </c>
      <c r="M325" s="5">
        <v>38</v>
      </c>
      <c r="N325" s="5">
        <v>37215</v>
      </c>
      <c r="O325" s="5">
        <v>96.75</v>
      </c>
      <c r="P325" s="5">
        <f t="shared" si="25"/>
        <v>-0.15000000000000036</v>
      </c>
      <c r="Q325" s="6">
        <f t="shared" si="26"/>
        <v>-1.6483516483516522E-2</v>
      </c>
      <c r="R325" s="5">
        <f t="shared" si="27"/>
        <v>0.29999999999999893</v>
      </c>
      <c r="S325" s="6">
        <f t="shared" si="28"/>
        <v>3.296703296703285E-2</v>
      </c>
      <c r="T325" s="6">
        <f t="shared" si="29"/>
        <v>-1.11265646731589E-3</v>
      </c>
    </row>
    <row r="326" spans="1:20" x14ac:dyDescent="0.25">
      <c r="A326" s="4" t="s">
        <v>1693</v>
      </c>
      <c r="B326" s="5" t="s">
        <v>16</v>
      </c>
      <c r="C326" s="5" t="s">
        <v>1823</v>
      </c>
      <c r="D326" s="5">
        <v>418.5</v>
      </c>
      <c r="E326" s="5">
        <v>415</v>
      </c>
      <c r="F326" s="5">
        <v>415</v>
      </c>
      <c r="G326" s="5">
        <v>391.05</v>
      </c>
      <c r="H326" s="5">
        <v>397.65</v>
      </c>
      <c r="I326" s="5">
        <v>401.8</v>
      </c>
      <c r="J326" s="5">
        <v>401.83</v>
      </c>
      <c r="K326" s="5">
        <v>2621967</v>
      </c>
      <c r="L326" s="5">
        <v>10535.95</v>
      </c>
      <c r="M326" s="5">
        <v>46323</v>
      </c>
      <c r="N326" s="5">
        <v>659903</v>
      </c>
      <c r="O326" s="5">
        <v>25.17</v>
      </c>
      <c r="P326" s="5">
        <f t="shared" si="25"/>
        <v>-16.699999999999989</v>
      </c>
      <c r="Q326" s="6">
        <f t="shared" si="26"/>
        <v>-3.9904420549581814E-2</v>
      </c>
      <c r="R326" s="5">
        <f t="shared" si="27"/>
        <v>23.949999999999989</v>
      </c>
      <c r="S326" s="6">
        <f t="shared" si="28"/>
        <v>5.722819593787333E-2</v>
      </c>
      <c r="T326" s="6">
        <f t="shared" si="29"/>
        <v>-7.3943987429454886E-5</v>
      </c>
    </row>
    <row r="327" spans="1:20" x14ac:dyDescent="0.25">
      <c r="A327" s="4" t="s">
        <v>790</v>
      </c>
      <c r="B327" s="5" t="s">
        <v>16</v>
      </c>
      <c r="C327" s="5" t="s">
        <v>1823</v>
      </c>
      <c r="D327" s="5">
        <v>138.69999999999999</v>
      </c>
      <c r="E327" s="5">
        <v>138.25</v>
      </c>
      <c r="F327" s="5">
        <v>142.80000000000001</v>
      </c>
      <c r="G327" s="5">
        <v>137</v>
      </c>
      <c r="H327" s="5">
        <v>140.4</v>
      </c>
      <c r="I327" s="5">
        <v>140.69999999999999</v>
      </c>
      <c r="J327" s="5">
        <v>140.4</v>
      </c>
      <c r="K327" s="5">
        <v>15364520</v>
      </c>
      <c r="L327" s="5">
        <v>21571.94</v>
      </c>
      <c r="M327" s="5">
        <v>80642</v>
      </c>
      <c r="N327" s="5">
        <v>3880186</v>
      </c>
      <c r="O327" s="5">
        <v>25.25</v>
      </c>
      <c r="P327" s="5">
        <f t="shared" si="25"/>
        <v>2</v>
      </c>
      <c r="Q327" s="6">
        <f t="shared" si="26"/>
        <v>1.4419610670511897E-2</v>
      </c>
      <c r="R327" s="5">
        <f t="shared" si="27"/>
        <v>5.8000000000000114</v>
      </c>
      <c r="S327" s="6">
        <f t="shared" si="28"/>
        <v>4.1816870944484587E-2</v>
      </c>
      <c r="T327" s="6">
        <f t="shared" si="29"/>
        <v>2.1476510067112873E-3</v>
      </c>
    </row>
    <row r="328" spans="1:20" hidden="1" x14ac:dyDescent="0.25">
      <c r="A328" s="4" t="s">
        <v>342</v>
      </c>
      <c r="B328" s="5" t="s">
        <v>16</v>
      </c>
      <c r="C328" s="5" t="s">
        <v>1823</v>
      </c>
      <c r="D328" s="5">
        <v>39.6</v>
      </c>
      <c r="E328" s="5">
        <v>39</v>
      </c>
      <c r="F328" s="5">
        <v>40.950000000000003</v>
      </c>
      <c r="G328" s="5">
        <v>38.6</v>
      </c>
      <c r="H328" s="5">
        <v>38.75</v>
      </c>
      <c r="I328" s="5">
        <v>39.049999999999997</v>
      </c>
      <c r="J328" s="5">
        <v>38.770000000000003</v>
      </c>
      <c r="K328" s="5">
        <v>734</v>
      </c>
      <c r="L328" s="5">
        <v>0.28000000000000003</v>
      </c>
      <c r="M328" s="5">
        <v>15</v>
      </c>
      <c r="N328" s="5">
        <v>650</v>
      </c>
      <c r="O328" s="5">
        <v>88.56</v>
      </c>
      <c r="P328" s="5">
        <f t="shared" si="25"/>
        <v>-0.55000000000000426</v>
      </c>
      <c r="Q328" s="6">
        <f t="shared" si="26"/>
        <v>-1.3888888888888996E-2</v>
      </c>
      <c r="R328" s="5">
        <f t="shared" si="27"/>
        <v>2.3500000000000014</v>
      </c>
      <c r="S328" s="6">
        <f t="shared" si="28"/>
        <v>5.9343434343434379E-2</v>
      </c>
      <c r="T328" s="6">
        <f t="shared" si="29"/>
        <v>7.1065989847714211E-3</v>
      </c>
    </row>
    <row r="329" spans="1:20" hidden="1" x14ac:dyDescent="0.25">
      <c r="A329" s="4" t="s">
        <v>343</v>
      </c>
      <c r="B329" s="5" t="s">
        <v>16</v>
      </c>
      <c r="C329" s="5" t="s">
        <v>1823</v>
      </c>
      <c r="D329" s="5">
        <v>245</v>
      </c>
      <c r="E329" s="5">
        <v>245</v>
      </c>
      <c r="F329" s="5">
        <v>248.2</v>
      </c>
      <c r="G329" s="5">
        <v>239</v>
      </c>
      <c r="H329" s="5">
        <v>239</v>
      </c>
      <c r="I329" s="5">
        <v>241.65</v>
      </c>
      <c r="J329" s="5">
        <v>244.23</v>
      </c>
      <c r="K329" s="5">
        <v>2605</v>
      </c>
      <c r="L329" s="5">
        <v>6.36</v>
      </c>
      <c r="M329" s="5">
        <v>102</v>
      </c>
      <c r="N329" s="5">
        <v>1821</v>
      </c>
      <c r="O329" s="5">
        <v>69.900000000000006</v>
      </c>
      <c r="P329" s="5">
        <f t="shared" si="25"/>
        <v>-3.3499999999999943</v>
      </c>
      <c r="Q329" s="6">
        <f t="shared" si="26"/>
        <v>-1.3673469387755079E-2</v>
      </c>
      <c r="R329" s="5">
        <f t="shared" si="27"/>
        <v>9.1999999999999886</v>
      </c>
      <c r="S329" s="6">
        <f t="shared" si="28"/>
        <v>3.7551020408163216E-2</v>
      </c>
      <c r="T329" s="6">
        <f t="shared" si="29"/>
        <v>-1.0597114545361129E-2</v>
      </c>
    </row>
    <row r="330" spans="1:20" hidden="1" x14ac:dyDescent="0.25">
      <c r="A330" s="4" t="s">
        <v>344</v>
      </c>
      <c r="B330" s="5" t="s">
        <v>16</v>
      </c>
      <c r="C330" s="5" t="s">
        <v>1823</v>
      </c>
      <c r="D330" s="5">
        <v>11.1</v>
      </c>
      <c r="E330" s="5">
        <v>11.15</v>
      </c>
      <c r="F330" s="5">
        <v>11.5</v>
      </c>
      <c r="G330" s="5">
        <v>10.8</v>
      </c>
      <c r="H330" s="5">
        <v>11</v>
      </c>
      <c r="I330" s="5">
        <v>11.1</v>
      </c>
      <c r="J330" s="5">
        <v>11.07</v>
      </c>
      <c r="K330" s="5">
        <v>1369</v>
      </c>
      <c r="L330" s="5">
        <v>0.15</v>
      </c>
      <c r="M330" s="5">
        <v>46</v>
      </c>
      <c r="N330" s="5">
        <v>1228</v>
      </c>
      <c r="O330" s="5">
        <v>89.7</v>
      </c>
      <c r="P330" s="5">
        <f t="shared" si="25"/>
        <v>0</v>
      </c>
      <c r="Q330" s="6">
        <f t="shared" si="26"/>
        <v>0</v>
      </c>
      <c r="R330" s="5">
        <f t="shared" si="27"/>
        <v>0.69999999999999929</v>
      </c>
      <c r="S330" s="6">
        <f t="shared" si="28"/>
        <v>6.3063063063063002E-2</v>
      </c>
      <c r="T330" s="6">
        <f t="shared" si="29"/>
        <v>2.6936026936026361E-3</v>
      </c>
    </row>
    <row r="331" spans="1:20" hidden="1" x14ac:dyDescent="0.25">
      <c r="A331" s="4" t="s">
        <v>345</v>
      </c>
      <c r="B331" s="5" t="s">
        <v>16</v>
      </c>
      <c r="C331" s="5" t="s">
        <v>1823</v>
      </c>
      <c r="D331" s="5">
        <v>46.9</v>
      </c>
      <c r="E331" s="5">
        <v>48.1</v>
      </c>
      <c r="F331" s="5">
        <v>49.5</v>
      </c>
      <c r="G331" s="5">
        <v>47.7</v>
      </c>
      <c r="H331" s="5">
        <v>48.35</v>
      </c>
      <c r="I331" s="5">
        <v>48.2</v>
      </c>
      <c r="J331" s="5">
        <v>48.65</v>
      </c>
      <c r="K331" s="5">
        <v>63202</v>
      </c>
      <c r="L331" s="5">
        <v>30.75</v>
      </c>
      <c r="M331" s="5">
        <v>969</v>
      </c>
      <c r="N331" s="5">
        <v>22744</v>
      </c>
      <c r="O331" s="5">
        <v>35.99</v>
      </c>
      <c r="P331" s="5">
        <f t="shared" si="25"/>
        <v>1.3000000000000043</v>
      </c>
      <c r="Q331" s="6">
        <f t="shared" si="26"/>
        <v>2.77185501066099E-2</v>
      </c>
      <c r="R331" s="5">
        <f t="shared" si="27"/>
        <v>1.7999999999999972</v>
      </c>
      <c r="S331" s="6">
        <f t="shared" si="28"/>
        <v>3.837953091684429E-2</v>
      </c>
      <c r="T331" s="6">
        <f t="shared" si="29"/>
        <v>-9.3023255813952602E-3</v>
      </c>
    </row>
    <row r="332" spans="1:20" x14ac:dyDescent="0.25">
      <c r="A332" s="4" t="s">
        <v>308</v>
      </c>
      <c r="B332" s="5" t="s">
        <v>16</v>
      </c>
      <c r="C332" s="5" t="s">
        <v>1823</v>
      </c>
      <c r="D332" s="5">
        <v>955.75</v>
      </c>
      <c r="E332" s="5">
        <v>948.4</v>
      </c>
      <c r="F332" s="5">
        <v>952.95</v>
      </c>
      <c r="G332" s="5">
        <v>908</v>
      </c>
      <c r="H332" s="5">
        <v>918.15</v>
      </c>
      <c r="I332" s="5">
        <v>919.5</v>
      </c>
      <c r="J332" s="5">
        <v>931.41</v>
      </c>
      <c r="K332" s="5">
        <v>688306</v>
      </c>
      <c r="L332" s="5">
        <v>6410.92</v>
      </c>
      <c r="M332" s="5">
        <v>28665</v>
      </c>
      <c r="N332" s="5">
        <v>174500</v>
      </c>
      <c r="O332" s="5">
        <v>25.35</v>
      </c>
      <c r="P332" s="5">
        <f t="shared" ref="P332:P395" si="30">I332-D332</f>
        <v>-36.25</v>
      </c>
      <c r="Q332" s="6">
        <f t="shared" ref="Q332:Q395" si="31">P332/D332</f>
        <v>-3.792832853779754E-2</v>
      </c>
      <c r="R332" s="5">
        <f t="shared" ref="R332:R395" si="32">ABS(F332-G332)</f>
        <v>44.950000000000045</v>
      </c>
      <c r="S332" s="6">
        <f t="shared" ref="S332:S395" si="33">R332/D332</f>
        <v>4.7031127386869001E-2</v>
      </c>
      <c r="T332" s="6">
        <f t="shared" ref="T332:T395" si="34">(I332-J332)/AVERAGE(E332:G332,I332)</f>
        <v>-1.2776056961261481E-2</v>
      </c>
    </row>
    <row r="333" spans="1:20" x14ac:dyDescent="0.25">
      <c r="A333" s="4" t="s">
        <v>484</v>
      </c>
      <c r="B333" s="5" t="s">
        <v>16</v>
      </c>
      <c r="C333" s="5" t="s">
        <v>1823</v>
      </c>
      <c r="D333" s="5">
        <v>605.1</v>
      </c>
      <c r="E333" s="5">
        <v>602.1</v>
      </c>
      <c r="F333" s="5">
        <v>604.70000000000005</v>
      </c>
      <c r="G333" s="5">
        <v>578.15</v>
      </c>
      <c r="H333" s="5">
        <v>588.95000000000005</v>
      </c>
      <c r="I333" s="5">
        <v>587.6</v>
      </c>
      <c r="J333" s="5">
        <v>588.07000000000005</v>
      </c>
      <c r="K333" s="5">
        <v>4001027</v>
      </c>
      <c r="L333" s="5">
        <v>23528.97</v>
      </c>
      <c r="M333" s="5">
        <v>77175</v>
      </c>
      <c r="N333" s="5">
        <v>1015537</v>
      </c>
      <c r="O333" s="5">
        <v>25.38</v>
      </c>
      <c r="P333" s="5">
        <f t="shared" si="30"/>
        <v>-17.5</v>
      </c>
      <c r="Q333" s="6">
        <f t="shared" si="31"/>
        <v>-2.8920839530656089E-2</v>
      </c>
      <c r="R333" s="5">
        <f t="shared" si="32"/>
        <v>26.550000000000068</v>
      </c>
      <c r="S333" s="6">
        <f t="shared" si="33"/>
        <v>4.3877045116509777E-2</v>
      </c>
      <c r="T333" s="6">
        <f t="shared" si="34"/>
        <v>-7.9239636677840681E-4</v>
      </c>
    </row>
    <row r="334" spans="1:20" hidden="1" x14ac:dyDescent="0.25">
      <c r="A334" s="4" t="s">
        <v>348</v>
      </c>
      <c r="B334" s="5" t="s">
        <v>16</v>
      </c>
      <c r="C334" s="5" t="s">
        <v>1823</v>
      </c>
      <c r="D334" s="5">
        <v>214.9</v>
      </c>
      <c r="E334" s="5">
        <v>213</v>
      </c>
      <c r="F334" s="5">
        <v>219.4</v>
      </c>
      <c r="G334" s="5">
        <v>213</v>
      </c>
      <c r="H334" s="5">
        <v>214</v>
      </c>
      <c r="I334" s="5">
        <v>213.95</v>
      </c>
      <c r="J334" s="5">
        <v>215.22</v>
      </c>
      <c r="K334" s="5">
        <v>7583</v>
      </c>
      <c r="L334" s="5">
        <v>16.32</v>
      </c>
      <c r="M334" s="5">
        <v>414</v>
      </c>
      <c r="N334" s="5">
        <v>3236</v>
      </c>
      <c r="O334" s="5">
        <v>42.67</v>
      </c>
      <c r="P334" s="5">
        <f t="shared" si="30"/>
        <v>-0.95000000000001705</v>
      </c>
      <c r="Q334" s="6">
        <f t="shared" si="31"/>
        <v>-4.4206607724523823E-3</v>
      </c>
      <c r="R334" s="5">
        <f t="shared" si="32"/>
        <v>6.4000000000000057</v>
      </c>
      <c r="S334" s="6">
        <f t="shared" si="33"/>
        <v>2.9781293624941859E-2</v>
      </c>
      <c r="T334" s="6">
        <f t="shared" si="34"/>
        <v>-5.9114446965730398E-3</v>
      </c>
    </row>
    <row r="335" spans="1:20" hidden="1" x14ac:dyDescent="0.25">
      <c r="A335" s="4" t="s">
        <v>349</v>
      </c>
      <c r="B335" s="5" t="s">
        <v>16</v>
      </c>
      <c r="C335" s="5" t="s">
        <v>1823</v>
      </c>
      <c r="D335" s="5">
        <v>1.95</v>
      </c>
      <c r="E335" s="5">
        <v>2</v>
      </c>
      <c r="F335" s="5">
        <v>2</v>
      </c>
      <c r="G335" s="5">
        <v>2</v>
      </c>
      <c r="H335" s="5">
        <v>2</v>
      </c>
      <c r="I335" s="5">
        <v>2</v>
      </c>
      <c r="J335" s="5">
        <v>2</v>
      </c>
      <c r="K335" s="5">
        <v>140</v>
      </c>
      <c r="L335" s="5">
        <v>0</v>
      </c>
      <c r="M335" s="5">
        <v>3</v>
      </c>
      <c r="N335" s="5">
        <v>140</v>
      </c>
      <c r="O335" s="5">
        <v>100</v>
      </c>
      <c r="P335" s="5">
        <f t="shared" si="30"/>
        <v>5.0000000000000044E-2</v>
      </c>
      <c r="Q335" s="6">
        <f t="shared" si="31"/>
        <v>2.5641025641025664E-2</v>
      </c>
      <c r="R335" s="5">
        <f t="shared" si="32"/>
        <v>0</v>
      </c>
      <c r="S335" s="6">
        <f t="shared" si="33"/>
        <v>0</v>
      </c>
      <c r="T335" s="6">
        <f t="shared" si="34"/>
        <v>0</v>
      </c>
    </row>
    <row r="336" spans="1:20" hidden="1" x14ac:dyDescent="0.25">
      <c r="A336" s="4" t="s">
        <v>350</v>
      </c>
      <c r="B336" s="5" t="s">
        <v>16</v>
      </c>
      <c r="C336" s="5" t="s">
        <v>1823</v>
      </c>
      <c r="D336" s="5">
        <v>3.8</v>
      </c>
      <c r="E336" s="5">
        <v>3.65</v>
      </c>
      <c r="F336" s="5">
        <v>3.95</v>
      </c>
      <c r="G336" s="5">
        <v>3.65</v>
      </c>
      <c r="H336" s="5">
        <v>3.8</v>
      </c>
      <c r="I336" s="5">
        <v>3.8</v>
      </c>
      <c r="J336" s="5">
        <v>3.87</v>
      </c>
      <c r="K336" s="5">
        <v>5563429</v>
      </c>
      <c r="L336" s="5">
        <v>215.33</v>
      </c>
      <c r="M336" s="5">
        <v>3544</v>
      </c>
      <c r="N336" s="5">
        <v>2412933</v>
      </c>
      <c r="O336" s="5">
        <v>43.37</v>
      </c>
      <c r="P336" s="5">
        <f t="shared" si="30"/>
        <v>0</v>
      </c>
      <c r="Q336" s="6">
        <f t="shared" si="31"/>
        <v>0</v>
      </c>
      <c r="R336" s="5">
        <f t="shared" si="32"/>
        <v>0.30000000000000027</v>
      </c>
      <c r="S336" s="6">
        <f t="shared" si="33"/>
        <v>7.894736842105271E-2</v>
      </c>
      <c r="T336" s="6">
        <f t="shared" si="34"/>
        <v>-1.8604651162790774E-2</v>
      </c>
    </row>
    <row r="337" spans="1:20" hidden="1" x14ac:dyDescent="0.25">
      <c r="A337" s="4" t="s">
        <v>351</v>
      </c>
      <c r="B337" s="5" t="s">
        <v>16</v>
      </c>
      <c r="C337" s="5" t="s">
        <v>1823</v>
      </c>
      <c r="D337" s="5">
        <v>23.74</v>
      </c>
      <c r="E337" s="5">
        <v>23.79</v>
      </c>
      <c r="F337" s="5">
        <v>23.88</v>
      </c>
      <c r="G337" s="5">
        <v>23.41</v>
      </c>
      <c r="H337" s="5">
        <v>23.43</v>
      </c>
      <c r="I337" s="5">
        <v>23.45</v>
      </c>
      <c r="J337" s="5">
        <v>23.57</v>
      </c>
      <c r="K337" s="5">
        <v>7106733</v>
      </c>
      <c r="L337" s="5">
        <v>1674.82</v>
      </c>
      <c r="M337" s="5">
        <v>78186</v>
      </c>
      <c r="N337" s="5">
        <v>3880287</v>
      </c>
      <c r="O337" s="5">
        <v>54.6</v>
      </c>
      <c r="P337" s="5">
        <f t="shared" si="30"/>
        <v>-0.28999999999999915</v>
      </c>
      <c r="Q337" s="6">
        <f t="shared" si="31"/>
        <v>-1.2215669755686569E-2</v>
      </c>
      <c r="R337" s="5">
        <f t="shared" si="32"/>
        <v>0.46999999999999886</v>
      </c>
      <c r="S337" s="6">
        <f t="shared" si="33"/>
        <v>1.9797809604043762E-2</v>
      </c>
      <c r="T337" s="6">
        <f t="shared" si="34"/>
        <v>-5.077753094255834E-3</v>
      </c>
    </row>
    <row r="338" spans="1:20" x14ac:dyDescent="0.25">
      <c r="A338" s="4" t="s">
        <v>1702</v>
      </c>
      <c r="B338" s="5" t="s">
        <v>16</v>
      </c>
      <c r="C338" s="5" t="s">
        <v>1823</v>
      </c>
      <c r="D338" s="5">
        <v>12.75</v>
      </c>
      <c r="E338" s="5">
        <v>12.75</v>
      </c>
      <c r="F338" s="5">
        <v>13.9</v>
      </c>
      <c r="G338" s="5">
        <v>12.7</v>
      </c>
      <c r="H338" s="5">
        <v>13</v>
      </c>
      <c r="I338" s="5">
        <v>13.05</v>
      </c>
      <c r="J338" s="5">
        <v>13.24</v>
      </c>
      <c r="K338" s="5">
        <v>107480</v>
      </c>
      <c r="L338" s="5">
        <v>14.23</v>
      </c>
      <c r="M338" s="5">
        <v>448</v>
      </c>
      <c r="N338" s="5">
        <v>27461</v>
      </c>
      <c r="O338" s="5">
        <v>25.55</v>
      </c>
      <c r="P338" s="5">
        <f t="shared" si="30"/>
        <v>0.30000000000000071</v>
      </c>
      <c r="Q338" s="6">
        <f t="shared" si="31"/>
        <v>2.3529411764705938E-2</v>
      </c>
      <c r="R338" s="5">
        <f t="shared" si="32"/>
        <v>1.2000000000000011</v>
      </c>
      <c r="S338" s="6">
        <f t="shared" si="33"/>
        <v>9.4117647058823611E-2</v>
      </c>
      <c r="T338" s="6">
        <f t="shared" si="34"/>
        <v>-1.4503816793893095E-2</v>
      </c>
    </row>
    <row r="339" spans="1:20" hidden="1" x14ac:dyDescent="0.25">
      <c r="A339" s="4" t="s">
        <v>353</v>
      </c>
      <c r="B339" s="5" t="s">
        <v>16</v>
      </c>
      <c r="C339" s="5" t="s">
        <v>1823</v>
      </c>
      <c r="D339" s="5">
        <v>102.15</v>
      </c>
      <c r="E339" s="5">
        <v>101</v>
      </c>
      <c r="F339" s="5">
        <v>106</v>
      </c>
      <c r="G339" s="5">
        <v>98.2</v>
      </c>
      <c r="H339" s="5">
        <v>98.9</v>
      </c>
      <c r="I339" s="5">
        <v>98.45</v>
      </c>
      <c r="J339" s="5">
        <v>100.78</v>
      </c>
      <c r="K339" s="5">
        <v>2214</v>
      </c>
      <c r="L339" s="5">
        <v>2.23</v>
      </c>
      <c r="M339" s="5">
        <v>77</v>
      </c>
      <c r="N339" s="5">
        <v>1237</v>
      </c>
      <c r="O339" s="5">
        <v>55.87</v>
      </c>
      <c r="P339" s="5">
        <f t="shared" si="30"/>
        <v>-3.7000000000000028</v>
      </c>
      <c r="Q339" s="6">
        <f t="shared" si="31"/>
        <v>-3.6221243269701442E-2</v>
      </c>
      <c r="R339" s="5">
        <f t="shared" si="32"/>
        <v>7.7999999999999972</v>
      </c>
      <c r="S339" s="6">
        <f t="shared" si="33"/>
        <v>7.6358296622613772E-2</v>
      </c>
      <c r="T339" s="6">
        <f t="shared" si="34"/>
        <v>-2.3089310045831771E-2</v>
      </c>
    </row>
    <row r="340" spans="1:20" hidden="1" x14ac:dyDescent="0.25">
      <c r="A340" s="4" t="s">
        <v>354</v>
      </c>
      <c r="B340" s="5" t="s">
        <v>16</v>
      </c>
      <c r="C340" s="5" t="s">
        <v>1823</v>
      </c>
      <c r="D340" s="5">
        <v>1319.9</v>
      </c>
      <c r="E340" s="5">
        <v>1321</v>
      </c>
      <c r="F340" s="5">
        <v>1344</v>
      </c>
      <c r="G340" s="5">
        <v>1310</v>
      </c>
      <c r="H340" s="5">
        <v>1344</v>
      </c>
      <c r="I340" s="5">
        <v>1325.2</v>
      </c>
      <c r="J340" s="5">
        <v>1324.15</v>
      </c>
      <c r="K340" s="5">
        <v>25952</v>
      </c>
      <c r="L340" s="5">
        <v>343.64</v>
      </c>
      <c r="M340" s="5">
        <v>2345</v>
      </c>
      <c r="N340" s="5">
        <v>22507</v>
      </c>
      <c r="O340" s="5">
        <v>86.73</v>
      </c>
      <c r="P340" s="5">
        <f t="shared" si="30"/>
        <v>5.2999999999999545</v>
      </c>
      <c r="Q340" s="6">
        <f t="shared" si="31"/>
        <v>4.0154557163421126E-3</v>
      </c>
      <c r="R340" s="5">
        <f t="shared" si="32"/>
        <v>34</v>
      </c>
      <c r="S340" s="6">
        <f t="shared" si="33"/>
        <v>2.5759527236911887E-2</v>
      </c>
      <c r="T340" s="6">
        <f t="shared" si="34"/>
        <v>7.9242292743666619E-4</v>
      </c>
    </row>
    <row r="341" spans="1:20" hidden="1" x14ac:dyDescent="0.25">
      <c r="A341" s="4" t="s">
        <v>1830</v>
      </c>
      <c r="B341" s="5" t="s">
        <v>16</v>
      </c>
      <c r="C341" s="5" t="s">
        <v>1823</v>
      </c>
      <c r="D341" s="5">
        <v>3525</v>
      </c>
      <c r="E341" s="5">
        <v>3525</v>
      </c>
      <c r="F341" s="5">
        <v>3545</v>
      </c>
      <c r="G341" s="5">
        <v>3402</v>
      </c>
      <c r="H341" s="5">
        <v>3510</v>
      </c>
      <c r="I341" s="5">
        <v>3432.85</v>
      </c>
      <c r="J341" s="5">
        <v>3459.61</v>
      </c>
      <c r="K341" s="5">
        <v>38</v>
      </c>
      <c r="L341" s="5">
        <v>1.31</v>
      </c>
      <c r="M341" s="5">
        <v>6</v>
      </c>
      <c r="N341" s="5">
        <v>22</v>
      </c>
      <c r="O341" s="5">
        <v>57.89</v>
      </c>
      <c r="P341" s="5">
        <f t="shared" si="30"/>
        <v>-92.150000000000091</v>
      </c>
      <c r="Q341" s="6">
        <f t="shared" si="31"/>
        <v>-2.6141843971631232E-2</v>
      </c>
      <c r="R341" s="5">
        <f t="shared" si="32"/>
        <v>143</v>
      </c>
      <c r="S341" s="6">
        <f t="shared" si="33"/>
        <v>4.0567375886524822E-2</v>
      </c>
      <c r="T341" s="6">
        <f t="shared" si="34"/>
        <v>-7.6980334199938062E-3</v>
      </c>
    </row>
    <row r="342" spans="1:20" hidden="1" x14ac:dyDescent="0.25">
      <c r="A342" s="4" t="s">
        <v>355</v>
      </c>
      <c r="B342" s="5" t="s">
        <v>16</v>
      </c>
      <c r="C342" s="5" t="s">
        <v>1823</v>
      </c>
      <c r="D342" s="5">
        <v>264</v>
      </c>
      <c r="E342" s="5">
        <v>261.3</v>
      </c>
      <c r="F342" s="5">
        <v>262.95</v>
      </c>
      <c r="G342" s="5">
        <v>259.55</v>
      </c>
      <c r="H342" s="5">
        <v>260</v>
      </c>
      <c r="I342" s="5">
        <v>260.10000000000002</v>
      </c>
      <c r="J342" s="5">
        <v>260.06</v>
      </c>
      <c r="K342" s="5">
        <v>399260</v>
      </c>
      <c r="L342" s="5">
        <v>1038.3</v>
      </c>
      <c r="M342" s="5">
        <v>5451</v>
      </c>
      <c r="N342" s="5">
        <v>324634</v>
      </c>
      <c r="O342" s="5">
        <v>81.31</v>
      </c>
      <c r="P342" s="5">
        <f t="shared" si="30"/>
        <v>-3.8999999999999773</v>
      </c>
      <c r="Q342" s="6">
        <f t="shared" si="31"/>
        <v>-1.4772727272727187E-2</v>
      </c>
      <c r="R342" s="5">
        <f t="shared" si="32"/>
        <v>3.3999999999999773</v>
      </c>
      <c r="S342" s="6">
        <f t="shared" si="33"/>
        <v>1.2878787878787793E-2</v>
      </c>
      <c r="T342" s="6">
        <f t="shared" si="34"/>
        <v>1.5327138614817687E-4</v>
      </c>
    </row>
    <row r="343" spans="1:20" hidden="1" x14ac:dyDescent="0.25">
      <c r="A343" s="4" t="s">
        <v>356</v>
      </c>
      <c r="B343" s="5" t="s">
        <v>28</v>
      </c>
      <c r="C343" s="5" t="s">
        <v>1823</v>
      </c>
      <c r="D343" s="5">
        <v>34</v>
      </c>
      <c r="E343" s="5">
        <v>35</v>
      </c>
      <c r="F343" s="5">
        <v>35</v>
      </c>
      <c r="G343" s="5">
        <v>35</v>
      </c>
      <c r="H343" s="5">
        <v>35</v>
      </c>
      <c r="I343" s="5">
        <v>35</v>
      </c>
      <c r="J343" s="5">
        <v>35</v>
      </c>
      <c r="K343" s="5">
        <v>2000</v>
      </c>
      <c r="L343" s="5">
        <v>0.7</v>
      </c>
      <c r="M343" s="5">
        <v>1</v>
      </c>
      <c r="N343" s="5">
        <v>2000</v>
      </c>
      <c r="O343" s="5">
        <v>100</v>
      </c>
      <c r="P343" s="5">
        <f t="shared" si="30"/>
        <v>1</v>
      </c>
      <c r="Q343" s="6">
        <f t="shared" si="31"/>
        <v>2.9411764705882353E-2</v>
      </c>
      <c r="R343" s="5">
        <f t="shared" si="32"/>
        <v>0</v>
      </c>
      <c r="S343" s="6">
        <f t="shared" si="33"/>
        <v>0</v>
      </c>
      <c r="T343" s="6">
        <f t="shared" si="34"/>
        <v>0</v>
      </c>
    </row>
    <row r="344" spans="1:20" hidden="1" x14ac:dyDescent="0.25">
      <c r="A344" s="4" t="s">
        <v>357</v>
      </c>
      <c r="B344" s="5" t="s">
        <v>16</v>
      </c>
      <c r="C344" s="5" t="s">
        <v>1823</v>
      </c>
      <c r="D344" s="5">
        <v>30.7</v>
      </c>
      <c r="E344" s="5">
        <v>30.15</v>
      </c>
      <c r="F344" s="5">
        <v>30.95</v>
      </c>
      <c r="G344" s="5">
        <v>29.9</v>
      </c>
      <c r="H344" s="5">
        <v>30.3</v>
      </c>
      <c r="I344" s="5">
        <v>30.3</v>
      </c>
      <c r="J344" s="5">
        <v>30.18</v>
      </c>
      <c r="K344" s="5">
        <v>15288</v>
      </c>
      <c r="L344" s="5">
        <v>4.6100000000000003</v>
      </c>
      <c r="M344" s="5">
        <v>182</v>
      </c>
      <c r="N344" s="5">
        <v>12654</v>
      </c>
      <c r="O344" s="5">
        <v>82.77</v>
      </c>
      <c r="P344" s="5">
        <f t="shared" si="30"/>
        <v>-0.39999999999999858</v>
      </c>
      <c r="Q344" s="6">
        <f t="shared" si="31"/>
        <v>-1.3029315960912006E-2</v>
      </c>
      <c r="R344" s="5">
        <f t="shared" si="32"/>
        <v>1.0500000000000007</v>
      </c>
      <c r="S344" s="6">
        <f t="shared" si="33"/>
        <v>3.4201954397394159E-2</v>
      </c>
      <c r="T344" s="6">
        <f t="shared" si="34"/>
        <v>3.9571310799670564E-3</v>
      </c>
    </row>
    <row r="345" spans="1:20" x14ac:dyDescent="0.25">
      <c r="A345" s="4" t="s">
        <v>1368</v>
      </c>
      <c r="B345" s="5" t="s">
        <v>16</v>
      </c>
      <c r="C345" s="5" t="s">
        <v>1823</v>
      </c>
      <c r="D345" s="5">
        <v>95.15</v>
      </c>
      <c r="E345" s="5">
        <v>96.3</v>
      </c>
      <c r="F345" s="5">
        <v>100</v>
      </c>
      <c r="G345" s="5">
        <v>93.85</v>
      </c>
      <c r="H345" s="5">
        <v>99</v>
      </c>
      <c r="I345" s="5">
        <v>98.7</v>
      </c>
      <c r="J345" s="5">
        <v>98.03</v>
      </c>
      <c r="K345" s="5">
        <v>141212</v>
      </c>
      <c r="L345" s="5">
        <v>138.43</v>
      </c>
      <c r="M345" s="5">
        <v>1957</v>
      </c>
      <c r="N345" s="5">
        <v>36228</v>
      </c>
      <c r="O345" s="5">
        <v>25.66</v>
      </c>
      <c r="P345" s="5">
        <f t="shared" si="30"/>
        <v>3.5499999999999972</v>
      </c>
      <c r="Q345" s="6">
        <f t="shared" si="31"/>
        <v>3.7309511297950571E-2</v>
      </c>
      <c r="R345" s="5">
        <f t="shared" si="32"/>
        <v>6.1500000000000057</v>
      </c>
      <c r="S345" s="6">
        <f t="shared" si="33"/>
        <v>6.4634787178139835E-2</v>
      </c>
      <c r="T345" s="6">
        <f t="shared" si="34"/>
        <v>6.8921177832069105E-3</v>
      </c>
    </row>
    <row r="346" spans="1:20" hidden="1" x14ac:dyDescent="0.25">
      <c r="A346" s="4" t="s">
        <v>359</v>
      </c>
      <c r="B346" s="5" t="s">
        <v>16</v>
      </c>
      <c r="C346" s="5" t="s">
        <v>1823</v>
      </c>
      <c r="D346" s="5">
        <v>12</v>
      </c>
      <c r="E346" s="5">
        <v>12</v>
      </c>
      <c r="F346" s="5">
        <v>12.4</v>
      </c>
      <c r="G346" s="5">
        <v>11.4</v>
      </c>
      <c r="H346" s="5">
        <v>11.45</v>
      </c>
      <c r="I346" s="5">
        <v>11.45</v>
      </c>
      <c r="J346" s="5">
        <v>12.11</v>
      </c>
      <c r="K346" s="5">
        <v>1405</v>
      </c>
      <c r="L346" s="5">
        <v>0.17</v>
      </c>
      <c r="M346" s="5">
        <v>21</v>
      </c>
      <c r="N346" s="5">
        <v>1398</v>
      </c>
      <c r="O346" s="5">
        <v>99.5</v>
      </c>
      <c r="P346" s="5">
        <f t="shared" si="30"/>
        <v>-0.55000000000000071</v>
      </c>
      <c r="Q346" s="6">
        <f t="shared" si="31"/>
        <v>-4.5833333333333393E-2</v>
      </c>
      <c r="R346" s="5">
        <f t="shared" si="32"/>
        <v>1</v>
      </c>
      <c r="S346" s="6">
        <f t="shared" si="33"/>
        <v>8.3333333333333329E-2</v>
      </c>
      <c r="T346" s="6">
        <f t="shared" si="34"/>
        <v>-5.5873015873015887E-2</v>
      </c>
    </row>
    <row r="347" spans="1:20" x14ac:dyDescent="0.25">
      <c r="A347" s="4" t="s">
        <v>833</v>
      </c>
      <c r="B347" s="5" t="s">
        <v>16</v>
      </c>
      <c r="C347" s="5" t="s">
        <v>1823</v>
      </c>
      <c r="D347" s="5">
        <v>58.95</v>
      </c>
      <c r="E347" s="5">
        <v>59.45</v>
      </c>
      <c r="F347" s="5">
        <v>63.4</v>
      </c>
      <c r="G347" s="5">
        <v>57.9</v>
      </c>
      <c r="H347" s="5">
        <v>58.3</v>
      </c>
      <c r="I347" s="5">
        <v>58.3</v>
      </c>
      <c r="J347" s="5">
        <v>59.19</v>
      </c>
      <c r="K347" s="5">
        <v>160609</v>
      </c>
      <c r="L347" s="5">
        <v>95.06</v>
      </c>
      <c r="M347" s="5">
        <v>1111</v>
      </c>
      <c r="N347" s="5">
        <v>41362</v>
      </c>
      <c r="O347" s="5">
        <v>25.75</v>
      </c>
      <c r="P347" s="5">
        <f t="shared" si="30"/>
        <v>-0.65000000000000568</v>
      </c>
      <c r="Q347" s="6">
        <f t="shared" si="31"/>
        <v>-1.1026293469041656E-2</v>
      </c>
      <c r="R347" s="5">
        <f t="shared" si="32"/>
        <v>5.5</v>
      </c>
      <c r="S347" s="6">
        <f t="shared" si="33"/>
        <v>9.3299406276505514E-2</v>
      </c>
      <c r="T347" s="6">
        <f t="shared" si="34"/>
        <v>-1.4892281949382982E-2</v>
      </c>
    </row>
    <row r="348" spans="1:20" hidden="1" x14ac:dyDescent="0.25">
      <c r="A348" s="4" t="s">
        <v>361</v>
      </c>
      <c r="B348" s="5" t="s">
        <v>16</v>
      </c>
      <c r="C348" s="5" t="s">
        <v>1823</v>
      </c>
      <c r="D348" s="5">
        <v>141.55000000000001</v>
      </c>
      <c r="E348" s="5">
        <v>140.05000000000001</v>
      </c>
      <c r="F348" s="5">
        <v>142.35</v>
      </c>
      <c r="G348" s="5">
        <v>138.30000000000001</v>
      </c>
      <c r="H348" s="5">
        <v>138.4</v>
      </c>
      <c r="I348" s="5">
        <v>138.85</v>
      </c>
      <c r="J348" s="5">
        <v>139.59</v>
      </c>
      <c r="K348" s="5">
        <v>18210</v>
      </c>
      <c r="L348" s="5">
        <v>25.42</v>
      </c>
      <c r="M348" s="5">
        <v>441</v>
      </c>
      <c r="N348" s="5">
        <v>16279</v>
      </c>
      <c r="O348" s="5">
        <v>89.4</v>
      </c>
      <c r="P348" s="5">
        <f t="shared" si="30"/>
        <v>-2.7000000000000171</v>
      </c>
      <c r="Q348" s="6">
        <f t="shared" si="31"/>
        <v>-1.9074531967502768E-2</v>
      </c>
      <c r="R348" s="5">
        <f t="shared" si="32"/>
        <v>4.0499999999999829</v>
      </c>
      <c r="S348" s="6">
        <f t="shared" si="33"/>
        <v>2.8611797951253851E-2</v>
      </c>
      <c r="T348" s="6">
        <f t="shared" si="34"/>
        <v>-5.2899651505674853E-3</v>
      </c>
    </row>
    <row r="349" spans="1:20" hidden="1" x14ac:dyDescent="0.25">
      <c r="A349" s="4" t="s">
        <v>362</v>
      </c>
      <c r="B349" s="5" t="s">
        <v>16</v>
      </c>
      <c r="C349" s="5" t="s">
        <v>1823</v>
      </c>
      <c r="D349" s="5">
        <v>55</v>
      </c>
      <c r="E349" s="5">
        <v>54.55</v>
      </c>
      <c r="F349" s="5">
        <v>56.9</v>
      </c>
      <c r="G349" s="5">
        <v>54.1</v>
      </c>
      <c r="H349" s="5">
        <v>54.6</v>
      </c>
      <c r="I349" s="5">
        <v>54.35</v>
      </c>
      <c r="J349" s="5">
        <v>55.32</v>
      </c>
      <c r="K349" s="5">
        <v>18518</v>
      </c>
      <c r="L349" s="5">
        <v>10.24</v>
      </c>
      <c r="M349" s="5">
        <v>259</v>
      </c>
      <c r="N349" s="5">
        <v>8630</v>
      </c>
      <c r="O349" s="5">
        <v>46.6</v>
      </c>
      <c r="P349" s="5">
        <f t="shared" si="30"/>
        <v>-0.64999999999999858</v>
      </c>
      <c r="Q349" s="6">
        <f t="shared" si="31"/>
        <v>-1.1818181818181792E-2</v>
      </c>
      <c r="R349" s="5">
        <f t="shared" si="32"/>
        <v>2.7999999999999972</v>
      </c>
      <c r="S349" s="6">
        <f t="shared" si="33"/>
        <v>5.0909090909090855E-2</v>
      </c>
      <c r="T349" s="6">
        <f t="shared" si="34"/>
        <v>-1.7644383810823082E-2</v>
      </c>
    </row>
    <row r="350" spans="1:20" x14ac:dyDescent="0.25">
      <c r="A350" s="4" t="s">
        <v>565</v>
      </c>
      <c r="B350" s="5" t="s">
        <v>16</v>
      </c>
      <c r="C350" s="5" t="s">
        <v>1823</v>
      </c>
      <c r="D350" s="5">
        <v>17.2</v>
      </c>
      <c r="E350" s="5">
        <v>17.55</v>
      </c>
      <c r="F350" s="5">
        <v>17.75</v>
      </c>
      <c r="G350" s="5">
        <v>16.5</v>
      </c>
      <c r="H350" s="5">
        <v>16.850000000000001</v>
      </c>
      <c r="I350" s="5">
        <v>16.850000000000001</v>
      </c>
      <c r="J350" s="5">
        <v>17</v>
      </c>
      <c r="K350" s="5">
        <v>38810242</v>
      </c>
      <c r="L350" s="5">
        <v>6597.85</v>
      </c>
      <c r="M350" s="5">
        <v>43989</v>
      </c>
      <c r="N350" s="5">
        <v>10125676</v>
      </c>
      <c r="O350" s="5">
        <v>26.09</v>
      </c>
      <c r="P350" s="5">
        <f t="shared" si="30"/>
        <v>-0.34999999999999787</v>
      </c>
      <c r="Q350" s="6">
        <f t="shared" si="31"/>
        <v>-2.0348837209302202E-2</v>
      </c>
      <c r="R350" s="5">
        <f t="shared" si="32"/>
        <v>1.25</v>
      </c>
      <c r="S350" s="6">
        <f t="shared" si="33"/>
        <v>7.2674418604651167E-2</v>
      </c>
      <c r="T350" s="6">
        <f t="shared" si="34"/>
        <v>-8.7399854333575274E-3</v>
      </c>
    </row>
    <row r="351" spans="1:20" x14ac:dyDescent="0.25">
      <c r="A351" s="4" t="s">
        <v>1622</v>
      </c>
      <c r="B351" s="5" t="s">
        <v>16</v>
      </c>
      <c r="C351" s="5" t="s">
        <v>1823</v>
      </c>
      <c r="D351" s="5">
        <v>59.9</v>
      </c>
      <c r="E351" s="5">
        <v>59.8</v>
      </c>
      <c r="F351" s="5">
        <v>59.8</v>
      </c>
      <c r="G351" s="5">
        <v>55.5</v>
      </c>
      <c r="H351" s="5">
        <v>56.25</v>
      </c>
      <c r="I351" s="5">
        <v>56.4</v>
      </c>
      <c r="J351" s="5">
        <v>56.82</v>
      </c>
      <c r="K351" s="5">
        <v>5172615</v>
      </c>
      <c r="L351" s="5">
        <v>2939.27</v>
      </c>
      <c r="M351" s="5">
        <v>17519</v>
      </c>
      <c r="N351" s="5">
        <v>1356255</v>
      </c>
      <c r="O351" s="5">
        <v>26.22</v>
      </c>
      <c r="P351" s="5">
        <f t="shared" si="30"/>
        <v>-3.5</v>
      </c>
      <c r="Q351" s="6">
        <f t="shared" si="31"/>
        <v>-5.8430717863105178E-2</v>
      </c>
      <c r="R351" s="5">
        <f t="shared" si="32"/>
        <v>4.2999999999999972</v>
      </c>
      <c r="S351" s="6">
        <f t="shared" si="33"/>
        <v>7.1786310517529164E-2</v>
      </c>
      <c r="T351" s="6">
        <f t="shared" si="34"/>
        <v>-7.2570194384449539E-3</v>
      </c>
    </row>
    <row r="352" spans="1:20" hidden="1" x14ac:dyDescent="0.25">
      <c r="A352" s="4" t="s">
        <v>365</v>
      </c>
      <c r="B352" s="5" t="s">
        <v>16</v>
      </c>
      <c r="C352" s="5" t="s">
        <v>1823</v>
      </c>
      <c r="D352" s="5">
        <v>451.9</v>
      </c>
      <c r="E352" s="5">
        <v>452</v>
      </c>
      <c r="F352" s="5">
        <v>453.3</v>
      </c>
      <c r="G352" s="5">
        <v>441.95</v>
      </c>
      <c r="H352" s="5">
        <v>442.5</v>
      </c>
      <c r="I352" s="5">
        <v>445.55</v>
      </c>
      <c r="J352" s="5">
        <v>447.34</v>
      </c>
      <c r="K352" s="5">
        <v>1691954</v>
      </c>
      <c r="L352" s="5">
        <v>7568.82</v>
      </c>
      <c r="M352" s="5">
        <v>38883</v>
      </c>
      <c r="N352" s="5">
        <v>870984</v>
      </c>
      <c r="O352" s="5">
        <v>51.48</v>
      </c>
      <c r="P352" s="5">
        <f t="shared" si="30"/>
        <v>-6.3499999999999659</v>
      </c>
      <c r="Q352" s="6">
        <f t="shared" si="31"/>
        <v>-1.405178136755912E-2</v>
      </c>
      <c r="R352" s="5">
        <f t="shared" si="32"/>
        <v>11.350000000000023</v>
      </c>
      <c r="S352" s="6">
        <f t="shared" si="33"/>
        <v>2.5116176145164912E-2</v>
      </c>
      <c r="T352" s="6">
        <f t="shared" si="34"/>
        <v>-3.9937527889334305E-3</v>
      </c>
    </row>
    <row r="353" spans="1:20" x14ac:dyDescent="0.25">
      <c r="A353" s="4" t="s">
        <v>1221</v>
      </c>
      <c r="B353" s="5" t="s">
        <v>16</v>
      </c>
      <c r="C353" s="5" t="s">
        <v>1823</v>
      </c>
      <c r="D353" s="5">
        <v>29</v>
      </c>
      <c r="E353" s="5">
        <v>30.05</v>
      </c>
      <c r="F353" s="5">
        <v>31.25</v>
      </c>
      <c r="G353" s="5">
        <v>28.95</v>
      </c>
      <c r="H353" s="5">
        <v>29.45</v>
      </c>
      <c r="I353" s="5">
        <v>29.35</v>
      </c>
      <c r="J353" s="5">
        <v>30.09</v>
      </c>
      <c r="K353" s="5">
        <v>373697</v>
      </c>
      <c r="L353" s="5">
        <v>112.46</v>
      </c>
      <c r="M353" s="5">
        <v>1312</v>
      </c>
      <c r="N353" s="5">
        <v>98386</v>
      </c>
      <c r="O353" s="5">
        <v>26.33</v>
      </c>
      <c r="P353" s="5">
        <f t="shared" si="30"/>
        <v>0.35000000000000142</v>
      </c>
      <c r="Q353" s="6">
        <f t="shared" si="31"/>
        <v>1.2068965517241428E-2</v>
      </c>
      <c r="R353" s="5">
        <f t="shared" si="32"/>
        <v>2.3000000000000007</v>
      </c>
      <c r="S353" s="6">
        <f t="shared" si="33"/>
        <v>7.9310344827586227E-2</v>
      </c>
      <c r="T353" s="6">
        <f t="shared" si="34"/>
        <v>-2.474916387959861E-2</v>
      </c>
    </row>
    <row r="354" spans="1:20" x14ac:dyDescent="0.25">
      <c r="A354" s="4" t="s">
        <v>381</v>
      </c>
      <c r="B354" s="5" t="s">
        <v>16</v>
      </c>
      <c r="C354" s="5" t="s">
        <v>1823</v>
      </c>
      <c r="D354" s="5">
        <v>107.65</v>
      </c>
      <c r="E354" s="5">
        <v>108.5</v>
      </c>
      <c r="F354" s="5">
        <v>112.8</v>
      </c>
      <c r="G354" s="5">
        <v>103.5</v>
      </c>
      <c r="H354" s="5">
        <v>105.95</v>
      </c>
      <c r="I354" s="5">
        <v>105.9</v>
      </c>
      <c r="J354" s="5">
        <v>109</v>
      </c>
      <c r="K354" s="5">
        <v>1105490</v>
      </c>
      <c r="L354" s="5">
        <v>1205.03</v>
      </c>
      <c r="M354" s="5">
        <v>11673</v>
      </c>
      <c r="N354" s="5">
        <v>291366</v>
      </c>
      <c r="O354" s="5">
        <v>26.36</v>
      </c>
      <c r="P354" s="5">
        <f t="shared" si="30"/>
        <v>-1.75</v>
      </c>
      <c r="Q354" s="6">
        <f t="shared" si="31"/>
        <v>-1.6256386437529028E-2</v>
      </c>
      <c r="R354" s="5">
        <f t="shared" si="32"/>
        <v>9.2999999999999972</v>
      </c>
      <c r="S354" s="6">
        <f t="shared" si="33"/>
        <v>8.6391082210868525E-2</v>
      </c>
      <c r="T354" s="6">
        <f t="shared" si="34"/>
        <v>-2.8790341304852508E-2</v>
      </c>
    </row>
    <row r="355" spans="1:20" x14ac:dyDescent="0.25">
      <c r="A355" s="4" t="s">
        <v>1215</v>
      </c>
      <c r="B355" s="5" t="s">
        <v>16</v>
      </c>
      <c r="C355" s="5" t="s">
        <v>1823</v>
      </c>
      <c r="D355" s="5">
        <v>36.950000000000003</v>
      </c>
      <c r="E355" s="5">
        <v>37.200000000000003</v>
      </c>
      <c r="F355" s="5">
        <v>37.200000000000003</v>
      </c>
      <c r="G355" s="5">
        <v>36</v>
      </c>
      <c r="H355" s="5">
        <v>36.15</v>
      </c>
      <c r="I355" s="5">
        <v>36.200000000000003</v>
      </c>
      <c r="J355" s="5">
        <v>36.4</v>
      </c>
      <c r="K355" s="5">
        <v>3869954</v>
      </c>
      <c r="L355" s="5">
        <v>1408.82</v>
      </c>
      <c r="M355" s="5">
        <v>15878</v>
      </c>
      <c r="N355" s="5">
        <v>1030718</v>
      </c>
      <c r="O355" s="5">
        <v>26.63</v>
      </c>
      <c r="P355" s="5">
        <f t="shared" si="30"/>
        <v>-0.75</v>
      </c>
      <c r="Q355" s="6">
        <f t="shared" si="31"/>
        <v>-2.0297699594046006E-2</v>
      </c>
      <c r="R355" s="5">
        <f t="shared" si="32"/>
        <v>1.2000000000000028</v>
      </c>
      <c r="S355" s="6">
        <f t="shared" si="33"/>
        <v>3.2476319350473688E-2</v>
      </c>
      <c r="T355" s="6">
        <f t="shared" si="34"/>
        <v>-5.4570259208730071E-3</v>
      </c>
    </row>
    <row r="356" spans="1:20" hidden="1" x14ac:dyDescent="0.25">
      <c r="A356" s="4" t="s">
        <v>369</v>
      </c>
      <c r="B356" s="5" t="s">
        <v>28</v>
      </c>
      <c r="C356" s="5" t="s">
        <v>1823</v>
      </c>
      <c r="D356" s="5">
        <v>142</v>
      </c>
      <c r="E356" s="5">
        <v>142</v>
      </c>
      <c r="F356" s="5">
        <v>142</v>
      </c>
      <c r="G356" s="5">
        <v>142</v>
      </c>
      <c r="H356" s="5">
        <v>142</v>
      </c>
      <c r="I356" s="5">
        <v>142</v>
      </c>
      <c r="J356" s="5">
        <v>142</v>
      </c>
      <c r="K356" s="5">
        <v>800</v>
      </c>
      <c r="L356" s="5">
        <v>1.1399999999999999</v>
      </c>
      <c r="M356" s="5">
        <v>1</v>
      </c>
      <c r="N356" s="5">
        <v>800</v>
      </c>
      <c r="O356" s="5">
        <v>100</v>
      </c>
      <c r="P356" s="5">
        <f t="shared" si="30"/>
        <v>0</v>
      </c>
      <c r="Q356" s="6">
        <f t="shared" si="31"/>
        <v>0</v>
      </c>
      <c r="R356" s="5">
        <f t="shared" si="32"/>
        <v>0</v>
      </c>
      <c r="S356" s="6">
        <f t="shared" si="33"/>
        <v>0</v>
      </c>
      <c r="T356" s="6">
        <f t="shared" si="34"/>
        <v>0</v>
      </c>
    </row>
    <row r="357" spans="1:20" hidden="1" x14ac:dyDescent="0.25">
      <c r="A357" s="4" t="s">
        <v>370</v>
      </c>
      <c r="B357" s="5" t="s">
        <v>16</v>
      </c>
      <c r="C357" s="5" t="s">
        <v>1823</v>
      </c>
      <c r="D357" s="5">
        <v>84.55</v>
      </c>
      <c r="E357" s="5">
        <v>85.9</v>
      </c>
      <c r="F357" s="5">
        <v>85.9</v>
      </c>
      <c r="G357" s="5">
        <v>77.05</v>
      </c>
      <c r="H357" s="5">
        <v>77.7</v>
      </c>
      <c r="I357" s="5">
        <v>78.3</v>
      </c>
      <c r="J357" s="5">
        <v>79.78</v>
      </c>
      <c r="K357" s="5">
        <v>55822</v>
      </c>
      <c r="L357" s="5">
        <v>44.53</v>
      </c>
      <c r="M357" s="5">
        <v>1174</v>
      </c>
      <c r="N357" s="5">
        <v>35527</v>
      </c>
      <c r="O357" s="5">
        <v>63.64</v>
      </c>
      <c r="P357" s="5">
        <f t="shared" si="30"/>
        <v>-6.25</v>
      </c>
      <c r="Q357" s="6">
        <f t="shared" si="31"/>
        <v>-7.3920756948551158E-2</v>
      </c>
      <c r="R357" s="5">
        <f t="shared" si="32"/>
        <v>8.8500000000000085</v>
      </c>
      <c r="S357" s="6">
        <f t="shared" si="33"/>
        <v>0.10467179183914854</v>
      </c>
      <c r="T357" s="6">
        <f t="shared" si="34"/>
        <v>-1.8095674766926532E-2</v>
      </c>
    </row>
    <row r="358" spans="1:20" hidden="1" x14ac:dyDescent="0.25">
      <c r="A358" s="4" t="s">
        <v>371</v>
      </c>
      <c r="B358" s="5" t="s">
        <v>16</v>
      </c>
      <c r="C358" s="5" t="s">
        <v>1823</v>
      </c>
      <c r="D358" s="5">
        <v>143.69999999999999</v>
      </c>
      <c r="E358" s="5">
        <v>145.25</v>
      </c>
      <c r="F358" s="5">
        <v>149</v>
      </c>
      <c r="G358" s="5">
        <v>142.30000000000001</v>
      </c>
      <c r="H358" s="5">
        <v>146.5</v>
      </c>
      <c r="I358" s="5">
        <v>146.15</v>
      </c>
      <c r="J358" s="5">
        <v>145.83000000000001</v>
      </c>
      <c r="K358" s="5">
        <v>34076</v>
      </c>
      <c r="L358" s="5">
        <v>49.69</v>
      </c>
      <c r="M358" s="5">
        <v>1015</v>
      </c>
      <c r="N358" s="5">
        <v>17855</v>
      </c>
      <c r="O358" s="5">
        <v>52.4</v>
      </c>
      <c r="P358" s="5">
        <f t="shared" si="30"/>
        <v>2.4500000000000171</v>
      </c>
      <c r="Q358" s="6">
        <f t="shared" si="31"/>
        <v>1.7049408489909653E-2</v>
      </c>
      <c r="R358" s="5">
        <f t="shared" si="32"/>
        <v>6.6999999999999886</v>
      </c>
      <c r="S358" s="6">
        <f t="shared" si="33"/>
        <v>4.6624913013221914E-2</v>
      </c>
      <c r="T358" s="6">
        <f t="shared" si="34"/>
        <v>2.1966706710141969E-3</v>
      </c>
    </row>
    <row r="359" spans="1:20" x14ac:dyDescent="0.25">
      <c r="A359" s="4" t="s">
        <v>567</v>
      </c>
      <c r="B359" s="5" t="s">
        <v>16</v>
      </c>
      <c r="C359" s="5" t="s">
        <v>1823</v>
      </c>
      <c r="D359" s="5">
        <v>213.2</v>
      </c>
      <c r="E359" s="5">
        <v>215.9</v>
      </c>
      <c r="F359" s="5">
        <v>218.5</v>
      </c>
      <c r="G359" s="5">
        <v>208</v>
      </c>
      <c r="H359" s="5">
        <v>208.4</v>
      </c>
      <c r="I359" s="5">
        <v>209.85</v>
      </c>
      <c r="J359" s="5">
        <v>213.37</v>
      </c>
      <c r="K359" s="5">
        <v>618133</v>
      </c>
      <c r="L359" s="5">
        <v>1318.91</v>
      </c>
      <c r="M359" s="5">
        <v>11431</v>
      </c>
      <c r="N359" s="5">
        <v>164985</v>
      </c>
      <c r="O359" s="5">
        <v>26.69</v>
      </c>
      <c r="P359" s="5">
        <f t="shared" si="30"/>
        <v>-3.3499999999999943</v>
      </c>
      <c r="Q359" s="6">
        <f t="shared" si="31"/>
        <v>-1.5712945590994346E-2</v>
      </c>
      <c r="R359" s="5">
        <f t="shared" si="32"/>
        <v>10.5</v>
      </c>
      <c r="S359" s="6">
        <f t="shared" si="33"/>
        <v>4.9249530956848031E-2</v>
      </c>
      <c r="T359" s="6">
        <f t="shared" si="34"/>
        <v>-1.6520973892637184E-2</v>
      </c>
    </row>
    <row r="360" spans="1:20" hidden="1" x14ac:dyDescent="0.25">
      <c r="A360" s="4" t="s">
        <v>373</v>
      </c>
      <c r="B360" s="5" t="s">
        <v>16</v>
      </c>
      <c r="C360" s="5" t="s">
        <v>1823</v>
      </c>
      <c r="D360" s="5">
        <v>8.3000000000000007</v>
      </c>
      <c r="E360" s="5">
        <v>8.3000000000000007</v>
      </c>
      <c r="F360" s="5">
        <v>8.5500000000000007</v>
      </c>
      <c r="G360" s="5">
        <v>7.9</v>
      </c>
      <c r="H360" s="5">
        <v>8.5</v>
      </c>
      <c r="I360" s="5">
        <v>8.35</v>
      </c>
      <c r="J360" s="5">
        <v>8.14</v>
      </c>
      <c r="K360" s="5">
        <v>172069</v>
      </c>
      <c r="L360" s="5">
        <v>14</v>
      </c>
      <c r="M360" s="5">
        <v>425</v>
      </c>
      <c r="N360" s="5">
        <v>117230</v>
      </c>
      <c r="O360" s="5">
        <v>68.13</v>
      </c>
      <c r="P360" s="5">
        <f t="shared" si="30"/>
        <v>4.9999999999998934E-2</v>
      </c>
      <c r="Q360" s="6">
        <f t="shared" si="31"/>
        <v>6.0240963855420398E-3</v>
      </c>
      <c r="R360" s="5">
        <f t="shared" si="32"/>
        <v>0.65000000000000036</v>
      </c>
      <c r="S360" s="6">
        <f t="shared" si="33"/>
        <v>7.8313253012048223E-2</v>
      </c>
      <c r="T360" s="6">
        <f t="shared" si="34"/>
        <v>2.5377643504531609E-2</v>
      </c>
    </row>
    <row r="361" spans="1:20" hidden="1" x14ac:dyDescent="0.25">
      <c r="A361" s="4" t="s">
        <v>374</v>
      </c>
      <c r="B361" s="5" t="s">
        <v>16</v>
      </c>
      <c r="C361" s="5" t="s">
        <v>1823</v>
      </c>
      <c r="D361" s="5">
        <v>176.55</v>
      </c>
      <c r="E361" s="5">
        <v>177.4</v>
      </c>
      <c r="F361" s="5">
        <v>178.2</v>
      </c>
      <c r="G361" s="5">
        <v>170</v>
      </c>
      <c r="H361" s="5">
        <v>171.85</v>
      </c>
      <c r="I361" s="5">
        <v>172.15</v>
      </c>
      <c r="J361" s="5">
        <v>173.28</v>
      </c>
      <c r="K361" s="5">
        <v>67498</v>
      </c>
      <c r="L361" s="5">
        <v>116.96</v>
      </c>
      <c r="M361" s="5">
        <v>2467</v>
      </c>
      <c r="N361" s="5">
        <v>43527</v>
      </c>
      <c r="O361" s="5">
        <v>64.489999999999995</v>
      </c>
      <c r="P361" s="5">
        <f t="shared" si="30"/>
        <v>-4.4000000000000057</v>
      </c>
      <c r="Q361" s="6">
        <f t="shared" si="31"/>
        <v>-2.4922118380062336E-2</v>
      </c>
      <c r="R361" s="5">
        <f t="shared" si="32"/>
        <v>8.1999999999999886</v>
      </c>
      <c r="S361" s="6">
        <f t="shared" si="33"/>
        <v>4.6445766071934229E-2</v>
      </c>
      <c r="T361" s="6">
        <f t="shared" si="34"/>
        <v>-6.4779648871372006E-3</v>
      </c>
    </row>
    <row r="362" spans="1:20" x14ac:dyDescent="0.25">
      <c r="A362" s="4" t="s">
        <v>646</v>
      </c>
      <c r="B362" s="5" t="s">
        <v>16</v>
      </c>
      <c r="C362" s="5" t="s">
        <v>1823</v>
      </c>
      <c r="D362" s="5">
        <v>2755.95</v>
      </c>
      <c r="E362" s="5">
        <v>2750</v>
      </c>
      <c r="F362" s="5">
        <v>2750</v>
      </c>
      <c r="G362" s="5">
        <v>2646.6</v>
      </c>
      <c r="H362" s="5">
        <v>2699.9</v>
      </c>
      <c r="I362" s="5">
        <v>2704.25</v>
      </c>
      <c r="J362" s="5">
        <v>2698.7</v>
      </c>
      <c r="K362" s="5">
        <v>1063692</v>
      </c>
      <c r="L362" s="5">
        <v>28705.83</v>
      </c>
      <c r="M362" s="5">
        <v>79859</v>
      </c>
      <c r="N362" s="5">
        <v>285686</v>
      </c>
      <c r="O362" s="5">
        <v>26.86</v>
      </c>
      <c r="P362" s="5">
        <f t="shared" si="30"/>
        <v>-51.699999999999818</v>
      </c>
      <c r="Q362" s="6">
        <f t="shared" si="31"/>
        <v>-1.8759411455215015E-2</v>
      </c>
      <c r="R362" s="5">
        <f t="shared" si="32"/>
        <v>103.40000000000009</v>
      </c>
      <c r="S362" s="6">
        <f t="shared" si="33"/>
        <v>3.7518822910430197E-2</v>
      </c>
      <c r="T362" s="6">
        <f t="shared" si="34"/>
        <v>2.0459226696526748E-3</v>
      </c>
    </row>
    <row r="363" spans="1:20" hidden="1" x14ac:dyDescent="0.25">
      <c r="A363" s="4" t="s">
        <v>376</v>
      </c>
      <c r="B363" s="5" t="s">
        <v>16</v>
      </c>
      <c r="C363" s="5" t="s">
        <v>1823</v>
      </c>
      <c r="D363" s="5">
        <v>27.2</v>
      </c>
      <c r="E363" s="5">
        <v>27</v>
      </c>
      <c r="F363" s="5">
        <v>27.9</v>
      </c>
      <c r="G363" s="5">
        <v>26.1</v>
      </c>
      <c r="H363" s="5">
        <v>26.1</v>
      </c>
      <c r="I363" s="5">
        <v>26.3</v>
      </c>
      <c r="J363" s="5">
        <v>26.54</v>
      </c>
      <c r="K363" s="5">
        <v>2927</v>
      </c>
      <c r="L363" s="5">
        <v>0.78</v>
      </c>
      <c r="M363" s="5">
        <v>66</v>
      </c>
      <c r="N363" s="5">
        <v>2218</v>
      </c>
      <c r="O363" s="5">
        <v>75.78</v>
      </c>
      <c r="P363" s="5">
        <f t="shared" si="30"/>
        <v>-0.89999999999999858</v>
      </c>
      <c r="Q363" s="6">
        <f t="shared" si="31"/>
        <v>-3.3088235294117599E-2</v>
      </c>
      <c r="R363" s="5">
        <f t="shared" si="32"/>
        <v>1.7999999999999972</v>
      </c>
      <c r="S363" s="6">
        <f t="shared" si="33"/>
        <v>6.6176470588235198E-2</v>
      </c>
      <c r="T363" s="6">
        <f t="shared" si="34"/>
        <v>-8.9468779123950959E-3</v>
      </c>
    </row>
    <row r="364" spans="1:20" hidden="1" x14ac:dyDescent="0.25">
      <c r="A364" s="4" t="s">
        <v>377</v>
      </c>
      <c r="B364" s="5" t="s">
        <v>16</v>
      </c>
      <c r="C364" s="5" t="s">
        <v>1823</v>
      </c>
      <c r="D364" s="5">
        <v>32.299999999999997</v>
      </c>
      <c r="E364" s="5">
        <v>33</v>
      </c>
      <c r="F364" s="5">
        <v>33.5</v>
      </c>
      <c r="G364" s="5">
        <v>30</v>
      </c>
      <c r="H364" s="5">
        <v>31</v>
      </c>
      <c r="I364" s="5">
        <v>31</v>
      </c>
      <c r="J364" s="5">
        <v>31.03</v>
      </c>
      <c r="K364" s="5">
        <v>2767</v>
      </c>
      <c r="L364" s="5">
        <v>0.86</v>
      </c>
      <c r="M364" s="5">
        <v>16</v>
      </c>
      <c r="N364" s="5">
        <v>2154</v>
      </c>
      <c r="O364" s="5">
        <v>77.849999999999994</v>
      </c>
      <c r="P364" s="5">
        <f t="shared" si="30"/>
        <v>-1.2999999999999972</v>
      </c>
      <c r="Q364" s="6">
        <f t="shared" si="31"/>
        <v>-4.0247678018575768E-2</v>
      </c>
      <c r="R364" s="5">
        <f t="shared" si="32"/>
        <v>3.5</v>
      </c>
      <c r="S364" s="6">
        <f t="shared" si="33"/>
        <v>0.108359133126935</v>
      </c>
      <c r="T364" s="6">
        <f t="shared" si="34"/>
        <v>-9.4117647058827099E-4</v>
      </c>
    </row>
    <row r="365" spans="1:20" x14ac:dyDescent="0.25">
      <c r="A365" s="4" t="s">
        <v>46</v>
      </c>
      <c r="B365" s="5" t="s">
        <v>16</v>
      </c>
      <c r="C365" s="5" t="s">
        <v>1823</v>
      </c>
      <c r="D365" s="5">
        <v>72.05</v>
      </c>
      <c r="E365" s="5">
        <v>72</v>
      </c>
      <c r="F365" s="5">
        <v>79.3</v>
      </c>
      <c r="G365" s="5">
        <v>71.2</v>
      </c>
      <c r="H365" s="5">
        <v>75.05</v>
      </c>
      <c r="I365" s="5">
        <v>75.25</v>
      </c>
      <c r="J365" s="5">
        <v>75.900000000000006</v>
      </c>
      <c r="K365" s="5">
        <v>1457763</v>
      </c>
      <c r="L365" s="5">
        <v>1106.43</v>
      </c>
      <c r="M365" s="5">
        <v>13605</v>
      </c>
      <c r="N365" s="5">
        <v>392638</v>
      </c>
      <c r="O365" s="5">
        <v>26.93</v>
      </c>
      <c r="P365" s="5">
        <f t="shared" si="30"/>
        <v>3.2000000000000028</v>
      </c>
      <c r="Q365" s="6">
        <f t="shared" si="31"/>
        <v>4.4413601665510102E-2</v>
      </c>
      <c r="R365" s="5">
        <f t="shared" si="32"/>
        <v>8.0999999999999943</v>
      </c>
      <c r="S365" s="6">
        <f t="shared" si="33"/>
        <v>0.11242192921582227</v>
      </c>
      <c r="T365" s="6">
        <f t="shared" si="34"/>
        <v>-8.732157850545836E-3</v>
      </c>
    </row>
    <row r="366" spans="1:20" x14ac:dyDescent="0.25">
      <c r="A366" s="4" t="s">
        <v>773</v>
      </c>
      <c r="B366" s="5" t="s">
        <v>16</v>
      </c>
      <c r="C366" s="5" t="s">
        <v>1823</v>
      </c>
      <c r="D366" s="5">
        <v>40.049999999999997</v>
      </c>
      <c r="E366" s="5">
        <v>39.9</v>
      </c>
      <c r="F366" s="5">
        <v>40.9</v>
      </c>
      <c r="G366" s="5">
        <v>39.4</v>
      </c>
      <c r="H366" s="5">
        <v>39.5</v>
      </c>
      <c r="I366" s="5">
        <v>39.75</v>
      </c>
      <c r="J366" s="5">
        <v>39.89</v>
      </c>
      <c r="K366" s="5">
        <v>771846</v>
      </c>
      <c r="L366" s="5">
        <v>307.89</v>
      </c>
      <c r="M366" s="5">
        <v>3263</v>
      </c>
      <c r="N366" s="5">
        <v>209489</v>
      </c>
      <c r="O366" s="5">
        <v>27.14</v>
      </c>
      <c r="P366" s="5">
        <f t="shared" si="30"/>
        <v>-0.29999999999999716</v>
      </c>
      <c r="Q366" s="6">
        <f t="shared" si="31"/>
        <v>-7.49063670411978E-3</v>
      </c>
      <c r="R366" s="5">
        <f t="shared" si="32"/>
        <v>1.5</v>
      </c>
      <c r="S366" s="6">
        <f t="shared" si="33"/>
        <v>3.7453183520599252E-2</v>
      </c>
      <c r="T366" s="6">
        <f t="shared" si="34"/>
        <v>-3.5010940919037344E-3</v>
      </c>
    </row>
    <row r="367" spans="1:20" hidden="1" x14ac:dyDescent="0.25">
      <c r="A367" s="4" t="s">
        <v>380</v>
      </c>
      <c r="B367" s="5" t="s">
        <v>16</v>
      </c>
      <c r="C367" s="5" t="s">
        <v>1823</v>
      </c>
      <c r="D367" s="5">
        <v>386.65</v>
      </c>
      <c r="E367" s="5">
        <v>390.2</v>
      </c>
      <c r="F367" s="5">
        <v>398</v>
      </c>
      <c r="G367" s="5">
        <v>365.55</v>
      </c>
      <c r="H367" s="5">
        <v>370</v>
      </c>
      <c r="I367" s="5">
        <v>372.45</v>
      </c>
      <c r="J367" s="5">
        <v>383.11</v>
      </c>
      <c r="K367" s="5">
        <v>15665</v>
      </c>
      <c r="L367" s="5">
        <v>60.01</v>
      </c>
      <c r="M367" s="5">
        <v>615</v>
      </c>
      <c r="N367" s="5">
        <v>11908</v>
      </c>
      <c r="O367" s="5">
        <v>76.02</v>
      </c>
      <c r="P367" s="5">
        <f t="shared" si="30"/>
        <v>-14.199999999999989</v>
      </c>
      <c r="Q367" s="6">
        <f t="shared" si="31"/>
        <v>-3.6725720936247222E-2</v>
      </c>
      <c r="R367" s="5">
        <f t="shared" si="32"/>
        <v>32.449999999999989</v>
      </c>
      <c r="S367" s="6">
        <f t="shared" si="33"/>
        <v>8.3926031294452322E-2</v>
      </c>
      <c r="T367" s="6">
        <f t="shared" si="34"/>
        <v>-2.7938671209540099E-2</v>
      </c>
    </row>
    <row r="368" spans="1:20" x14ac:dyDescent="0.25">
      <c r="A368" s="4" t="s">
        <v>641</v>
      </c>
      <c r="B368" s="5" t="s">
        <v>16</v>
      </c>
      <c r="C368" s="5" t="s">
        <v>1823</v>
      </c>
      <c r="D368" s="5">
        <v>1197.2</v>
      </c>
      <c r="E368" s="5">
        <v>1206.8</v>
      </c>
      <c r="F368" s="5">
        <v>1216</v>
      </c>
      <c r="G368" s="5">
        <v>1150</v>
      </c>
      <c r="H368" s="5">
        <v>1153</v>
      </c>
      <c r="I368" s="5">
        <v>1158.3499999999999</v>
      </c>
      <c r="J368" s="5">
        <v>1180.1600000000001</v>
      </c>
      <c r="K368" s="5">
        <v>510549</v>
      </c>
      <c r="L368" s="5">
        <v>6025.3</v>
      </c>
      <c r="M368" s="5">
        <v>33324</v>
      </c>
      <c r="N368" s="5">
        <v>139253</v>
      </c>
      <c r="O368" s="5">
        <v>27.28</v>
      </c>
      <c r="P368" s="5">
        <f t="shared" si="30"/>
        <v>-38.850000000000136</v>
      </c>
      <c r="Q368" s="6">
        <f t="shared" si="31"/>
        <v>-3.2450718342799979E-2</v>
      </c>
      <c r="R368" s="5">
        <f t="shared" si="32"/>
        <v>66</v>
      </c>
      <c r="S368" s="6">
        <f t="shared" si="33"/>
        <v>5.5128633478115599E-2</v>
      </c>
      <c r="T368" s="6">
        <f t="shared" si="34"/>
        <v>-1.8439491455565921E-2</v>
      </c>
    </row>
    <row r="369" spans="1:20" hidden="1" x14ac:dyDescent="0.25">
      <c r="A369" s="4" t="s">
        <v>382</v>
      </c>
      <c r="B369" s="5" t="s">
        <v>16</v>
      </c>
      <c r="C369" s="5" t="s">
        <v>1823</v>
      </c>
      <c r="D369" s="5">
        <v>300.60000000000002</v>
      </c>
      <c r="E369" s="5">
        <v>301.7</v>
      </c>
      <c r="F369" s="5">
        <v>303.25</v>
      </c>
      <c r="G369" s="5">
        <v>294.5</v>
      </c>
      <c r="H369" s="5">
        <v>295.39999999999998</v>
      </c>
      <c r="I369" s="5">
        <v>297.8</v>
      </c>
      <c r="J369" s="5">
        <v>298.27999999999997</v>
      </c>
      <c r="K369" s="5">
        <v>150223</v>
      </c>
      <c r="L369" s="5">
        <v>448.08</v>
      </c>
      <c r="M369" s="5">
        <v>3429</v>
      </c>
      <c r="N369" s="5">
        <v>72291</v>
      </c>
      <c r="O369" s="5">
        <v>48.12</v>
      </c>
      <c r="P369" s="5">
        <f t="shared" si="30"/>
        <v>-2.8000000000000114</v>
      </c>
      <c r="Q369" s="6">
        <f t="shared" si="31"/>
        <v>-9.3147039254824066E-3</v>
      </c>
      <c r="R369" s="5">
        <f t="shared" si="32"/>
        <v>8.75</v>
      </c>
      <c r="S369" s="6">
        <f t="shared" si="33"/>
        <v>2.9108449767132401E-2</v>
      </c>
      <c r="T369" s="6">
        <f t="shared" si="34"/>
        <v>-1.6036750887449115E-3</v>
      </c>
    </row>
    <row r="370" spans="1:20" hidden="1" x14ac:dyDescent="0.25">
      <c r="A370" s="4" t="s">
        <v>383</v>
      </c>
      <c r="B370" s="5" t="s">
        <v>16</v>
      </c>
      <c r="C370" s="5" t="s">
        <v>1823</v>
      </c>
      <c r="D370" s="5">
        <v>108.7</v>
      </c>
      <c r="E370" s="5">
        <v>108.05</v>
      </c>
      <c r="F370" s="5">
        <v>108.05</v>
      </c>
      <c r="G370" s="5">
        <v>104</v>
      </c>
      <c r="H370" s="5">
        <v>104.5</v>
      </c>
      <c r="I370" s="5">
        <v>105.35</v>
      </c>
      <c r="J370" s="5">
        <v>105.85</v>
      </c>
      <c r="K370" s="5">
        <v>9088</v>
      </c>
      <c r="L370" s="5">
        <v>9.6199999999999992</v>
      </c>
      <c r="M370" s="5">
        <v>314</v>
      </c>
      <c r="N370" s="5">
        <v>4656</v>
      </c>
      <c r="O370" s="5">
        <v>51.23</v>
      </c>
      <c r="P370" s="5">
        <f t="shared" si="30"/>
        <v>-3.3500000000000085</v>
      </c>
      <c r="Q370" s="6">
        <f t="shared" si="31"/>
        <v>-3.0818767249310104E-2</v>
      </c>
      <c r="R370" s="5">
        <f t="shared" si="32"/>
        <v>4.0499999999999972</v>
      </c>
      <c r="S370" s="6">
        <f t="shared" si="33"/>
        <v>3.7258509659613588E-2</v>
      </c>
      <c r="T370" s="6">
        <f t="shared" si="34"/>
        <v>-4.700904924197908E-3</v>
      </c>
    </row>
    <row r="371" spans="1:20" x14ac:dyDescent="0.25">
      <c r="A371" s="4" t="s">
        <v>1760</v>
      </c>
      <c r="B371" s="5" t="s">
        <v>16</v>
      </c>
      <c r="C371" s="5" t="s">
        <v>1823</v>
      </c>
      <c r="D371" s="5">
        <v>343.15</v>
      </c>
      <c r="E371" s="5">
        <v>348.25</v>
      </c>
      <c r="F371" s="5">
        <v>360</v>
      </c>
      <c r="G371" s="5">
        <v>333.6</v>
      </c>
      <c r="H371" s="5">
        <v>336.5</v>
      </c>
      <c r="I371" s="5">
        <v>337.55</v>
      </c>
      <c r="J371" s="5">
        <v>350.66</v>
      </c>
      <c r="K371" s="5">
        <v>387901</v>
      </c>
      <c r="L371" s="5">
        <v>1360.2</v>
      </c>
      <c r="M371" s="5">
        <v>8775</v>
      </c>
      <c r="N371" s="5">
        <v>106366</v>
      </c>
      <c r="O371" s="5">
        <v>27.42</v>
      </c>
      <c r="P371" s="5">
        <f t="shared" si="30"/>
        <v>-5.5999999999999659</v>
      </c>
      <c r="Q371" s="6">
        <f t="shared" si="31"/>
        <v>-1.6319393851085433E-2</v>
      </c>
      <c r="R371" s="5">
        <f t="shared" si="32"/>
        <v>26.399999999999977</v>
      </c>
      <c r="S371" s="6">
        <f t="shared" si="33"/>
        <v>7.6934285297974581E-2</v>
      </c>
      <c r="T371" s="6">
        <f t="shared" si="34"/>
        <v>-3.801652892561988E-2</v>
      </c>
    </row>
    <row r="372" spans="1:20" hidden="1" x14ac:dyDescent="0.25">
      <c r="A372" s="4" t="s">
        <v>385</v>
      </c>
      <c r="B372" s="5" t="s">
        <v>16</v>
      </c>
      <c r="C372" s="5" t="s">
        <v>1823</v>
      </c>
      <c r="D372" s="5">
        <v>40.35</v>
      </c>
      <c r="E372" s="5">
        <v>42.35</v>
      </c>
      <c r="F372" s="5">
        <v>42.35</v>
      </c>
      <c r="G372" s="5">
        <v>40</v>
      </c>
      <c r="H372" s="5">
        <v>40.35</v>
      </c>
      <c r="I372" s="5">
        <v>40.15</v>
      </c>
      <c r="J372" s="5">
        <v>40.82</v>
      </c>
      <c r="K372" s="5">
        <v>14</v>
      </c>
      <c r="L372" s="5">
        <v>0.01</v>
      </c>
      <c r="M372" s="5">
        <v>5</v>
      </c>
      <c r="N372" s="5">
        <v>6</v>
      </c>
      <c r="O372" s="5">
        <v>42.86</v>
      </c>
      <c r="P372" s="5">
        <f t="shared" si="30"/>
        <v>-0.20000000000000284</v>
      </c>
      <c r="Q372" s="6">
        <f t="shared" si="31"/>
        <v>-4.9566294919455474E-3</v>
      </c>
      <c r="R372" s="5">
        <f t="shared" si="32"/>
        <v>2.3500000000000014</v>
      </c>
      <c r="S372" s="6">
        <f t="shared" si="33"/>
        <v>5.8240396530359388E-2</v>
      </c>
      <c r="T372" s="6">
        <f t="shared" si="34"/>
        <v>-1.6257203518350059E-2</v>
      </c>
    </row>
    <row r="373" spans="1:20" hidden="1" x14ac:dyDescent="0.25">
      <c r="A373" s="4" t="s">
        <v>386</v>
      </c>
      <c r="B373" s="5" t="s">
        <v>39</v>
      </c>
      <c r="C373" s="5" t="s">
        <v>1823</v>
      </c>
      <c r="D373" s="5">
        <v>59.45</v>
      </c>
      <c r="E373" s="5">
        <v>58</v>
      </c>
      <c r="F373" s="5">
        <v>59.45</v>
      </c>
      <c r="G373" s="5">
        <v>56.5</v>
      </c>
      <c r="H373" s="5">
        <v>56.5</v>
      </c>
      <c r="I373" s="5">
        <v>56.5</v>
      </c>
      <c r="J373" s="5">
        <v>57.62</v>
      </c>
      <c r="K373" s="5">
        <v>31573</v>
      </c>
      <c r="L373" s="5">
        <v>18.190000000000001</v>
      </c>
      <c r="M373" s="5">
        <v>438</v>
      </c>
      <c r="N373" s="5" t="s">
        <v>25</v>
      </c>
      <c r="O373" s="5" t="s">
        <v>25</v>
      </c>
      <c r="P373" s="5">
        <f t="shared" si="30"/>
        <v>-2.9500000000000028</v>
      </c>
      <c r="Q373" s="6">
        <f t="shared" si="31"/>
        <v>-4.9621530698065644E-2</v>
      </c>
      <c r="R373" s="5">
        <f t="shared" si="32"/>
        <v>2.9500000000000028</v>
      </c>
      <c r="S373" s="6">
        <f t="shared" si="33"/>
        <v>4.9621530698065644E-2</v>
      </c>
      <c r="T373" s="6">
        <f t="shared" si="34"/>
        <v>-1.9440225645476199E-2</v>
      </c>
    </row>
    <row r="374" spans="1:20" hidden="1" x14ac:dyDescent="0.25">
      <c r="A374" s="4" t="s">
        <v>387</v>
      </c>
      <c r="B374" s="5" t="s">
        <v>16</v>
      </c>
      <c r="C374" s="5" t="s">
        <v>1823</v>
      </c>
      <c r="D374" s="5">
        <v>222.25</v>
      </c>
      <c r="E374" s="5">
        <v>220.3</v>
      </c>
      <c r="F374" s="5">
        <v>225</v>
      </c>
      <c r="G374" s="5">
        <v>219.35</v>
      </c>
      <c r="H374" s="5">
        <v>220.3</v>
      </c>
      <c r="I374" s="5">
        <v>221</v>
      </c>
      <c r="J374" s="5">
        <v>222.01</v>
      </c>
      <c r="K374" s="5">
        <v>1462</v>
      </c>
      <c r="L374" s="5">
        <v>3.25</v>
      </c>
      <c r="M374" s="5">
        <v>82</v>
      </c>
      <c r="N374" s="5">
        <v>880</v>
      </c>
      <c r="O374" s="5">
        <v>60.19</v>
      </c>
      <c r="P374" s="5">
        <f t="shared" si="30"/>
        <v>-1.25</v>
      </c>
      <c r="Q374" s="6">
        <f t="shared" si="31"/>
        <v>-5.6242969628796397E-3</v>
      </c>
      <c r="R374" s="5">
        <f t="shared" si="32"/>
        <v>5.6500000000000057</v>
      </c>
      <c r="S374" s="6">
        <f t="shared" si="33"/>
        <v>2.5421822272216E-2</v>
      </c>
      <c r="T374" s="6">
        <f t="shared" si="34"/>
        <v>-4.5616214080053787E-3</v>
      </c>
    </row>
    <row r="375" spans="1:20" hidden="1" x14ac:dyDescent="0.25">
      <c r="A375" s="4" t="s">
        <v>388</v>
      </c>
      <c r="B375" s="5" t="s">
        <v>16</v>
      </c>
      <c r="C375" s="5" t="s">
        <v>1823</v>
      </c>
      <c r="D375" s="5">
        <v>246.1</v>
      </c>
      <c r="E375" s="5">
        <v>246.1</v>
      </c>
      <c r="F375" s="5">
        <v>248.75</v>
      </c>
      <c r="G375" s="5">
        <v>245</v>
      </c>
      <c r="H375" s="5">
        <v>248</v>
      </c>
      <c r="I375" s="5">
        <v>247.9</v>
      </c>
      <c r="J375" s="5">
        <v>246.87</v>
      </c>
      <c r="K375" s="5">
        <v>31294</v>
      </c>
      <c r="L375" s="5">
        <v>77.25</v>
      </c>
      <c r="M375" s="5">
        <v>684</v>
      </c>
      <c r="N375" s="5">
        <v>12388</v>
      </c>
      <c r="O375" s="5">
        <v>39.590000000000003</v>
      </c>
      <c r="P375" s="5">
        <f t="shared" si="30"/>
        <v>1.8000000000000114</v>
      </c>
      <c r="Q375" s="6">
        <f t="shared" si="31"/>
        <v>7.3140999593661578E-3</v>
      </c>
      <c r="R375" s="5">
        <f t="shared" si="32"/>
        <v>3.75</v>
      </c>
      <c r="S375" s="6">
        <f t="shared" si="33"/>
        <v>1.5237708248679399E-2</v>
      </c>
      <c r="T375" s="6">
        <f t="shared" si="34"/>
        <v>4.1710959250822622E-3</v>
      </c>
    </row>
    <row r="376" spans="1:20" hidden="1" x14ac:dyDescent="0.25">
      <c r="A376" s="4" t="s">
        <v>389</v>
      </c>
      <c r="B376" s="5" t="s">
        <v>16</v>
      </c>
      <c r="C376" s="5" t="s">
        <v>1823</v>
      </c>
      <c r="D376" s="5">
        <v>6.05</v>
      </c>
      <c r="E376" s="5">
        <v>6.15</v>
      </c>
      <c r="F376" s="5">
        <v>6.15</v>
      </c>
      <c r="G376" s="5">
        <v>5.85</v>
      </c>
      <c r="H376" s="5">
        <v>6</v>
      </c>
      <c r="I376" s="5">
        <v>5.95</v>
      </c>
      <c r="J376" s="5">
        <v>5.96</v>
      </c>
      <c r="K376" s="5">
        <v>33792</v>
      </c>
      <c r="L376" s="5">
        <v>2.0099999999999998</v>
      </c>
      <c r="M376" s="5">
        <v>33</v>
      </c>
      <c r="N376" s="5">
        <v>33792</v>
      </c>
      <c r="O376" s="5">
        <v>100</v>
      </c>
      <c r="P376" s="5">
        <f t="shared" si="30"/>
        <v>-9.9999999999999645E-2</v>
      </c>
      <c r="Q376" s="6">
        <f t="shared" si="31"/>
        <v>-1.6528925619834652E-2</v>
      </c>
      <c r="R376" s="5">
        <f t="shared" si="32"/>
        <v>0.30000000000000071</v>
      </c>
      <c r="S376" s="6">
        <f t="shared" si="33"/>
        <v>4.9586776859504252E-2</v>
      </c>
      <c r="T376" s="6">
        <f t="shared" si="34"/>
        <v>-1.6597510373443632E-3</v>
      </c>
    </row>
    <row r="377" spans="1:20" x14ac:dyDescent="0.25">
      <c r="A377" s="4" t="s">
        <v>750</v>
      </c>
      <c r="B377" s="5" t="s">
        <v>16</v>
      </c>
      <c r="C377" s="5" t="s">
        <v>1823</v>
      </c>
      <c r="D377" s="5">
        <v>244.55</v>
      </c>
      <c r="E377" s="5">
        <v>242</v>
      </c>
      <c r="F377" s="5">
        <v>253.7</v>
      </c>
      <c r="G377" s="5">
        <v>241.1</v>
      </c>
      <c r="H377" s="5">
        <v>241.7</v>
      </c>
      <c r="I377" s="5">
        <v>242.25</v>
      </c>
      <c r="J377" s="5">
        <v>247.58</v>
      </c>
      <c r="K377" s="5">
        <v>162528</v>
      </c>
      <c r="L377" s="5">
        <v>402.39</v>
      </c>
      <c r="M377" s="5">
        <v>4065</v>
      </c>
      <c r="N377" s="5">
        <v>44723</v>
      </c>
      <c r="O377" s="5">
        <v>27.52</v>
      </c>
      <c r="P377" s="5">
        <f t="shared" si="30"/>
        <v>-2.3000000000000114</v>
      </c>
      <c r="Q377" s="6">
        <f t="shared" si="31"/>
        <v>-9.4050296462891477E-3</v>
      </c>
      <c r="R377" s="5">
        <f t="shared" si="32"/>
        <v>12.599999999999994</v>
      </c>
      <c r="S377" s="6">
        <f t="shared" si="33"/>
        <v>5.1523205888366362E-2</v>
      </c>
      <c r="T377" s="6">
        <f t="shared" si="34"/>
        <v>-2.1776211633726623E-2</v>
      </c>
    </row>
    <row r="378" spans="1:20" hidden="1" x14ac:dyDescent="0.25">
      <c r="A378" s="4" t="s">
        <v>391</v>
      </c>
      <c r="B378" s="5" t="s">
        <v>16</v>
      </c>
      <c r="C378" s="5" t="s">
        <v>1823</v>
      </c>
      <c r="D378" s="5">
        <v>15.25</v>
      </c>
      <c r="E378" s="5">
        <v>15</v>
      </c>
      <c r="F378" s="5">
        <v>15.25</v>
      </c>
      <c r="G378" s="5">
        <v>15</v>
      </c>
      <c r="H378" s="5">
        <v>15.2</v>
      </c>
      <c r="I378" s="5">
        <v>15.15</v>
      </c>
      <c r="J378" s="5">
        <v>15.13</v>
      </c>
      <c r="K378" s="5">
        <v>99049</v>
      </c>
      <c r="L378" s="5">
        <v>14.98</v>
      </c>
      <c r="M378" s="5">
        <v>284</v>
      </c>
      <c r="N378" s="5">
        <v>85613</v>
      </c>
      <c r="O378" s="5">
        <v>86.43</v>
      </c>
      <c r="P378" s="5">
        <f t="shared" si="30"/>
        <v>-9.9999999999999645E-2</v>
      </c>
      <c r="Q378" s="6">
        <f t="shared" si="31"/>
        <v>-6.5573770491803044E-3</v>
      </c>
      <c r="R378" s="5">
        <f t="shared" si="32"/>
        <v>0.25</v>
      </c>
      <c r="S378" s="6">
        <f t="shared" si="33"/>
        <v>1.6393442622950821E-2</v>
      </c>
      <c r="T378" s="6">
        <f t="shared" si="34"/>
        <v>1.32450331125825E-3</v>
      </c>
    </row>
    <row r="379" spans="1:20" hidden="1" x14ac:dyDescent="0.25">
      <c r="A379" s="4" t="s">
        <v>392</v>
      </c>
      <c r="B379" s="5" t="s">
        <v>16</v>
      </c>
      <c r="C379" s="5" t="s">
        <v>1823</v>
      </c>
      <c r="D379" s="5">
        <v>331.55</v>
      </c>
      <c r="E379" s="5">
        <v>335</v>
      </c>
      <c r="F379" s="5">
        <v>335</v>
      </c>
      <c r="G379" s="5">
        <v>318</v>
      </c>
      <c r="H379" s="5">
        <v>322</v>
      </c>
      <c r="I379" s="5">
        <v>320.35000000000002</v>
      </c>
      <c r="J379" s="5">
        <v>323.51</v>
      </c>
      <c r="K379" s="5">
        <v>14351</v>
      </c>
      <c r="L379" s="5">
        <v>46.43</v>
      </c>
      <c r="M379" s="5">
        <v>1041</v>
      </c>
      <c r="N379" s="5">
        <v>10204</v>
      </c>
      <c r="O379" s="5">
        <v>71.099999999999994</v>
      </c>
      <c r="P379" s="5">
        <f t="shared" si="30"/>
        <v>-11.199999999999989</v>
      </c>
      <c r="Q379" s="6">
        <f t="shared" si="31"/>
        <v>-3.3780726888855341E-2</v>
      </c>
      <c r="R379" s="5">
        <f t="shared" si="32"/>
        <v>17</v>
      </c>
      <c r="S379" s="6">
        <f t="shared" si="33"/>
        <v>5.1274317599155482E-2</v>
      </c>
      <c r="T379" s="6">
        <f t="shared" si="34"/>
        <v>-9.6610234264530703E-3</v>
      </c>
    </row>
    <row r="380" spans="1:20" hidden="1" x14ac:dyDescent="0.25">
      <c r="A380" s="4" t="s">
        <v>393</v>
      </c>
      <c r="B380" s="5" t="s">
        <v>39</v>
      </c>
      <c r="C380" s="5" t="s">
        <v>1823</v>
      </c>
      <c r="D380" s="5">
        <v>8.4</v>
      </c>
      <c r="E380" s="5">
        <v>8.4</v>
      </c>
      <c r="F380" s="5">
        <v>8.6999999999999993</v>
      </c>
      <c r="G380" s="5">
        <v>8.15</v>
      </c>
      <c r="H380" s="5">
        <v>8.6999999999999993</v>
      </c>
      <c r="I380" s="5">
        <v>8.4</v>
      </c>
      <c r="J380" s="5">
        <v>8.35</v>
      </c>
      <c r="K380" s="5">
        <v>7268</v>
      </c>
      <c r="L380" s="5">
        <v>0.61</v>
      </c>
      <c r="M380" s="5">
        <v>44</v>
      </c>
      <c r="N380" s="5" t="s">
        <v>25</v>
      </c>
      <c r="O380" s="5" t="s">
        <v>25</v>
      </c>
      <c r="P380" s="5">
        <f t="shared" si="30"/>
        <v>0</v>
      </c>
      <c r="Q380" s="6">
        <f t="shared" si="31"/>
        <v>0</v>
      </c>
      <c r="R380" s="5">
        <f t="shared" si="32"/>
        <v>0.54999999999999893</v>
      </c>
      <c r="S380" s="6">
        <f t="shared" si="33"/>
        <v>6.5476190476190341E-2</v>
      </c>
      <c r="T380" s="6">
        <f t="shared" si="34"/>
        <v>5.9435364041605602E-3</v>
      </c>
    </row>
    <row r="381" spans="1:20" x14ac:dyDescent="0.25">
      <c r="A381" s="4" t="s">
        <v>1556</v>
      </c>
      <c r="B381" s="5" t="s">
        <v>16</v>
      </c>
      <c r="C381" s="5" t="s">
        <v>1823</v>
      </c>
      <c r="D381" s="5">
        <v>88.9</v>
      </c>
      <c r="E381" s="5">
        <v>89.75</v>
      </c>
      <c r="F381" s="5">
        <v>90.75</v>
      </c>
      <c r="G381" s="5">
        <v>85.1</v>
      </c>
      <c r="H381" s="5">
        <v>85.25</v>
      </c>
      <c r="I381" s="5">
        <v>86.2</v>
      </c>
      <c r="J381" s="5">
        <v>87.98</v>
      </c>
      <c r="K381" s="5">
        <v>234472</v>
      </c>
      <c r="L381" s="5">
        <v>206.29</v>
      </c>
      <c r="M381" s="5">
        <v>3241</v>
      </c>
      <c r="N381" s="5">
        <v>64579</v>
      </c>
      <c r="O381" s="5">
        <v>27.54</v>
      </c>
      <c r="P381" s="5">
        <f t="shared" si="30"/>
        <v>-2.7000000000000028</v>
      </c>
      <c r="Q381" s="6">
        <f t="shared" si="31"/>
        <v>-3.0371203599550086E-2</v>
      </c>
      <c r="R381" s="5">
        <f t="shared" si="32"/>
        <v>5.6500000000000057</v>
      </c>
      <c r="S381" s="6">
        <f t="shared" si="33"/>
        <v>6.3554555680539998E-2</v>
      </c>
      <c r="T381" s="6">
        <f t="shared" si="34"/>
        <v>-2.0238772029562264E-2</v>
      </c>
    </row>
    <row r="382" spans="1:20" hidden="1" x14ac:dyDescent="0.25">
      <c r="A382" s="4" t="s">
        <v>394</v>
      </c>
      <c r="B382" s="5" t="s">
        <v>395</v>
      </c>
      <c r="C382" s="5" t="s">
        <v>1823</v>
      </c>
      <c r="D382" s="5">
        <v>340</v>
      </c>
      <c r="E382" s="5">
        <v>407</v>
      </c>
      <c r="F382" s="5">
        <v>407</v>
      </c>
      <c r="G382" s="5">
        <v>407</v>
      </c>
      <c r="H382" s="5">
        <v>407</v>
      </c>
      <c r="I382" s="5">
        <v>407</v>
      </c>
      <c r="J382" s="5">
        <v>407</v>
      </c>
      <c r="K382" s="5">
        <v>30</v>
      </c>
      <c r="L382" s="5">
        <v>0.12</v>
      </c>
      <c r="M382" s="5">
        <v>2</v>
      </c>
      <c r="N382" s="5">
        <v>30</v>
      </c>
      <c r="O382" s="5">
        <v>100</v>
      </c>
      <c r="P382" s="5">
        <f t="shared" si="30"/>
        <v>67</v>
      </c>
      <c r="Q382" s="6">
        <f t="shared" si="31"/>
        <v>0.19705882352941176</v>
      </c>
      <c r="R382" s="5">
        <f t="shared" si="32"/>
        <v>0</v>
      </c>
      <c r="S382" s="6">
        <f t="shared" si="33"/>
        <v>0</v>
      </c>
      <c r="T382" s="6">
        <f t="shared" si="34"/>
        <v>0</v>
      </c>
    </row>
    <row r="383" spans="1:20" hidden="1" x14ac:dyDescent="0.25">
      <c r="A383" s="4" t="s">
        <v>394</v>
      </c>
      <c r="B383" s="5" t="s">
        <v>396</v>
      </c>
      <c r="C383" s="5" t="s">
        <v>1823</v>
      </c>
      <c r="D383" s="5">
        <v>325</v>
      </c>
      <c r="E383" s="5">
        <v>301.02</v>
      </c>
      <c r="F383" s="5">
        <v>305</v>
      </c>
      <c r="G383" s="5">
        <v>300.10000000000002</v>
      </c>
      <c r="H383" s="5">
        <v>300.10000000000002</v>
      </c>
      <c r="I383" s="5">
        <v>303.22000000000003</v>
      </c>
      <c r="J383" s="5">
        <v>304.02</v>
      </c>
      <c r="K383" s="5">
        <v>70</v>
      </c>
      <c r="L383" s="5">
        <v>0.21</v>
      </c>
      <c r="M383" s="5">
        <v>5</v>
      </c>
      <c r="N383" s="5">
        <v>70</v>
      </c>
      <c r="O383" s="5">
        <v>100</v>
      </c>
      <c r="P383" s="5">
        <f t="shared" si="30"/>
        <v>-21.779999999999973</v>
      </c>
      <c r="Q383" s="6">
        <f t="shared" si="31"/>
        <v>-6.7015384615384532E-2</v>
      </c>
      <c r="R383" s="5">
        <f t="shared" si="32"/>
        <v>4.8999999999999773</v>
      </c>
      <c r="S383" s="6">
        <f t="shared" si="33"/>
        <v>1.5076923076923007E-2</v>
      </c>
      <c r="T383" s="6">
        <f t="shared" si="34"/>
        <v>-2.6460714108520497E-3</v>
      </c>
    </row>
    <row r="384" spans="1:20" hidden="1" x14ac:dyDescent="0.25">
      <c r="A384" s="4" t="s">
        <v>394</v>
      </c>
      <c r="B384" s="5" t="s">
        <v>397</v>
      </c>
      <c r="C384" s="5" t="s">
        <v>1823</v>
      </c>
      <c r="D384" s="5">
        <v>325</v>
      </c>
      <c r="E384" s="5">
        <v>350</v>
      </c>
      <c r="F384" s="5">
        <v>350</v>
      </c>
      <c r="G384" s="5">
        <v>340</v>
      </c>
      <c r="H384" s="5">
        <v>340</v>
      </c>
      <c r="I384" s="5">
        <v>340</v>
      </c>
      <c r="J384" s="5">
        <v>346.67</v>
      </c>
      <c r="K384" s="5">
        <v>30</v>
      </c>
      <c r="L384" s="5">
        <v>0.1</v>
      </c>
      <c r="M384" s="5">
        <v>2</v>
      </c>
      <c r="N384" s="5">
        <v>30</v>
      </c>
      <c r="O384" s="5">
        <v>100</v>
      </c>
      <c r="P384" s="5">
        <f t="shared" si="30"/>
        <v>15</v>
      </c>
      <c r="Q384" s="6">
        <f t="shared" si="31"/>
        <v>4.6153846153846156E-2</v>
      </c>
      <c r="R384" s="5">
        <f t="shared" si="32"/>
        <v>10</v>
      </c>
      <c r="S384" s="6">
        <f t="shared" si="33"/>
        <v>3.0769230769230771E-2</v>
      </c>
      <c r="T384" s="6">
        <f t="shared" si="34"/>
        <v>-1.9333333333333379E-2</v>
      </c>
    </row>
    <row r="385" spans="1:20" hidden="1" x14ac:dyDescent="0.25">
      <c r="A385" s="4" t="s">
        <v>394</v>
      </c>
      <c r="B385" s="5" t="s">
        <v>398</v>
      </c>
      <c r="C385" s="5" t="s">
        <v>1823</v>
      </c>
      <c r="D385" s="5">
        <v>305</v>
      </c>
      <c r="E385" s="5">
        <v>251.25</v>
      </c>
      <c r="F385" s="5">
        <v>304.89999999999998</v>
      </c>
      <c r="G385" s="5">
        <v>251.25</v>
      </c>
      <c r="H385" s="5">
        <v>291</v>
      </c>
      <c r="I385" s="5">
        <v>291</v>
      </c>
      <c r="J385" s="5">
        <v>297.75</v>
      </c>
      <c r="K385" s="5">
        <v>445</v>
      </c>
      <c r="L385" s="5">
        <v>1.32</v>
      </c>
      <c r="M385" s="5">
        <v>19</v>
      </c>
      <c r="N385" s="5">
        <v>441</v>
      </c>
      <c r="O385" s="5">
        <v>99.1</v>
      </c>
      <c r="P385" s="5">
        <f t="shared" si="30"/>
        <v>-14</v>
      </c>
      <c r="Q385" s="6">
        <f t="shared" si="31"/>
        <v>-4.5901639344262293E-2</v>
      </c>
      <c r="R385" s="5">
        <f t="shared" si="32"/>
        <v>53.649999999999977</v>
      </c>
      <c r="S385" s="6">
        <f t="shared" si="33"/>
        <v>0.17590163934426223</v>
      </c>
      <c r="T385" s="6">
        <f t="shared" si="34"/>
        <v>-2.4581209031318278E-2</v>
      </c>
    </row>
    <row r="386" spans="1:20" hidden="1" x14ac:dyDescent="0.25">
      <c r="A386" s="4" t="s">
        <v>394</v>
      </c>
      <c r="B386" s="5" t="s">
        <v>400</v>
      </c>
      <c r="C386" s="5" t="s">
        <v>1823</v>
      </c>
      <c r="D386" s="5">
        <v>320</v>
      </c>
      <c r="E386" s="5">
        <v>324</v>
      </c>
      <c r="F386" s="5">
        <v>324.95</v>
      </c>
      <c r="G386" s="5">
        <v>311</v>
      </c>
      <c r="H386" s="5">
        <v>324.95</v>
      </c>
      <c r="I386" s="5">
        <v>324.95</v>
      </c>
      <c r="J386" s="5">
        <v>320.63</v>
      </c>
      <c r="K386" s="5">
        <v>70</v>
      </c>
      <c r="L386" s="5">
        <v>0.22</v>
      </c>
      <c r="M386" s="5">
        <v>3</v>
      </c>
      <c r="N386" s="5">
        <v>70</v>
      </c>
      <c r="O386" s="5">
        <v>100</v>
      </c>
      <c r="P386" s="5">
        <f t="shared" si="30"/>
        <v>4.9499999999999886</v>
      </c>
      <c r="Q386" s="6">
        <f t="shared" si="31"/>
        <v>1.5468749999999965E-2</v>
      </c>
      <c r="R386" s="5">
        <f t="shared" si="32"/>
        <v>13.949999999999989</v>
      </c>
      <c r="S386" s="6">
        <f t="shared" si="33"/>
        <v>4.3593749999999966E-2</v>
      </c>
      <c r="T386" s="6">
        <f t="shared" si="34"/>
        <v>1.3448517394349732E-2</v>
      </c>
    </row>
    <row r="387" spans="1:20" hidden="1" x14ac:dyDescent="0.25">
      <c r="A387" s="4" t="s">
        <v>394</v>
      </c>
      <c r="B387" s="5" t="s">
        <v>401</v>
      </c>
      <c r="C387" s="5" t="s">
        <v>1823</v>
      </c>
      <c r="D387" s="5">
        <v>300</v>
      </c>
      <c r="E387" s="5">
        <v>300</v>
      </c>
      <c r="F387" s="5">
        <v>300.3</v>
      </c>
      <c r="G387" s="5">
        <v>293.25</v>
      </c>
      <c r="H387" s="5">
        <v>293.25</v>
      </c>
      <c r="I387" s="5">
        <v>294.47000000000003</v>
      </c>
      <c r="J387" s="5">
        <v>297.10000000000002</v>
      </c>
      <c r="K387" s="5">
        <v>305</v>
      </c>
      <c r="L387" s="5">
        <v>0.91</v>
      </c>
      <c r="M387" s="5">
        <v>9</v>
      </c>
      <c r="N387" s="5">
        <v>285</v>
      </c>
      <c r="O387" s="5">
        <v>93.44</v>
      </c>
      <c r="P387" s="5">
        <f t="shared" si="30"/>
        <v>-5.5299999999999727</v>
      </c>
      <c r="Q387" s="6">
        <f t="shared" si="31"/>
        <v>-1.8433333333333243E-2</v>
      </c>
      <c r="R387" s="5">
        <f t="shared" si="32"/>
        <v>7.0500000000000114</v>
      </c>
      <c r="S387" s="6">
        <f t="shared" si="33"/>
        <v>2.3500000000000038E-2</v>
      </c>
      <c r="T387" s="6">
        <f t="shared" si="34"/>
        <v>-8.8550697799700193E-3</v>
      </c>
    </row>
    <row r="388" spans="1:20" hidden="1" x14ac:dyDescent="0.25">
      <c r="A388" s="4" t="s">
        <v>394</v>
      </c>
      <c r="B388" s="5" t="s">
        <v>402</v>
      </c>
      <c r="C388" s="5" t="s">
        <v>1823</v>
      </c>
      <c r="D388" s="5">
        <v>345</v>
      </c>
      <c r="E388" s="5">
        <v>355</v>
      </c>
      <c r="F388" s="5">
        <v>389.99</v>
      </c>
      <c r="G388" s="5">
        <v>333</v>
      </c>
      <c r="H388" s="5">
        <v>375</v>
      </c>
      <c r="I388" s="5">
        <v>375</v>
      </c>
      <c r="J388" s="5">
        <v>357.93</v>
      </c>
      <c r="K388" s="5">
        <v>89</v>
      </c>
      <c r="L388" s="5">
        <v>0.32</v>
      </c>
      <c r="M388" s="5">
        <v>10</v>
      </c>
      <c r="N388" s="5">
        <v>87</v>
      </c>
      <c r="O388" s="5">
        <v>97.75</v>
      </c>
      <c r="P388" s="5">
        <f t="shared" si="30"/>
        <v>30</v>
      </c>
      <c r="Q388" s="6">
        <f t="shared" si="31"/>
        <v>8.6956521739130432E-2</v>
      </c>
      <c r="R388" s="5">
        <f t="shared" si="32"/>
        <v>56.990000000000009</v>
      </c>
      <c r="S388" s="6">
        <f t="shared" si="33"/>
        <v>0.16518840579710148</v>
      </c>
      <c r="T388" s="6">
        <f t="shared" si="34"/>
        <v>4.6992752875105799E-2</v>
      </c>
    </row>
    <row r="389" spans="1:20" hidden="1" x14ac:dyDescent="0.25">
      <c r="A389" s="4" t="s">
        <v>394</v>
      </c>
      <c r="B389" s="5" t="s">
        <v>403</v>
      </c>
      <c r="C389" s="5" t="s">
        <v>1823</v>
      </c>
      <c r="D389" s="5">
        <v>285</v>
      </c>
      <c r="E389" s="5">
        <v>300</v>
      </c>
      <c r="F389" s="5">
        <v>300</v>
      </c>
      <c r="G389" s="5">
        <v>300</v>
      </c>
      <c r="H389" s="5">
        <v>300</v>
      </c>
      <c r="I389" s="5">
        <v>300</v>
      </c>
      <c r="J389" s="5">
        <v>300</v>
      </c>
      <c r="K389" s="5">
        <v>25</v>
      </c>
      <c r="L389" s="5">
        <v>0.08</v>
      </c>
      <c r="M389" s="5">
        <v>1</v>
      </c>
      <c r="N389" s="5">
        <v>25</v>
      </c>
      <c r="O389" s="5">
        <v>100</v>
      </c>
      <c r="P389" s="5">
        <f t="shared" si="30"/>
        <v>15</v>
      </c>
      <c r="Q389" s="6">
        <f t="shared" si="31"/>
        <v>5.2631578947368418E-2</v>
      </c>
      <c r="R389" s="5">
        <f t="shared" si="32"/>
        <v>0</v>
      </c>
      <c r="S389" s="6">
        <f t="shared" si="33"/>
        <v>0</v>
      </c>
      <c r="T389" s="6">
        <f t="shared" si="34"/>
        <v>0</v>
      </c>
    </row>
    <row r="390" spans="1:20" hidden="1" x14ac:dyDescent="0.25">
      <c r="A390" s="4" t="s">
        <v>394</v>
      </c>
      <c r="B390" s="5" t="s">
        <v>404</v>
      </c>
      <c r="C390" s="5" t="s">
        <v>1823</v>
      </c>
      <c r="D390" s="5">
        <v>314</v>
      </c>
      <c r="E390" s="5">
        <v>311</v>
      </c>
      <c r="F390" s="5">
        <v>311</v>
      </c>
      <c r="G390" s="5">
        <v>300</v>
      </c>
      <c r="H390" s="5">
        <v>300</v>
      </c>
      <c r="I390" s="5">
        <v>300</v>
      </c>
      <c r="J390" s="5">
        <v>305.5</v>
      </c>
      <c r="K390" s="5">
        <v>2</v>
      </c>
      <c r="L390" s="5">
        <v>0.01</v>
      </c>
      <c r="M390" s="5">
        <v>2</v>
      </c>
      <c r="N390" s="5">
        <v>1</v>
      </c>
      <c r="O390" s="5">
        <v>50</v>
      </c>
      <c r="P390" s="5">
        <f t="shared" si="30"/>
        <v>-14</v>
      </c>
      <c r="Q390" s="6">
        <f t="shared" si="31"/>
        <v>-4.4585987261146494E-2</v>
      </c>
      <c r="R390" s="5">
        <f t="shared" si="32"/>
        <v>11</v>
      </c>
      <c r="S390" s="6">
        <f t="shared" si="33"/>
        <v>3.5031847133757961E-2</v>
      </c>
      <c r="T390" s="6">
        <f t="shared" si="34"/>
        <v>-1.8003273322422259E-2</v>
      </c>
    </row>
    <row r="391" spans="1:20" hidden="1" x14ac:dyDescent="0.25">
      <c r="A391" s="4" t="s">
        <v>394</v>
      </c>
      <c r="B391" s="5" t="s">
        <v>405</v>
      </c>
      <c r="C391" s="5" t="s">
        <v>1823</v>
      </c>
      <c r="D391" s="5">
        <v>283</v>
      </c>
      <c r="E391" s="5">
        <v>285</v>
      </c>
      <c r="F391" s="5">
        <v>285</v>
      </c>
      <c r="G391" s="5">
        <v>280</v>
      </c>
      <c r="H391" s="5">
        <v>282</v>
      </c>
      <c r="I391" s="5">
        <v>282</v>
      </c>
      <c r="J391" s="5">
        <v>283.82</v>
      </c>
      <c r="K391" s="5">
        <v>380</v>
      </c>
      <c r="L391" s="5">
        <v>1.08</v>
      </c>
      <c r="M391" s="5">
        <v>10</v>
      </c>
      <c r="N391" s="5">
        <v>380</v>
      </c>
      <c r="O391" s="5">
        <v>100</v>
      </c>
      <c r="P391" s="5">
        <f t="shared" si="30"/>
        <v>-1</v>
      </c>
      <c r="Q391" s="6">
        <f t="shared" si="31"/>
        <v>-3.5335689045936395E-3</v>
      </c>
      <c r="R391" s="5">
        <f t="shared" si="32"/>
        <v>5</v>
      </c>
      <c r="S391" s="6">
        <f t="shared" si="33"/>
        <v>1.7667844522968199E-2</v>
      </c>
      <c r="T391" s="6">
        <f t="shared" si="34"/>
        <v>-6.4310954063603997E-3</v>
      </c>
    </row>
    <row r="392" spans="1:20" hidden="1" x14ac:dyDescent="0.25">
      <c r="A392" s="4" t="s">
        <v>406</v>
      </c>
      <c r="B392" s="5" t="s">
        <v>16</v>
      </c>
      <c r="C392" s="5" t="s">
        <v>1823</v>
      </c>
      <c r="D392" s="5">
        <v>209</v>
      </c>
      <c r="E392" s="5">
        <v>209.05</v>
      </c>
      <c r="F392" s="5">
        <v>212.45</v>
      </c>
      <c r="G392" s="5">
        <v>206</v>
      </c>
      <c r="H392" s="5">
        <v>210</v>
      </c>
      <c r="I392" s="5">
        <v>206.55</v>
      </c>
      <c r="J392" s="5">
        <v>208.32</v>
      </c>
      <c r="K392" s="5">
        <v>572</v>
      </c>
      <c r="L392" s="5">
        <v>1.19</v>
      </c>
      <c r="M392" s="5">
        <v>93</v>
      </c>
      <c r="N392" s="5">
        <v>332</v>
      </c>
      <c r="O392" s="5">
        <v>58.04</v>
      </c>
      <c r="P392" s="5">
        <f t="shared" si="30"/>
        <v>-2.4499999999999886</v>
      </c>
      <c r="Q392" s="6">
        <f t="shared" si="31"/>
        <v>-1.1722488038277457E-2</v>
      </c>
      <c r="R392" s="5">
        <f t="shared" si="32"/>
        <v>6.4499999999999886</v>
      </c>
      <c r="S392" s="6">
        <f t="shared" si="33"/>
        <v>3.0861244019138701E-2</v>
      </c>
      <c r="T392" s="6">
        <f t="shared" si="34"/>
        <v>-8.488699718242225E-3</v>
      </c>
    </row>
    <row r="393" spans="1:20" hidden="1" x14ac:dyDescent="0.25">
      <c r="A393" s="4" t="s">
        <v>407</v>
      </c>
      <c r="B393" s="5" t="s">
        <v>16</v>
      </c>
      <c r="C393" s="5" t="s">
        <v>1823</v>
      </c>
      <c r="D393" s="5">
        <v>847.6</v>
      </c>
      <c r="E393" s="5">
        <v>849.75</v>
      </c>
      <c r="F393" s="5">
        <v>898</v>
      </c>
      <c r="G393" s="5">
        <v>849.75</v>
      </c>
      <c r="H393" s="5">
        <v>877</v>
      </c>
      <c r="I393" s="5">
        <v>875.3</v>
      </c>
      <c r="J393" s="5">
        <v>875.17</v>
      </c>
      <c r="K393" s="5">
        <v>2925</v>
      </c>
      <c r="L393" s="5">
        <v>25.6</v>
      </c>
      <c r="M393" s="5">
        <v>450</v>
      </c>
      <c r="N393" s="5">
        <v>1901</v>
      </c>
      <c r="O393" s="5">
        <v>64.989999999999995</v>
      </c>
      <c r="P393" s="5">
        <f t="shared" si="30"/>
        <v>27.699999999999932</v>
      </c>
      <c r="Q393" s="6">
        <f t="shared" si="31"/>
        <v>3.2680509674374622E-2</v>
      </c>
      <c r="R393" s="5">
        <f t="shared" si="32"/>
        <v>48.25</v>
      </c>
      <c r="S393" s="6">
        <f t="shared" si="33"/>
        <v>5.6925436526663521E-2</v>
      </c>
      <c r="T393" s="6">
        <f t="shared" si="34"/>
        <v>1.497350840820035E-4</v>
      </c>
    </row>
    <row r="394" spans="1:20" hidden="1" x14ac:dyDescent="0.25">
      <c r="A394" s="4" t="s">
        <v>408</v>
      </c>
      <c r="B394" s="5" t="s">
        <v>24</v>
      </c>
      <c r="C394" s="5" t="s">
        <v>1823</v>
      </c>
      <c r="D394" s="5">
        <v>0.7</v>
      </c>
      <c r="E394" s="5">
        <v>0.65</v>
      </c>
      <c r="F394" s="5">
        <v>0.65</v>
      </c>
      <c r="G394" s="5">
        <v>0.65</v>
      </c>
      <c r="H394" s="5">
        <v>0.65</v>
      </c>
      <c r="I394" s="5">
        <v>0.65</v>
      </c>
      <c r="J394" s="5">
        <v>0.65</v>
      </c>
      <c r="K394" s="5">
        <v>6</v>
      </c>
      <c r="L394" s="5">
        <v>0</v>
      </c>
      <c r="M394" s="5">
        <v>2</v>
      </c>
      <c r="N394" s="5" t="s">
        <v>25</v>
      </c>
      <c r="O394" s="5" t="s">
        <v>25</v>
      </c>
      <c r="P394" s="5">
        <f t="shared" si="30"/>
        <v>-4.9999999999999933E-2</v>
      </c>
      <c r="Q394" s="6">
        <f t="shared" si="31"/>
        <v>-7.1428571428571341E-2</v>
      </c>
      <c r="R394" s="5">
        <f t="shared" si="32"/>
        <v>0</v>
      </c>
      <c r="S394" s="6">
        <f t="shared" si="33"/>
        <v>0</v>
      </c>
      <c r="T394" s="6">
        <f t="shared" si="34"/>
        <v>0</v>
      </c>
    </row>
    <row r="395" spans="1:20" hidden="1" x14ac:dyDescent="0.25">
      <c r="A395" s="4" t="s">
        <v>409</v>
      </c>
      <c r="B395" s="5" t="s">
        <v>16</v>
      </c>
      <c r="C395" s="5" t="s">
        <v>1823</v>
      </c>
      <c r="D395" s="5">
        <v>326.35000000000002</v>
      </c>
      <c r="E395" s="5">
        <v>323.05</v>
      </c>
      <c r="F395" s="5">
        <v>338.85</v>
      </c>
      <c r="G395" s="5">
        <v>311.55</v>
      </c>
      <c r="H395" s="5">
        <v>327.7</v>
      </c>
      <c r="I395" s="5">
        <v>331.8</v>
      </c>
      <c r="J395" s="5">
        <v>322.74</v>
      </c>
      <c r="K395" s="5">
        <v>1074</v>
      </c>
      <c r="L395" s="5">
        <v>3.47</v>
      </c>
      <c r="M395" s="5">
        <v>181</v>
      </c>
      <c r="N395" s="5">
        <v>615</v>
      </c>
      <c r="O395" s="5">
        <v>57.26</v>
      </c>
      <c r="P395" s="5">
        <f t="shared" si="30"/>
        <v>5.4499999999999886</v>
      </c>
      <c r="Q395" s="6">
        <f t="shared" si="31"/>
        <v>1.669986211123024E-2</v>
      </c>
      <c r="R395" s="5">
        <f t="shared" si="32"/>
        <v>27.300000000000011</v>
      </c>
      <c r="S395" s="6">
        <f t="shared" si="33"/>
        <v>8.3652520300291133E-2</v>
      </c>
      <c r="T395" s="6">
        <f t="shared" si="34"/>
        <v>2.7764796016088878E-2</v>
      </c>
    </row>
    <row r="396" spans="1:20" hidden="1" x14ac:dyDescent="0.25">
      <c r="A396" s="4" t="s">
        <v>410</v>
      </c>
      <c r="B396" s="5" t="s">
        <v>16</v>
      </c>
      <c r="C396" s="5" t="s">
        <v>1823</v>
      </c>
      <c r="D396" s="5">
        <v>6</v>
      </c>
      <c r="E396" s="5">
        <v>6.25</v>
      </c>
      <c r="F396" s="5">
        <v>6.25</v>
      </c>
      <c r="G396" s="5">
        <v>5.7</v>
      </c>
      <c r="H396" s="5">
        <v>5.8</v>
      </c>
      <c r="I396" s="5">
        <v>5.8</v>
      </c>
      <c r="J396" s="5">
        <v>5.9</v>
      </c>
      <c r="K396" s="5">
        <v>3400</v>
      </c>
      <c r="L396" s="5">
        <v>0.2</v>
      </c>
      <c r="M396" s="5">
        <v>15</v>
      </c>
      <c r="N396" s="5">
        <v>3351</v>
      </c>
      <c r="O396" s="5">
        <v>98.56</v>
      </c>
      <c r="P396" s="5">
        <f t="shared" ref="P396:P459" si="35">I396-D396</f>
        <v>-0.20000000000000018</v>
      </c>
      <c r="Q396" s="6">
        <f t="shared" ref="Q396:Q459" si="36">P396/D396</f>
        <v>-3.3333333333333361E-2</v>
      </c>
      <c r="R396" s="5">
        <f t="shared" ref="R396:R459" si="37">ABS(F396-G396)</f>
        <v>0.54999999999999982</v>
      </c>
      <c r="S396" s="6">
        <f t="shared" ref="S396:S459" si="38">R396/D396</f>
        <v>9.1666666666666632E-2</v>
      </c>
      <c r="T396" s="6">
        <f t="shared" ref="T396:T459" si="39">(I396-J396)/AVERAGE(E396:G396,I396)</f>
        <v>-1.6666666666666757E-2</v>
      </c>
    </row>
    <row r="397" spans="1:20" hidden="1" x14ac:dyDescent="0.25">
      <c r="A397" s="4" t="s">
        <v>411</v>
      </c>
      <c r="B397" s="5" t="s">
        <v>24</v>
      </c>
      <c r="C397" s="5" t="s">
        <v>1823</v>
      </c>
      <c r="D397" s="5">
        <v>1.2</v>
      </c>
      <c r="E397" s="5">
        <v>1.2</v>
      </c>
      <c r="F397" s="5">
        <v>1.2</v>
      </c>
      <c r="G397" s="5">
        <v>1.1499999999999999</v>
      </c>
      <c r="H397" s="5">
        <v>1.2</v>
      </c>
      <c r="I397" s="5">
        <v>1.1499999999999999</v>
      </c>
      <c r="J397" s="5">
        <v>1.17</v>
      </c>
      <c r="K397" s="5">
        <v>10053</v>
      </c>
      <c r="L397" s="5">
        <v>0.12</v>
      </c>
      <c r="M397" s="5">
        <v>18</v>
      </c>
      <c r="N397" s="5" t="s">
        <v>25</v>
      </c>
      <c r="O397" s="5" t="s">
        <v>25</v>
      </c>
      <c r="P397" s="5">
        <f t="shared" si="35"/>
        <v>-5.0000000000000044E-2</v>
      </c>
      <c r="Q397" s="6">
        <f t="shared" si="36"/>
        <v>-4.1666666666666706E-2</v>
      </c>
      <c r="R397" s="5">
        <f t="shared" si="37"/>
        <v>5.0000000000000044E-2</v>
      </c>
      <c r="S397" s="6">
        <f t="shared" si="38"/>
        <v>4.1666666666666706E-2</v>
      </c>
      <c r="T397" s="6">
        <f t="shared" si="39"/>
        <v>-1.7021276595744698E-2</v>
      </c>
    </row>
    <row r="398" spans="1:20" x14ac:dyDescent="0.25">
      <c r="A398" s="4" t="s">
        <v>147</v>
      </c>
      <c r="B398" s="5" t="s">
        <v>16</v>
      </c>
      <c r="C398" s="5" t="s">
        <v>1823</v>
      </c>
      <c r="D398" s="5">
        <v>75.150000000000006</v>
      </c>
      <c r="E398" s="5">
        <v>74.75</v>
      </c>
      <c r="F398" s="5">
        <v>75.45</v>
      </c>
      <c r="G398" s="5">
        <v>70.3</v>
      </c>
      <c r="H398" s="5">
        <v>70.849999999999994</v>
      </c>
      <c r="I398" s="5">
        <v>70.75</v>
      </c>
      <c r="J398" s="5">
        <v>71.98</v>
      </c>
      <c r="K398" s="5">
        <v>48548458</v>
      </c>
      <c r="L398" s="5">
        <v>34944.33</v>
      </c>
      <c r="M398" s="5">
        <v>125551</v>
      </c>
      <c r="N398" s="5">
        <v>13388617</v>
      </c>
      <c r="O398" s="5">
        <v>27.58</v>
      </c>
      <c r="P398" s="5">
        <f t="shared" si="35"/>
        <v>-4.4000000000000057</v>
      </c>
      <c r="Q398" s="6">
        <f t="shared" si="36"/>
        <v>-5.8549567531603529E-2</v>
      </c>
      <c r="R398" s="5">
        <f t="shared" si="37"/>
        <v>5.1500000000000057</v>
      </c>
      <c r="S398" s="6">
        <f t="shared" si="38"/>
        <v>6.8529607451763216E-2</v>
      </c>
      <c r="T398" s="6">
        <f t="shared" si="39"/>
        <v>-1.6892703862661E-2</v>
      </c>
    </row>
    <row r="399" spans="1:20" hidden="1" x14ac:dyDescent="0.25">
      <c r="A399" s="4" t="s">
        <v>413</v>
      </c>
      <c r="B399" s="5" t="s">
        <v>16</v>
      </c>
      <c r="C399" s="5" t="s">
        <v>1823</v>
      </c>
      <c r="D399" s="5">
        <v>1629.65</v>
      </c>
      <c r="E399" s="5">
        <v>1620.15</v>
      </c>
      <c r="F399" s="5">
        <v>1653.2</v>
      </c>
      <c r="G399" s="5">
        <v>1620.15</v>
      </c>
      <c r="H399" s="5">
        <v>1622</v>
      </c>
      <c r="I399" s="5">
        <v>1633.45</v>
      </c>
      <c r="J399" s="5">
        <v>1641.21</v>
      </c>
      <c r="K399" s="5">
        <v>450237</v>
      </c>
      <c r="L399" s="5">
        <v>7389.32</v>
      </c>
      <c r="M399" s="5">
        <v>25596</v>
      </c>
      <c r="N399" s="5">
        <v>187756</v>
      </c>
      <c r="O399" s="5">
        <v>41.7</v>
      </c>
      <c r="P399" s="5">
        <f t="shared" si="35"/>
        <v>3.7999999999999545</v>
      </c>
      <c r="Q399" s="6">
        <f t="shared" si="36"/>
        <v>2.3317890344552233E-3</v>
      </c>
      <c r="R399" s="5">
        <f t="shared" si="37"/>
        <v>33.049999999999955</v>
      </c>
      <c r="S399" s="6">
        <f t="shared" si="38"/>
        <v>2.0280428312827878E-2</v>
      </c>
      <c r="T399" s="6">
        <f t="shared" si="39"/>
        <v>-4.7556668888224917E-3</v>
      </c>
    </row>
    <row r="400" spans="1:20" hidden="1" x14ac:dyDescent="0.25">
      <c r="A400" s="4" t="s">
        <v>414</v>
      </c>
      <c r="B400" s="5" t="s">
        <v>16</v>
      </c>
      <c r="C400" s="5" t="s">
        <v>1823</v>
      </c>
      <c r="D400" s="5">
        <v>2831.35</v>
      </c>
      <c r="E400" s="5">
        <v>2811</v>
      </c>
      <c r="F400" s="5">
        <v>2850.05</v>
      </c>
      <c r="G400" s="5">
        <v>2750</v>
      </c>
      <c r="H400" s="5">
        <v>2816</v>
      </c>
      <c r="I400" s="5">
        <v>2823.35</v>
      </c>
      <c r="J400" s="5">
        <v>2806.23</v>
      </c>
      <c r="K400" s="5">
        <v>5658</v>
      </c>
      <c r="L400" s="5">
        <v>158.78</v>
      </c>
      <c r="M400" s="5">
        <v>954</v>
      </c>
      <c r="N400" s="5">
        <v>2745</v>
      </c>
      <c r="O400" s="5">
        <v>48.52</v>
      </c>
      <c r="P400" s="5">
        <f t="shared" si="35"/>
        <v>-8</v>
      </c>
      <c r="Q400" s="6">
        <f t="shared" si="36"/>
        <v>-2.8255072668515019E-3</v>
      </c>
      <c r="R400" s="5">
        <f t="shared" si="37"/>
        <v>100.05000000000018</v>
      </c>
      <c r="S400" s="6">
        <f t="shared" si="38"/>
        <v>3.5336500256061665E-2</v>
      </c>
      <c r="T400" s="6">
        <f t="shared" si="39"/>
        <v>6.0955636260058002E-3</v>
      </c>
    </row>
    <row r="401" spans="1:20" x14ac:dyDescent="0.25">
      <c r="A401" s="4" t="s">
        <v>1704</v>
      </c>
      <c r="B401" s="5" t="s">
        <v>16</v>
      </c>
      <c r="C401" s="5" t="s">
        <v>1823</v>
      </c>
      <c r="D401" s="5">
        <v>317.55</v>
      </c>
      <c r="E401" s="5">
        <v>317.10000000000002</v>
      </c>
      <c r="F401" s="5">
        <v>321.85000000000002</v>
      </c>
      <c r="G401" s="5">
        <v>306.85000000000002</v>
      </c>
      <c r="H401" s="5">
        <v>313.7</v>
      </c>
      <c r="I401" s="5">
        <v>312.14999999999998</v>
      </c>
      <c r="J401" s="5">
        <v>315.2</v>
      </c>
      <c r="K401" s="5">
        <v>1922159</v>
      </c>
      <c r="L401" s="5">
        <v>6058.55</v>
      </c>
      <c r="M401" s="5">
        <v>16995</v>
      </c>
      <c r="N401" s="5">
        <v>531114</v>
      </c>
      <c r="O401" s="5">
        <v>27.63</v>
      </c>
      <c r="P401" s="5">
        <f t="shared" si="35"/>
        <v>-5.4000000000000341</v>
      </c>
      <c r="Q401" s="6">
        <f t="shared" si="36"/>
        <v>-1.7005196032121032E-2</v>
      </c>
      <c r="R401" s="5">
        <f t="shared" si="37"/>
        <v>15</v>
      </c>
      <c r="S401" s="6">
        <f t="shared" si="38"/>
        <v>4.723665564478035E-2</v>
      </c>
      <c r="T401" s="6">
        <f t="shared" si="39"/>
        <v>-9.6983186931118449E-3</v>
      </c>
    </row>
    <row r="402" spans="1:20" hidden="1" x14ac:dyDescent="0.25">
      <c r="A402" s="4" t="s">
        <v>416</v>
      </c>
      <c r="B402" s="5" t="s">
        <v>16</v>
      </c>
      <c r="C402" s="5" t="s">
        <v>1823</v>
      </c>
      <c r="D402" s="5">
        <v>94</v>
      </c>
      <c r="E402" s="5">
        <v>93.25</v>
      </c>
      <c r="F402" s="5">
        <v>95.7</v>
      </c>
      <c r="G402" s="5">
        <v>91.5</v>
      </c>
      <c r="H402" s="5">
        <v>91.65</v>
      </c>
      <c r="I402" s="5">
        <v>91.85</v>
      </c>
      <c r="J402" s="5">
        <v>93.08</v>
      </c>
      <c r="K402" s="5">
        <v>13987</v>
      </c>
      <c r="L402" s="5">
        <v>13.02</v>
      </c>
      <c r="M402" s="5">
        <v>377</v>
      </c>
      <c r="N402" s="5">
        <v>6640</v>
      </c>
      <c r="O402" s="5">
        <v>47.47</v>
      </c>
      <c r="P402" s="5">
        <f t="shared" si="35"/>
        <v>-2.1500000000000057</v>
      </c>
      <c r="Q402" s="6">
        <f t="shared" si="36"/>
        <v>-2.2872340425531976E-2</v>
      </c>
      <c r="R402" s="5">
        <f t="shared" si="37"/>
        <v>4.2000000000000028</v>
      </c>
      <c r="S402" s="6">
        <f t="shared" si="38"/>
        <v>4.4680851063829817E-2</v>
      </c>
      <c r="T402" s="6">
        <f t="shared" si="39"/>
        <v>-1.3215149073328006E-2</v>
      </c>
    </row>
    <row r="403" spans="1:20" x14ac:dyDescent="0.25">
      <c r="A403" s="4" t="s">
        <v>196</v>
      </c>
      <c r="B403" s="5" t="s">
        <v>16</v>
      </c>
      <c r="C403" s="5" t="s">
        <v>1823</v>
      </c>
      <c r="D403" s="5">
        <v>168.05</v>
      </c>
      <c r="E403" s="5">
        <v>167.9</v>
      </c>
      <c r="F403" s="5">
        <v>173.9</v>
      </c>
      <c r="G403" s="5">
        <v>166.3</v>
      </c>
      <c r="H403" s="5">
        <v>171</v>
      </c>
      <c r="I403" s="5">
        <v>171.45</v>
      </c>
      <c r="J403" s="5">
        <v>171.34</v>
      </c>
      <c r="K403" s="5">
        <v>2681732</v>
      </c>
      <c r="L403" s="5">
        <v>4594.78</v>
      </c>
      <c r="M403" s="5">
        <v>27488</v>
      </c>
      <c r="N403" s="5">
        <v>743251</v>
      </c>
      <c r="O403" s="5">
        <v>27.72</v>
      </c>
      <c r="P403" s="5">
        <f t="shared" si="35"/>
        <v>3.3999999999999773</v>
      </c>
      <c r="Q403" s="6">
        <f t="shared" si="36"/>
        <v>2.0232073787563087E-2</v>
      </c>
      <c r="R403" s="5">
        <f t="shared" si="37"/>
        <v>7.5999999999999943</v>
      </c>
      <c r="S403" s="6">
        <f t="shared" si="38"/>
        <v>4.5224635525141291E-2</v>
      </c>
      <c r="T403" s="6">
        <f t="shared" si="39"/>
        <v>6.4748730777711855E-4</v>
      </c>
    </row>
    <row r="404" spans="1:20" hidden="1" x14ac:dyDescent="0.25">
      <c r="A404" s="4" t="s">
        <v>418</v>
      </c>
      <c r="B404" s="5" t="s">
        <v>39</v>
      </c>
      <c r="C404" s="5" t="s">
        <v>1823</v>
      </c>
      <c r="D404" s="5">
        <v>0.4</v>
      </c>
      <c r="E404" s="5">
        <v>0.4</v>
      </c>
      <c r="F404" s="5">
        <v>0.4</v>
      </c>
      <c r="G404" s="5">
        <v>0.35</v>
      </c>
      <c r="H404" s="5">
        <v>0.4</v>
      </c>
      <c r="I404" s="5">
        <v>0.4</v>
      </c>
      <c r="J404" s="5">
        <v>0.39</v>
      </c>
      <c r="K404" s="5">
        <v>1873</v>
      </c>
      <c r="L404" s="5">
        <v>0.01</v>
      </c>
      <c r="M404" s="5">
        <v>18</v>
      </c>
      <c r="N404" s="5" t="s">
        <v>25</v>
      </c>
      <c r="O404" s="5" t="s">
        <v>25</v>
      </c>
      <c r="P404" s="5">
        <f t="shared" si="35"/>
        <v>0</v>
      </c>
      <c r="Q404" s="6">
        <f t="shared" si="36"/>
        <v>0</v>
      </c>
      <c r="R404" s="5">
        <f t="shared" si="37"/>
        <v>5.0000000000000044E-2</v>
      </c>
      <c r="S404" s="6">
        <f t="shared" si="38"/>
        <v>0.12500000000000011</v>
      </c>
      <c r="T404" s="6">
        <f t="shared" si="39"/>
        <v>2.580645161290325E-2</v>
      </c>
    </row>
    <row r="405" spans="1:20" hidden="1" x14ac:dyDescent="0.25">
      <c r="A405" s="4" t="s">
        <v>419</v>
      </c>
      <c r="B405" s="5" t="s">
        <v>16</v>
      </c>
      <c r="C405" s="5" t="s">
        <v>1823</v>
      </c>
      <c r="D405" s="5">
        <v>50.3</v>
      </c>
      <c r="E405" s="5">
        <v>48.15</v>
      </c>
      <c r="F405" s="5">
        <v>49.95</v>
      </c>
      <c r="G405" s="5">
        <v>47.55</v>
      </c>
      <c r="H405" s="5">
        <v>47.65</v>
      </c>
      <c r="I405" s="5">
        <v>47.7</v>
      </c>
      <c r="J405" s="5">
        <v>48.62</v>
      </c>
      <c r="K405" s="5">
        <v>45151</v>
      </c>
      <c r="L405" s="5">
        <v>21.95</v>
      </c>
      <c r="M405" s="5">
        <v>1080</v>
      </c>
      <c r="N405" s="5">
        <v>33733</v>
      </c>
      <c r="O405" s="5">
        <v>74.709999999999994</v>
      </c>
      <c r="P405" s="5">
        <f t="shared" si="35"/>
        <v>-2.5999999999999943</v>
      </c>
      <c r="Q405" s="6">
        <f t="shared" si="36"/>
        <v>-5.1689860834989949E-2</v>
      </c>
      <c r="R405" s="5">
        <f t="shared" si="37"/>
        <v>2.4000000000000057</v>
      </c>
      <c r="S405" s="6">
        <f t="shared" si="38"/>
        <v>4.7713717693837095E-2</v>
      </c>
      <c r="T405" s="6">
        <f t="shared" si="39"/>
        <v>-1.9032841996379515E-2</v>
      </c>
    </row>
    <row r="406" spans="1:20" hidden="1" x14ac:dyDescent="0.25">
      <c r="A406" s="4" t="s">
        <v>420</v>
      </c>
      <c r="B406" s="5" t="s">
        <v>16</v>
      </c>
      <c r="C406" s="5" t="s">
        <v>1823</v>
      </c>
      <c r="D406" s="5">
        <v>199.75</v>
      </c>
      <c r="E406" s="5">
        <v>200</v>
      </c>
      <c r="F406" s="5">
        <v>224.7</v>
      </c>
      <c r="G406" s="5">
        <v>199.05</v>
      </c>
      <c r="H406" s="5">
        <v>213</v>
      </c>
      <c r="I406" s="5">
        <v>213.85</v>
      </c>
      <c r="J406" s="5">
        <v>211.82</v>
      </c>
      <c r="K406" s="5">
        <v>25245</v>
      </c>
      <c r="L406" s="5">
        <v>53.47</v>
      </c>
      <c r="M406" s="5">
        <v>909</v>
      </c>
      <c r="N406" s="5">
        <v>17393</v>
      </c>
      <c r="O406" s="5">
        <v>68.900000000000006</v>
      </c>
      <c r="P406" s="5">
        <f t="shared" si="35"/>
        <v>14.099999999999994</v>
      </c>
      <c r="Q406" s="6">
        <f t="shared" si="36"/>
        <v>7.0588235294117618E-2</v>
      </c>
      <c r="R406" s="5">
        <f t="shared" si="37"/>
        <v>25.649999999999977</v>
      </c>
      <c r="S406" s="6">
        <f t="shared" si="38"/>
        <v>0.12841051314142668</v>
      </c>
      <c r="T406" s="6">
        <f t="shared" si="39"/>
        <v>9.6943648519579803E-3</v>
      </c>
    </row>
    <row r="407" spans="1:20" hidden="1" x14ac:dyDescent="0.25">
      <c r="A407" s="4" t="s">
        <v>421</v>
      </c>
      <c r="B407" s="5" t="s">
        <v>24</v>
      </c>
      <c r="C407" s="5" t="s">
        <v>1823</v>
      </c>
      <c r="D407" s="5">
        <v>16.649999999999999</v>
      </c>
      <c r="E407" s="5">
        <v>16.600000000000001</v>
      </c>
      <c r="F407" s="5">
        <v>16.600000000000001</v>
      </c>
      <c r="G407" s="5">
        <v>15.85</v>
      </c>
      <c r="H407" s="5">
        <v>15.85</v>
      </c>
      <c r="I407" s="5">
        <v>15.85</v>
      </c>
      <c r="J407" s="5">
        <v>15.85</v>
      </c>
      <c r="K407" s="5">
        <v>1770</v>
      </c>
      <c r="L407" s="5">
        <v>0.28000000000000003</v>
      </c>
      <c r="M407" s="5">
        <v>18</v>
      </c>
      <c r="N407" s="5" t="s">
        <v>25</v>
      </c>
      <c r="O407" s="5" t="s">
        <v>25</v>
      </c>
      <c r="P407" s="5">
        <f t="shared" si="35"/>
        <v>-0.79999999999999893</v>
      </c>
      <c r="Q407" s="6">
        <f t="shared" si="36"/>
        <v>-4.8048048048047985E-2</v>
      </c>
      <c r="R407" s="5">
        <f t="shared" si="37"/>
        <v>0.75000000000000178</v>
      </c>
      <c r="S407" s="6">
        <f t="shared" si="38"/>
        <v>4.5045045045045154E-2</v>
      </c>
      <c r="T407" s="6">
        <f t="shared" si="39"/>
        <v>0</v>
      </c>
    </row>
    <row r="408" spans="1:20" hidden="1" x14ac:dyDescent="0.25">
      <c r="A408" s="4" t="s">
        <v>422</v>
      </c>
      <c r="B408" s="5" t="s">
        <v>16</v>
      </c>
      <c r="C408" s="5" t="s">
        <v>1823</v>
      </c>
      <c r="D408" s="5">
        <v>31.75</v>
      </c>
      <c r="E408" s="5">
        <v>31.3</v>
      </c>
      <c r="F408" s="5">
        <v>31.55</v>
      </c>
      <c r="G408" s="5">
        <v>30.1</v>
      </c>
      <c r="H408" s="5">
        <v>31.3</v>
      </c>
      <c r="I408" s="5">
        <v>31.1</v>
      </c>
      <c r="J408" s="5">
        <v>30.7</v>
      </c>
      <c r="K408" s="5">
        <v>13382</v>
      </c>
      <c r="L408" s="5">
        <v>4.1100000000000003</v>
      </c>
      <c r="M408" s="5">
        <v>253</v>
      </c>
      <c r="N408" s="5">
        <v>7778</v>
      </c>
      <c r="O408" s="5">
        <v>58.12</v>
      </c>
      <c r="P408" s="5">
        <f t="shared" si="35"/>
        <v>-0.64999999999999858</v>
      </c>
      <c r="Q408" s="6">
        <f t="shared" si="36"/>
        <v>-2.0472440944881844E-2</v>
      </c>
      <c r="R408" s="5">
        <f t="shared" si="37"/>
        <v>1.4499999999999993</v>
      </c>
      <c r="S408" s="6">
        <f t="shared" si="38"/>
        <v>4.5669291338582656E-2</v>
      </c>
      <c r="T408" s="6">
        <f t="shared" si="39"/>
        <v>1.2898024989923486E-2</v>
      </c>
    </row>
    <row r="409" spans="1:20" hidden="1" x14ac:dyDescent="0.25">
      <c r="A409" s="4" t="s">
        <v>423</v>
      </c>
      <c r="B409" s="5" t="s">
        <v>28</v>
      </c>
      <c r="C409" s="5" t="s">
        <v>1823</v>
      </c>
      <c r="D409" s="5">
        <v>43.5</v>
      </c>
      <c r="E409" s="5">
        <v>44</v>
      </c>
      <c r="F409" s="5">
        <v>44.75</v>
      </c>
      <c r="G409" s="5">
        <v>44</v>
      </c>
      <c r="H409" s="5">
        <v>44.75</v>
      </c>
      <c r="I409" s="5">
        <v>44.75</v>
      </c>
      <c r="J409" s="5">
        <v>44.38</v>
      </c>
      <c r="K409" s="5">
        <v>8000</v>
      </c>
      <c r="L409" s="5">
        <v>3.55</v>
      </c>
      <c r="M409" s="5">
        <v>2</v>
      </c>
      <c r="N409" s="5">
        <v>8000</v>
      </c>
      <c r="O409" s="5">
        <v>100</v>
      </c>
      <c r="P409" s="5">
        <f t="shared" si="35"/>
        <v>1.25</v>
      </c>
      <c r="Q409" s="6">
        <f t="shared" si="36"/>
        <v>2.8735632183908046E-2</v>
      </c>
      <c r="R409" s="5">
        <f t="shared" si="37"/>
        <v>0.75</v>
      </c>
      <c r="S409" s="6">
        <f t="shared" si="38"/>
        <v>1.7241379310344827E-2</v>
      </c>
      <c r="T409" s="6">
        <f t="shared" si="39"/>
        <v>8.3380281690140275E-3</v>
      </c>
    </row>
    <row r="410" spans="1:20" hidden="1" x14ac:dyDescent="0.25">
      <c r="A410" s="4" t="s">
        <v>424</v>
      </c>
      <c r="B410" s="5" t="s">
        <v>16</v>
      </c>
      <c r="C410" s="5" t="s">
        <v>1823</v>
      </c>
      <c r="D410" s="5">
        <v>10.5</v>
      </c>
      <c r="E410" s="5">
        <v>11</v>
      </c>
      <c r="F410" s="5">
        <v>11</v>
      </c>
      <c r="G410" s="5">
        <v>10</v>
      </c>
      <c r="H410" s="5">
        <v>10</v>
      </c>
      <c r="I410" s="5">
        <v>10</v>
      </c>
      <c r="J410" s="5">
        <v>10.19</v>
      </c>
      <c r="K410" s="5">
        <v>30738</v>
      </c>
      <c r="L410" s="5">
        <v>3.13</v>
      </c>
      <c r="M410" s="5">
        <v>93</v>
      </c>
      <c r="N410" s="5">
        <v>27703</v>
      </c>
      <c r="O410" s="5">
        <v>90.13</v>
      </c>
      <c r="P410" s="5">
        <f t="shared" si="35"/>
        <v>-0.5</v>
      </c>
      <c r="Q410" s="6">
        <f t="shared" si="36"/>
        <v>-4.7619047619047616E-2</v>
      </c>
      <c r="R410" s="5">
        <f t="shared" si="37"/>
        <v>1</v>
      </c>
      <c r="S410" s="6">
        <f t="shared" si="38"/>
        <v>9.5238095238095233E-2</v>
      </c>
      <c r="T410" s="6">
        <f t="shared" si="39"/>
        <v>-1.8095238095238046E-2</v>
      </c>
    </row>
    <row r="411" spans="1:20" hidden="1" x14ac:dyDescent="0.25">
      <c r="A411" s="4" t="s">
        <v>1831</v>
      </c>
      <c r="B411" s="5" t="s">
        <v>28</v>
      </c>
      <c r="C411" s="5" t="s">
        <v>1823</v>
      </c>
      <c r="D411" s="5">
        <v>61</v>
      </c>
      <c r="E411" s="5">
        <v>63.9</v>
      </c>
      <c r="F411" s="5">
        <v>63.9</v>
      </c>
      <c r="G411" s="5">
        <v>63.9</v>
      </c>
      <c r="H411" s="5">
        <v>63.9</v>
      </c>
      <c r="I411" s="5">
        <v>63.9</v>
      </c>
      <c r="J411" s="5">
        <v>63.9</v>
      </c>
      <c r="K411" s="5">
        <v>1600</v>
      </c>
      <c r="L411" s="5">
        <v>1.02</v>
      </c>
      <c r="M411" s="5">
        <v>1</v>
      </c>
      <c r="N411" s="5">
        <v>1600</v>
      </c>
      <c r="O411" s="5">
        <v>100</v>
      </c>
      <c r="P411" s="5">
        <f t="shared" si="35"/>
        <v>2.8999999999999986</v>
      </c>
      <c r="Q411" s="6">
        <f t="shared" si="36"/>
        <v>4.7540983606557355E-2</v>
      </c>
      <c r="R411" s="5">
        <f t="shared" si="37"/>
        <v>0</v>
      </c>
      <c r="S411" s="6">
        <f t="shared" si="38"/>
        <v>0</v>
      </c>
      <c r="T411" s="6">
        <f t="shared" si="39"/>
        <v>0</v>
      </c>
    </row>
    <row r="412" spans="1:20" hidden="1" x14ac:dyDescent="0.25">
      <c r="A412" s="4" t="s">
        <v>425</v>
      </c>
      <c r="B412" s="5" t="s">
        <v>39</v>
      </c>
      <c r="C412" s="5" t="s">
        <v>1823</v>
      </c>
      <c r="D412" s="5">
        <v>2.85</v>
      </c>
      <c r="E412" s="5">
        <v>2.8</v>
      </c>
      <c r="F412" s="5">
        <v>2.95</v>
      </c>
      <c r="G412" s="5">
        <v>2.8</v>
      </c>
      <c r="H412" s="5">
        <v>2.85</v>
      </c>
      <c r="I412" s="5">
        <v>2.85</v>
      </c>
      <c r="J412" s="5">
        <v>2.81</v>
      </c>
      <c r="K412" s="5">
        <v>6297</v>
      </c>
      <c r="L412" s="5">
        <v>0.18</v>
      </c>
      <c r="M412" s="5">
        <v>10</v>
      </c>
      <c r="N412" s="5" t="s">
        <v>25</v>
      </c>
      <c r="O412" s="5" t="s">
        <v>25</v>
      </c>
      <c r="P412" s="5">
        <f t="shared" si="35"/>
        <v>0</v>
      </c>
      <c r="Q412" s="6">
        <f t="shared" si="36"/>
        <v>0</v>
      </c>
      <c r="R412" s="5">
        <f t="shared" si="37"/>
        <v>0.15000000000000036</v>
      </c>
      <c r="S412" s="6">
        <f t="shared" si="38"/>
        <v>5.2631578947368543E-2</v>
      </c>
      <c r="T412" s="6">
        <f t="shared" si="39"/>
        <v>1.4035087719298258E-2</v>
      </c>
    </row>
    <row r="413" spans="1:20" x14ac:dyDescent="0.25">
      <c r="A413" s="4" t="s">
        <v>1666</v>
      </c>
      <c r="B413" s="5" t="s">
        <v>16</v>
      </c>
      <c r="C413" s="5" t="s">
        <v>1823</v>
      </c>
      <c r="D413" s="5">
        <v>130.85</v>
      </c>
      <c r="E413" s="5">
        <v>131</v>
      </c>
      <c r="F413" s="5">
        <v>131.80000000000001</v>
      </c>
      <c r="G413" s="5">
        <v>124</v>
      </c>
      <c r="H413" s="5">
        <v>124.4</v>
      </c>
      <c r="I413" s="5">
        <v>125.1</v>
      </c>
      <c r="J413" s="5">
        <v>127.58</v>
      </c>
      <c r="K413" s="5">
        <v>604367</v>
      </c>
      <c r="L413" s="5">
        <v>771.04</v>
      </c>
      <c r="M413" s="5">
        <v>9159</v>
      </c>
      <c r="N413" s="5">
        <v>168167</v>
      </c>
      <c r="O413" s="5">
        <v>27.83</v>
      </c>
      <c r="P413" s="5">
        <f t="shared" si="35"/>
        <v>-5.75</v>
      </c>
      <c r="Q413" s="6">
        <f t="shared" si="36"/>
        <v>-4.3943446694688575E-2</v>
      </c>
      <c r="R413" s="5">
        <f t="shared" si="37"/>
        <v>7.8000000000000114</v>
      </c>
      <c r="S413" s="6">
        <f t="shared" si="38"/>
        <v>5.9610240733664589E-2</v>
      </c>
      <c r="T413" s="6">
        <f t="shared" si="39"/>
        <v>-1.9378784918929512E-2</v>
      </c>
    </row>
    <row r="414" spans="1:20" hidden="1" x14ac:dyDescent="0.25">
      <c r="A414" s="4" t="s">
        <v>427</v>
      </c>
      <c r="B414" s="5" t="s">
        <v>16</v>
      </c>
      <c r="C414" s="5" t="s">
        <v>1823</v>
      </c>
      <c r="D414" s="5">
        <v>2785.25</v>
      </c>
      <c r="E414" s="5">
        <v>2750.15</v>
      </c>
      <c r="F414" s="5">
        <v>2784</v>
      </c>
      <c r="G414" s="5">
        <v>2750.15</v>
      </c>
      <c r="H414" s="5">
        <v>2784</v>
      </c>
      <c r="I414" s="5">
        <v>2773.35</v>
      </c>
      <c r="J414" s="5">
        <v>2766.29</v>
      </c>
      <c r="K414" s="5">
        <v>491430</v>
      </c>
      <c r="L414" s="5">
        <v>13594.38</v>
      </c>
      <c r="M414" s="5">
        <v>24345</v>
      </c>
      <c r="N414" s="5">
        <v>262737</v>
      </c>
      <c r="O414" s="5">
        <v>53.46</v>
      </c>
      <c r="P414" s="5">
        <f t="shared" si="35"/>
        <v>-11.900000000000091</v>
      </c>
      <c r="Q414" s="6">
        <f t="shared" si="36"/>
        <v>-4.2725069562876191E-3</v>
      </c>
      <c r="R414" s="5">
        <f t="shared" si="37"/>
        <v>33.849999999999909</v>
      </c>
      <c r="S414" s="6">
        <f t="shared" si="38"/>
        <v>1.215330760254911E-2</v>
      </c>
      <c r="T414" s="6">
        <f t="shared" si="39"/>
        <v>2.5538880322672343E-3</v>
      </c>
    </row>
    <row r="415" spans="1:20" hidden="1" x14ac:dyDescent="0.25">
      <c r="A415" s="4" t="s">
        <v>428</v>
      </c>
      <c r="B415" s="5" t="s">
        <v>16</v>
      </c>
      <c r="C415" s="5" t="s">
        <v>1823</v>
      </c>
      <c r="D415" s="5">
        <v>27.15</v>
      </c>
      <c r="E415" s="5">
        <v>27.2</v>
      </c>
      <c r="F415" s="5">
        <v>27.9</v>
      </c>
      <c r="G415" s="5">
        <v>26.2</v>
      </c>
      <c r="H415" s="5">
        <v>26.3</v>
      </c>
      <c r="I415" s="5">
        <v>27.05</v>
      </c>
      <c r="J415" s="5">
        <v>27.11</v>
      </c>
      <c r="K415" s="5">
        <v>3270</v>
      </c>
      <c r="L415" s="5">
        <v>0.89</v>
      </c>
      <c r="M415" s="5">
        <v>77</v>
      </c>
      <c r="N415" s="5">
        <v>2921</v>
      </c>
      <c r="O415" s="5">
        <v>89.33</v>
      </c>
      <c r="P415" s="5">
        <f t="shared" si="35"/>
        <v>-9.9999999999997868E-2</v>
      </c>
      <c r="Q415" s="6">
        <f t="shared" si="36"/>
        <v>-3.6832412523019474E-3</v>
      </c>
      <c r="R415" s="5">
        <f t="shared" si="37"/>
        <v>1.6999999999999993</v>
      </c>
      <c r="S415" s="6">
        <f t="shared" si="38"/>
        <v>6.2615101289134417E-2</v>
      </c>
      <c r="T415" s="6">
        <f t="shared" si="39"/>
        <v>-2.2150438394092746E-3</v>
      </c>
    </row>
    <row r="416" spans="1:20" hidden="1" x14ac:dyDescent="0.25">
      <c r="A416" s="4" t="s">
        <v>429</v>
      </c>
      <c r="B416" s="5" t="s">
        <v>16</v>
      </c>
      <c r="C416" s="5" t="s">
        <v>1823</v>
      </c>
      <c r="D416" s="5">
        <v>170.05</v>
      </c>
      <c r="E416" s="5">
        <v>170.1</v>
      </c>
      <c r="F416" s="5">
        <v>174</v>
      </c>
      <c r="G416" s="5">
        <v>163.05000000000001</v>
      </c>
      <c r="H416" s="5">
        <v>165.85</v>
      </c>
      <c r="I416" s="5">
        <v>166.55</v>
      </c>
      <c r="J416" s="5">
        <v>166.9</v>
      </c>
      <c r="K416" s="5">
        <v>2451</v>
      </c>
      <c r="L416" s="5">
        <v>4.09</v>
      </c>
      <c r="M416" s="5">
        <v>127</v>
      </c>
      <c r="N416" s="5">
        <v>2120</v>
      </c>
      <c r="O416" s="5">
        <v>86.5</v>
      </c>
      <c r="P416" s="5">
        <f t="shared" si="35"/>
        <v>-3.5</v>
      </c>
      <c r="Q416" s="6">
        <f t="shared" si="36"/>
        <v>-2.0582181711261392E-2</v>
      </c>
      <c r="R416" s="5">
        <f t="shared" si="37"/>
        <v>10.949999999999989</v>
      </c>
      <c r="S416" s="6">
        <f t="shared" si="38"/>
        <v>6.4392825639517717E-2</v>
      </c>
      <c r="T416" s="6">
        <f t="shared" si="39"/>
        <v>-2.0780762950867999E-3</v>
      </c>
    </row>
    <row r="417" spans="1:20" hidden="1" x14ac:dyDescent="0.25">
      <c r="A417" s="4" t="s">
        <v>430</v>
      </c>
      <c r="B417" s="5" t="s">
        <v>16</v>
      </c>
      <c r="C417" s="5" t="s">
        <v>1823</v>
      </c>
      <c r="D417" s="5">
        <v>6.15</v>
      </c>
      <c r="E417" s="5">
        <v>6</v>
      </c>
      <c r="F417" s="5">
        <v>6.4</v>
      </c>
      <c r="G417" s="5">
        <v>5.85</v>
      </c>
      <c r="H417" s="5">
        <v>6.05</v>
      </c>
      <c r="I417" s="5">
        <v>5.95</v>
      </c>
      <c r="J417" s="5">
        <v>6.01</v>
      </c>
      <c r="K417" s="5">
        <v>102596</v>
      </c>
      <c r="L417" s="5">
        <v>6.16</v>
      </c>
      <c r="M417" s="5">
        <v>225</v>
      </c>
      <c r="N417" s="5">
        <v>73691</v>
      </c>
      <c r="O417" s="5">
        <v>71.83</v>
      </c>
      <c r="P417" s="5">
        <f t="shared" si="35"/>
        <v>-0.20000000000000018</v>
      </c>
      <c r="Q417" s="6">
        <f t="shared" si="36"/>
        <v>-3.2520325203252057E-2</v>
      </c>
      <c r="R417" s="5">
        <f t="shared" si="37"/>
        <v>0.55000000000000071</v>
      </c>
      <c r="S417" s="6">
        <f t="shared" si="38"/>
        <v>8.9430894308943201E-2</v>
      </c>
      <c r="T417" s="6">
        <f t="shared" si="39"/>
        <v>-9.9173553719007629E-3</v>
      </c>
    </row>
    <row r="418" spans="1:20" hidden="1" x14ac:dyDescent="0.25">
      <c r="A418" s="4" t="s">
        <v>431</v>
      </c>
      <c r="B418" s="5" t="s">
        <v>16</v>
      </c>
      <c r="C418" s="5" t="s">
        <v>1823</v>
      </c>
      <c r="D418" s="5">
        <v>73.25</v>
      </c>
      <c r="E418" s="5">
        <v>72.5</v>
      </c>
      <c r="F418" s="5">
        <v>74.599999999999994</v>
      </c>
      <c r="G418" s="5">
        <v>68.5</v>
      </c>
      <c r="H418" s="5">
        <v>68.55</v>
      </c>
      <c r="I418" s="5">
        <v>69.099999999999994</v>
      </c>
      <c r="J418" s="5">
        <v>69.900000000000006</v>
      </c>
      <c r="K418" s="5">
        <v>9689</v>
      </c>
      <c r="L418" s="5">
        <v>6.77</v>
      </c>
      <c r="M418" s="5">
        <v>295</v>
      </c>
      <c r="N418" s="5">
        <v>7601</v>
      </c>
      <c r="O418" s="5">
        <v>78.45</v>
      </c>
      <c r="P418" s="5">
        <f t="shared" si="35"/>
        <v>-4.1500000000000057</v>
      </c>
      <c r="Q418" s="6">
        <f t="shared" si="36"/>
        <v>-5.6655290102389157E-2</v>
      </c>
      <c r="R418" s="5">
        <f t="shared" si="37"/>
        <v>6.0999999999999943</v>
      </c>
      <c r="S418" s="6">
        <f t="shared" si="38"/>
        <v>8.3276450511945321E-2</v>
      </c>
      <c r="T418" s="6">
        <f t="shared" si="39"/>
        <v>-1.1239901650860714E-2</v>
      </c>
    </row>
    <row r="419" spans="1:20" x14ac:dyDescent="0.25">
      <c r="A419" s="4" t="s">
        <v>1686</v>
      </c>
      <c r="B419" s="5" t="s">
        <v>16</v>
      </c>
      <c r="C419" s="5" t="s">
        <v>1823</v>
      </c>
      <c r="D419" s="5">
        <v>60.65</v>
      </c>
      <c r="E419" s="5">
        <v>60.55</v>
      </c>
      <c r="F419" s="5">
        <v>64.8</v>
      </c>
      <c r="G419" s="5">
        <v>60.05</v>
      </c>
      <c r="H419" s="5">
        <v>62.5</v>
      </c>
      <c r="I419" s="5">
        <v>63</v>
      </c>
      <c r="J419" s="5">
        <v>63.13</v>
      </c>
      <c r="K419" s="5">
        <v>1132452</v>
      </c>
      <c r="L419" s="5">
        <v>714.96</v>
      </c>
      <c r="M419" s="5">
        <v>6714</v>
      </c>
      <c r="N419" s="5">
        <v>317067</v>
      </c>
      <c r="O419" s="5">
        <v>28</v>
      </c>
      <c r="P419" s="5">
        <f t="shared" si="35"/>
        <v>2.3500000000000014</v>
      </c>
      <c r="Q419" s="6">
        <f t="shared" si="36"/>
        <v>3.8746908491343802E-2</v>
      </c>
      <c r="R419" s="5">
        <f t="shared" si="37"/>
        <v>4.75</v>
      </c>
      <c r="S419" s="6">
        <f t="shared" si="38"/>
        <v>7.8318219291014013E-2</v>
      </c>
      <c r="T419" s="6">
        <f t="shared" si="39"/>
        <v>-2.0933977455717002E-3</v>
      </c>
    </row>
    <row r="420" spans="1:20" hidden="1" x14ac:dyDescent="0.25">
      <c r="A420" s="4" t="s">
        <v>433</v>
      </c>
      <c r="B420" s="5" t="s">
        <v>16</v>
      </c>
      <c r="C420" s="5" t="s">
        <v>1823</v>
      </c>
      <c r="D420" s="5">
        <v>1318</v>
      </c>
      <c r="E420" s="5">
        <v>1318</v>
      </c>
      <c r="F420" s="5">
        <v>1334.1</v>
      </c>
      <c r="G420" s="5">
        <v>1251</v>
      </c>
      <c r="H420" s="5">
        <v>1295.95</v>
      </c>
      <c r="I420" s="5">
        <v>1290.4000000000001</v>
      </c>
      <c r="J420" s="5">
        <v>1318.58</v>
      </c>
      <c r="K420" s="5">
        <v>2100</v>
      </c>
      <c r="L420" s="5">
        <v>27.69</v>
      </c>
      <c r="M420" s="5">
        <v>429</v>
      </c>
      <c r="N420" s="5">
        <v>228</v>
      </c>
      <c r="O420" s="5">
        <v>10.86</v>
      </c>
      <c r="P420" s="5">
        <f t="shared" si="35"/>
        <v>-27.599999999999909</v>
      </c>
      <c r="Q420" s="6">
        <f t="shared" si="36"/>
        <v>-2.0940819423368673E-2</v>
      </c>
      <c r="R420" s="5">
        <f t="shared" si="37"/>
        <v>83.099999999999909</v>
      </c>
      <c r="S420" s="6">
        <f t="shared" si="38"/>
        <v>6.305007587253407E-2</v>
      </c>
      <c r="T420" s="6">
        <f t="shared" si="39"/>
        <v>-2.170405314335214E-2</v>
      </c>
    </row>
    <row r="421" spans="1:20" hidden="1" x14ac:dyDescent="0.25">
      <c r="A421" s="4" t="s">
        <v>434</v>
      </c>
      <c r="B421" s="5" t="s">
        <v>16</v>
      </c>
      <c r="C421" s="5" t="s">
        <v>1823</v>
      </c>
      <c r="D421" s="5">
        <v>127.2</v>
      </c>
      <c r="E421" s="5">
        <v>127.2</v>
      </c>
      <c r="F421" s="5">
        <v>127.2</v>
      </c>
      <c r="G421" s="5">
        <v>121.65</v>
      </c>
      <c r="H421" s="5">
        <v>122.5</v>
      </c>
      <c r="I421" s="5">
        <v>123.9</v>
      </c>
      <c r="J421" s="5">
        <v>123.32</v>
      </c>
      <c r="K421" s="5">
        <v>4452</v>
      </c>
      <c r="L421" s="5">
        <v>5.49</v>
      </c>
      <c r="M421" s="5">
        <v>246</v>
      </c>
      <c r="N421" s="5">
        <v>2497</v>
      </c>
      <c r="O421" s="5">
        <v>56.09</v>
      </c>
      <c r="P421" s="5">
        <f t="shared" si="35"/>
        <v>-3.2999999999999972</v>
      </c>
      <c r="Q421" s="6">
        <f t="shared" si="36"/>
        <v>-2.5943396226415071E-2</v>
      </c>
      <c r="R421" s="5">
        <f t="shared" si="37"/>
        <v>5.5499999999999972</v>
      </c>
      <c r="S421" s="6">
        <f t="shared" si="38"/>
        <v>4.363207547169809E-2</v>
      </c>
      <c r="T421" s="6">
        <f t="shared" si="39"/>
        <v>4.6404640464047398E-3</v>
      </c>
    </row>
    <row r="422" spans="1:20" hidden="1" x14ac:dyDescent="0.25">
      <c r="A422" s="4" t="s">
        <v>435</v>
      </c>
      <c r="B422" s="5" t="s">
        <v>39</v>
      </c>
      <c r="C422" s="5" t="s">
        <v>1823</v>
      </c>
      <c r="D422" s="5">
        <v>0.75</v>
      </c>
      <c r="E422" s="5">
        <v>0.75</v>
      </c>
      <c r="F422" s="5">
        <v>0.75</v>
      </c>
      <c r="G422" s="5">
        <v>0.7</v>
      </c>
      <c r="H422" s="5">
        <v>0.7</v>
      </c>
      <c r="I422" s="5">
        <v>0.7</v>
      </c>
      <c r="J422" s="5">
        <v>0.73</v>
      </c>
      <c r="K422" s="5">
        <v>2475</v>
      </c>
      <c r="L422" s="5">
        <v>0.02</v>
      </c>
      <c r="M422" s="5">
        <v>5</v>
      </c>
      <c r="N422" s="5" t="s">
        <v>25</v>
      </c>
      <c r="O422" s="5" t="s">
        <v>25</v>
      </c>
      <c r="P422" s="5">
        <f t="shared" si="35"/>
        <v>-5.0000000000000044E-2</v>
      </c>
      <c r="Q422" s="6">
        <f t="shared" si="36"/>
        <v>-6.6666666666666721E-2</v>
      </c>
      <c r="R422" s="5">
        <f t="shared" si="37"/>
        <v>5.0000000000000044E-2</v>
      </c>
      <c r="S422" s="6">
        <f t="shared" si="38"/>
        <v>6.6666666666666721E-2</v>
      </c>
      <c r="T422" s="6">
        <f t="shared" si="39"/>
        <v>-4.137931034482762E-2</v>
      </c>
    </row>
    <row r="423" spans="1:20" hidden="1" x14ac:dyDescent="0.25">
      <c r="A423" s="4" t="s">
        <v>436</v>
      </c>
      <c r="B423" s="5" t="s">
        <v>24</v>
      </c>
      <c r="C423" s="5" t="s">
        <v>1823</v>
      </c>
      <c r="D423" s="5">
        <v>4.1500000000000004</v>
      </c>
      <c r="E423" s="5">
        <v>4.1500000000000004</v>
      </c>
      <c r="F423" s="5">
        <v>4.1500000000000004</v>
      </c>
      <c r="G423" s="5">
        <v>3.95</v>
      </c>
      <c r="H423" s="5">
        <v>3.95</v>
      </c>
      <c r="I423" s="5">
        <v>3.95</v>
      </c>
      <c r="J423" s="5">
        <v>4.03</v>
      </c>
      <c r="K423" s="5">
        <v>2860</v>
      </c>
      <c r="L423" s="5">
        <v>0.12</v>
      </c>
      <c r="M423" s="5">
        <v>16</v>
      </c>
      <c r="N423" s="5" t="s">
        <v>25</v>
      </c>
      <c r="O423" s="5" t="s">
        <v>25</v>
      </c>
      <c r="P423" s="5">
        <f t="shared" si="35"/>
        <v>-0.20000000000000018</v>
      </c>
      <c r="Q423" s="6">
        <f t="shared" si="36"/>
        <v>-4.8192771084337387E-2</v>
      </c>
      <c r="R423" s="5">
        <f t="shared" si="37"/>
        <v>0.20000000000000018</v>
      </c>
      <c r="S423" s="6">
        <f t="shared" si="38"/>
        <v>4.8192771084337387E-2</v>
      </c>
      <c r="T423" s="6">
        <f t="shared" si="39"/>
        <v>-1.9753086419753103E-2</v>
      </c>
    </row>
    <row r="424" spans="1:20" hidden="1" x14ac:dyDescent="0.25">
      <c r="A424" s="4" t="s">
        <v>1832</v>
      </c>
      <c r="B424" s="5" t="s">
        <v>16</v>
      </c>
      <c r="C424" s="5" t="s">
        <v>1823</v>
      </c>
      <c r="D424" s="5">
        <v>3271</v>
      </c>
      <c r="E424" s="5">
        <v>3280.04</v>
      </c>
      <c r="F424" s="5">
        <v>3295</v>
      </c>
      <c r="G424" s="5">
        <v>3275</v>
      </c>
      <c r="H424" s="5">
        <v>3275</v>
      </c>
      <c r="I424" s="5">
        <v>3283.88</v>
      </c>
      <c r="J424" s="5">
        <v>3284.09</v>
      </c>
      <c r="K424" s="5">
        <v>11</v>
      </c>
      <c r="L424" s="5">
        <v>0.36</v>
      </c>
      <c r="M424" s="5">
        <v>4</v>
      </c>
      <c r="N424" s="5">
        <v>5</v>
      </c>
      <c r="O424" s="5">
        <v>45.45</v>
      </c>
      <c r="P424" s="5">
        <f t="shared" si="35"/>
        <v>12.880000000000109</v>
      </c>
      <c r="Q424" s="6">
        <f t="shared" si="36"/>
        <v>3.9376337511464717E-3</v>
      </c>
      <c r="R424" s="5">
        <f t="shared" si="37"/>
        <v>20</v>
      </c>
      <c r="S424" s="6">
        <f t="shared" si="38"/>
        <v>6.1143381228981964E-3</v>
      </c>
      <c r="T424" s="6">
        <f t="shared" si="39"/>
        <v>-6.3956533921338438E-5</v>
      </c>
    </row>
    <row r="425" spans="1:20" hidden="1" x14ac:dyDescent="0.25">
      <c r="A425" s="4" t="s">
        <v>437</v>
      </c>
      <c r="B425" s="5" t="s">
        <v>16</v>
      </c>
      <c r="C425" s="5" t="s">
        <v>1823</v>
      </c>
      <c r="D425" s="5">
        <v>455.1</v>
      </c>
      <c r="E425" s="5">
        <v>459.9</v>
      </c>
      <c r="F425" s="5">
        <v>465</v>
      </c>
      <c r="G425" s="5">
        <v>440</v>
      </c>
      <c r="H425" s="5">
        <v>440.05</v>
      </c>
      <c r="I425" s="5">
        <v>444.1</v>
      </c>
      <c r="J425" s="5">
        <v>451.43</v>
      </c>
      <c r="K425" s="5">
        <v>35510</v>
      </c>
      <c r="L425" s="5">
        <v>160.30000000000001</v>
      </c>
      <c r="M425" s="5">
        <v>4033</v>
      </c>
      <c r="N425" s="5">
        <v>22729</v>
      </c>
      <c r="O425" s="5">
        <v>64.010000000000005</v>
      </c>
      <c r="P425" s="5">
        <f t="shared" si="35"/>
        <v>-11</v>
      </c>
      <c r="Q425" s="6">
        <f t="shared" si="36"/>
        <v>-2.4170511975390024E-2</v>
      </c>
      <c r="R425" s="5">
        <f t="shared" si="37"/>
        <v>25</v>
      </c>
      <c r="S425" s="6">
        <f t="shared" si="38"/>
        <v>5.4932981762250054E-2</v>
      </c>
      <c r="T425" s="6">
        <f t="shared" si="39"/>
        <v>-1.6207849640685425E-2</v>
      </c>
    </row>
    <row r="426" spans="1:20" hidden="1" x14ac:dyDescent="0.25">
      <c r="A426" s="4" t="s">
        <v>438</v>
      </c>
      <c r="B426" s="5" t="s">
        <v>439</v>
      </c>
      <c r="C426" s="5" t="s">
        <v>1823</v>
      </c>
      <c r="D426" s="5">
        <v>985</v>
      </c>
      <c r="E426" s="5">
        <v>994.95</v>
      </c>
      <c r="F426" s="5">
        <v>994.95</v>
      </c>
      <c r="G426" s="5">
        <v>983.1</v>
      </c>
      <c r="H426" s="5">
        <v>984</v>
      </c>
      <c r="I426" s="5">
        <v>984.97</v>
      </c>
      <c r="J426" s="5">
        <v>985.11</v>
      </c>
      <c r="K426" s="5">
        <v>689</v>
      </c>
      <c r="L426" s="5">
        <v>6.79</v>
      </c>
      <c r="M426" s="5">
        <v>39</v>
      </c>
      <c r="N426" s="5">
        <v>639</v>
      </c>
      <c r="O426" s="5">
        <v>92.74</v>
      </c>
      <c r="P426" s="5">
        <f t="shared" si="35"/>
        <v>-2.9999999999972715E-2</v>
      </c>
      <c r="Q426" s="6">
        <f t="shared" si="36"/>
        <v>-3.0456852791850474E-5</v>
      </c>
      <c r="R426" s="5">
        <f t="shared" si="37"/>
        <v>11.850000000000023</v>
      </c>
      <c r="S426" s="6">
        <f t="shared" si="38"/>
        <v>1.2030456852791901E-2</v>
      </c>
      <c r="T426" s="6">
        <f t="shared" si="39"/>
        <v>-1.4148667119759508E-4</v>
      </c>
    </row>
    <row r="427" spans="1:20" hidden="1" x14ac:dyDescent="0.25">
      <c r="A427" s="4" t="s">
        <v>438</v>
      </c>
      <c r="B427" s="5" t="s">
        <v>441</v>
      </c>
      <c r="C427" s="5" t="s">
        <v>1823</v>
      </c>
      <c r="D427" s="5">
        <v>999.93</v>
      </c>
      <c r="E427" s="5">
        <v>995.99</v>
      </c>
      <c r="F427" s="5">
        <v>995.99</v>
      </c>
      <c r="G427" s="5">
        <v>995.99</v>
      </c>
      <c r="H427" s="5">
        <v>995.99</v>
      </c>
      <c r="I427" s="5">
        <v>995.99</v>
      </c>
      <c r="J427" s="5">
        <v>995.99</v>
      </c>
      <c r="K427" s="5">
        <v>20</v>
      </c>
      <c r="L427" s="5">
        <v>0.2</v>
      </c>
      <c r="M427" s="5">
        <v>1</v>
      </c>
      <c r="N427" s="5">
        <v>20</v>
      </c>
      <c r="O427" s="5">
        <v>100</v>
      </c>
      <c r="P427" s="5">
        <f t="shared" si="35"/>
        <v>-3.9399999999999409</v>
      </c>
      <c r="Q427" s="6">
        <f t="shared" si="36"/>
        <v>-3.9402758193072922E-3</v>
      </c>
      <c r="R427" s="5">
        <f t="shared" si="37"/>
        <v>0</v>
      </c>
      <c r="S427" s="6">
        <f t="shared" si="38"/>
        <v>0</v>
      </c>
      <c r="T427" s="6">
        <f t="shared" si="39"/>
        <v>0</v>
      </c>
    </row>
    <row r="428" spans="1:20" hidden="1" x14ac:dyDescent="0.25">
      <c r="A428" s="4" t="s">
        <v>438</v>
      </c>
      <c r="B428" s="5" t="s">
        <v>399</v>
      </c>
      <c r="C428" s="5" t="s">
        <v>1823</v>
      </c>
      <c r="D428" s="5">
        <v>917.05</v>
      </c>
      <c r="E428" s="5">
        <v>930</v>
      </c>
      <c r="F428" s="5">
        <v>930</v>
      </c>
      <c r="G428" s="5">
        <v>900</v>
      </c>
      <c r="H428" s="5">
        <v>901</v>
      </c>
      <c r="I428" s="5">
        <v>901</v>
      </c>
      <c r="J428" s="5">
        <v>920.97</v>
      </c>
      <c r="K428" s="5">
        <v>144</v>
      </c>
      <c r="L428" s="5">
        <v>1.33</v>
      </c>
      <c r="M428" s="5">
        <v>4</v>
      </c>
      <c r="N428" s="5">
        <v>144</v>
      </c>
      <c r="O428" s="5">
        <v>100</v>
      </c>
      <c r="P428" s="5">
        <f t="shared" si="35"/>
        <v>-16.049999999999955</v>
      </c>
      <c r="Q428" s="6">
        <f t="shared" si="36"/>
        <v>-1.7501771986260243E-2</v>
      </c>
      <c r="R428" s="5">
        <f t="shared" si="37"/>
        <v>30</v>
      </c>
      <c r="S428" s="6">
        <f t="shared" si="38"/>
        <v>3.271359249768279E-2</v>
      </c>
      <c r="T428" s="6">
        <f t="shared" si="39"/>
        <v>-2.1819175088773589E-2</v>
      </c>
    </row>
    <row r="429" spans="1:20" hidden="1" x14ac:dyDescent="0.25">
      <c r="A429" s="4" t="s">
        <v>438</v>
      </c>
      <c r="B429" s="5" t="s">
        <v>442</v>
      </c>
      <c r="C429" s="5" t="s">
        <v>1823</v>
      </c>
      <c r="D429" s="5">
        <v>875</v>
      </c>
      <c r="E429" s="5">
        <v>852</v>
      </c>
      <c r="F429" s="5">
        <v>852</v>
      </c>
      <c r="G429" s="5">
        <v>852</v>
      </c>
      <c r="H429" s="5">
        <v>852</v>
      </c>
      <c r="I429" s="5">
        <v>852</v>
      </c>
      <c r="J429" s="5">
        <v>852</v>
      </c>
      <c r="K429" s="5">
        <v>65</v>
      </c>
      <c r="L429" s="5">
        <v>0.55000000000000004</v>
      </c>
      <c r="M429" s="5">
        <v>2</v>
      </c>
      <c r="N429" s="5">
        <v>65</v>
      </c>
      <c r="O429" s="5">
        <v>100</v>
      </c>
      <c r="P429" s="5">
        <f t="shared" si="35"/>
        <v>-23</v>
      </c>
      <c r="Q429" s="6">
        <f t="shared" si="36"/>
        <v>-2.6285714285714287E-2</v>
      </c>
      <c r="R429" s="5">
        <f t="shared" si="37"/>
        <v>0</v>
      </c>
      <c r="S429" s="6">
        <f t="shared" si="38"/>
        <v>0</v>
      </c>
      <c r="T429" s="6">
        <f t="shared" si="39"/>
        <v>0</v>
      </c>
    </row>
    <row r="430" spans="1:20" hidden="1" x14ac:dyDescent="0.25">
      <c r="A430" s="4" t="s">
        <v>438</v>
      </c>
      <c r="B430" s="5" t="s">
        <v>443</v>
      </c>
      <c r="C430" s="5" t="s">
        <v>1823</v>
      </c>
      <c r="D430" s="5">
        <v>832.14</v>
      </c>
      <c r="E430" s="5">
        <v>833.15</v>
      </c>
      <c r="F430" s="5">
        <v>833.15</v>
      </c>
      <c r="G430" s="5">
        <v>833.15</v>
      </c>
      <c r="H430" s="5">
        <v>833.15</v>
      </c>
      <c r="I430" s="5">
        <v>833.15</v>
      </c>
      <c r="J430" s="5">
        <v>833.15</v>
      </c>
      <c r="K430" s="5">
        <v>95</v>
      </c>
      <c r="L430" s="5">
        <v>0.79</v>
      </c>
      <c r="M430" s="5">
        <v>1</v>
      </c>
      <c r="N430" s="5">
        <v>95</v>
      </c>
      <c r="O430" s="5">
        <v>100</v>
      </c>
      <c r="P430" s="5">
        <f t="shared" si="35"/>
        <v>1.0099999999999909</v>
      </c>
      <c r="Q430" s="6">
        <f t="shared" si="36"/>
        <v>1.213738072920411E-3</v>
      </c>
      <c r="R430" s="5">
        <f t="shared" si="37"/>
        <v>0</v>
      </c>
      <c r="S430" s="6">
        <f t="shared" si="38"/>
        <v>0</v>
      </c>
      <c r="T430" s="6">
        <f t="shared" si="39"/>
        <v>0</v>
      </c>
    </row>
    <row r="431" spans="1:20" hidden="1" x14ac:dyDescent="0.25">
      <c r="A431" s="4" t="s">
        <v>438</v>
      </c>
      <c r="B431" s="5" t="s">
        <v>799</v>
      </c>
      <c r="C431" s="5" t="s">
        <v>1823</v>
      </c>
      <c r="D431" s="5">
        <v>855</v>
      </c>
      <c r="E431" s="5">
        <v>875</v>
      </c>
      <c r="F431" s="5">
        <v>929.8</v>
      </c>
      <c r="G431" s="5">
        <v>850</v>
      </c>
      <c r="H431" s="5">
        <v>870</v>
      </c>
      <c r="I431" s="5">
        <v>870</v>
      </c>
      <c r="J431" s="5">
        <v>887.58</v>
      </c>
      <c r="K431" s="5">
        <v>177</v>
      </c>
      <c r="L431" s="5">
        <v>1.57</v>
      </c>
      <c r="M431" s="5">
        <v>11</v>
      </c>
      <c r="N431" s="5">
        <v>150</v>
      </c>
      <c r="O431" s="5">
        <v>84.75</v>
      </c>
      <c r="P431" s="5">
        <f t="shared" si="35"/>
        <v>15</v>
      </c>
      <c r="Q431" s="6">
        <f t="shared" si="36"/>
        <v>1.7543859649122806E-2</v>
      </c>
      <c r="R431" s="5">
        <f t="shared" si="37"/>
        <v>79.799999999999955</v>
      </c>
      <c r="S431" s="6">
        <f t="shared" si="38"/>
        <v>9.3333333333333282E-2</v>
      </c>
      <c r="T431" s="6">
        <f t="shared" si="39"/>
        <v>-1.9950068088969632E-2</v>
      </c>
    </row>
    <row r="432" spans="1:20" hidden="1" x14ac:dyDescent="0.25">
      <c r="A432" s="4" t="s">
        <v>438</v>
      </c>
      <c r="B432" s="5" t="s">
        <v>400</v>
      </c>
      <c r="C432" s="5" t="s">
        <v>1823</v>
      </c>
      <c r="D432" s="5">
        <v>930</v>
      </c>
      <c r="E432" s="5">
        <v>910</v>
      </c>
      <c r="F432" s="5">
        <v>910</v>
      </c>
      <c r="G432" s="5">
        <v>910</v>
      </c>
      <c r="H432" s="5">
        <v>910</v>
      </c>
      <c r="I432" s="5">
        <v>910</v>
      </c>
      <c r="J432" s="5">
        <v>910</v>
      </c>
      <c r="K432" s="5">
        <v>1</v>
      </c>
      <c r="L432" s="5">
        <v>0.01</v>
      </c>
      <c r="M432" s="5">
        <v>1</v>
      </c>
      <c r="N432" s="5">
        <v>1</v>
      </c>
      <c r="O432" s="5">
        <v>100</v>
      </c>
      <c r="P432" s="5">
        <f t="shared" si="35"/>
        <v>-20</v>
      </c>
      <c r="Q432" s="6">
        <f t="shared" si="36"/>
        <v>-2.1505376344086023E-2</v>
      </c>
      <c r="R432" s="5">
        <f t="shared" si="37"/>
        <v>0</v>
      </c>
      <c r="S432" s="6">
        <f t="shared" si="38"/>
        <v>0</v>
      </c>
      <c r="T432" s="6">
        <f t="shared" si="39"/>
        <v>0</v>
      </c>
    </row>
    <row r="433" spans="1:20" hidden="1" x14ac:dyDescent="0.25">
      <c r="A433" s="4" t="s">
        <v>438</v>
      </c>
      <c r="B433" s="5" t="s">
        <v>446</v>
      </c>
      <c r="C433" s="5" t="s">
        <v>1823</v>
      </c>
      <c r="D433" s="5">
        <v>966.01</v>
      </c>
      <c r="E433" s="5">
        <v>880</v>
      </c>
      <c r="F433" s="5">
        <v>974.5</v>
      </c>
      <c r="G433" s="5">
        <v>880</v>
      </c>
      <c r="H433" s="5">
        <v>967</v>
      </c>
      <c r="I433" s="5">
        <v>967.78</v>
      </c>
      <c r="J433" s="5">
        <v>971.44</v>
      </c>
      <c r="K433" s="5">
        <v>7141</v>
      </c>
      <c r="L433" s="5">
        <v>69.37</v>
      </c>
      <c r="M433" s="5">
        <v>56</v>
      </c>
      <c r="N433" s="5">
        <v>6653</v>
      </c>
      <c r="O433" s="5">
        <v>93.17</v>
      </c>
      <c r="P433" s="5">
        <f t="shared" si="35"/>
        <v>1.7699999999999818</v>
      </c>
      <c r="Q433" s="6">
        <f t="shared" si="36"/>
        <v>1.8322791689526835E-3</v>
      </c>
      <c r="R433" s="5">
        <f t="shared" si="37"/>
        <v>94.5</v>
      </c>
      <c r="S433" s="6">
        <f t="shared" si="38"/>
        <v>9.7825074274593429E-2</v>
      </c>
      <c r="T433" s="6">
        <f t="shared" si="39"/>
        <v>-3.9543200406237048E-3</v>
      </c>
    </row>
    <row r="434" spans="1:20" hidden="1" x14ac:dyDescent="0.25">
      <c r="A434" s="4" t="s">
        <v>438</v>
      </c>
      <c r="B434" s="5" t="s">
        <v>403</v>
      </c>
      <c r="C434" s="5" t="s">
        <v>1823</v>
      </c>
      <c r="D434" s="5">
        <v>950.55</v>
      </c>
      <c r="E434" s="5">
        <v>950.3</v>
      </c>
      <c r="F434" s="5">
        <v>953.5</v>
      </c>
      <c r="G434" s="5">
        <v>950</v>
      </c>
      <c r="H434" s="5">
        <v>950</v>
      </c>
      <c r="I434" s="5">
        <v>950.56</v>
      </c>
      <c r="J434" s="5">
        <v>950.54</v>
      </c>
      <c r="K434" s="5">
        <v>78</v>
      </c>
      <c r="L434" s="5">
        <v>0.74</v>
      </c>
      <c r="M434" s="5">
        <v>5</v>
      </c>
      <c r="N434" s="5">
        <v>78</v>
      </c>
      <c r="O434" s="5">
        <v>100</v>
      </c>
      <c r="P434" s="5">
        <f t="shared" si="35"/>
        <v>9.9999999999909051E-3</v>
      </c>
      <c r="Q434" s="6">
        <f t="shared" si="36"/>
        <v>1.0520225132808274E-5</v>
      </c>
      <c r="R434" s="5">
        <f t="shared" si="37"/>
        <v>3.5</v>
      </c>
      <c r="S434" s="6">
        <f t="shared" si="38"/>
        <v>3.6820787964862451E-3</v>
      </c>
      <c r="T434" s="6">
        <f t="shared" si="39"/>
        <v>2.1028504137339062E-5</v>
      </c>
    </row>
    <row r="435" spans="1:20" x14ac:dyDescent="0.25">
      <c r="A435" s="4" t="s">
        <v>1738</v>
      </c>
      <c r="B435" s="5" t="s">
        <v>16</v>
      </c>
      <c r="C435" s="5" t="s">
        <v>1823</v>
      </c>
      <c r="D435" s="5">
        <v>1809</v>
      </c>
      <c r="E435" s="5">
        <v>1810.8</v>
      </c>
      <c r="F435" s="5">
        <v>1814</v>
      </c>
      <c r="G435" s="5">
        <v>1725.9</v>
      </c>
      <c r="H435" s="5">
        <v>1737</v>
      </c>
      <c r="I435" s="5">
        <v>1741.65</v>
      </c>
      <c r="J435" s="5">
        <v>1761.02</v>
      </c>
      <c r="K435" s="5">
        <v>124055</v>
      </c>
      <c r="L435" s="5">
        <v>2184.63</v>
      </c>
      <c r="M435" s="5">
        <v>10558</v>
      </c>
      <c r="N435" s="5">
        <v>34810</v>
      </c>
      <c r="O435" s="5">
        <v>28.06</v>
      </c>
      <c r="P435" s="5">
        <f t="shared" si="35"/>
        <v>-67.349999999999909</v>
      </c>
      <c r="Q435" s="6">
        <f t="shared" si="36"/>
        <v>-3.7230514096185691E-2</v>
      </c>
      <c r="R435" s="5">
        <f t="shared" si="37"/>
        <v>88.099999999999909</v>
      </c>
      <c r="S435" s="6">
        <f t="shared" si="38"/>
        <v>4.8700939745715814E-2</v>
      </c>
      <c r="T435" s="6">
        <f t="shared" si="39"/>
        <v>-1.0924446763061547E-2</v>
      </c>
    </row>
    <row r="436" spans="1:20" hidden="1" x14ac:dyDescent="0.25">
      <c r="A436" s="4" t="s">
        <v>448</v>
      </c>
      <c r="B436" s="5" t="s">
        <v>24</v>
      </c>
      <c r="C436" s="5" t="s">
        <v>1823</v>
      </c>
      <c r="D436" s="5">
        <v>4.5999999999999996</v>
      </c>
      <c r="E436" s="5">
        <v>4.5</v>
      </c>
      <c r="F436" s="5">
        <v>4.8</v>
      </c>
      <c r="G436" s="5">
        <v>4.5</v>
      </c>
      <c r="H436" s="5">
        <v>4.55</v>
      </c>
      <c r="I436" s="5">
        <v>4.55</v>
      </c>
      <c r="J436" s="5">
        <v>4.6900000000000004</v>
      </c>
      <c r="K436" s="5">
        <v>2028</v>
      </c>
      <c r="L436" s="5">
        <v>0.1</v>
      </c>
      <c r="M436" s="5">
        <v>9</v>
      </c>
      <c r="N436" s="5" t="s">
        <v>25</v>
      </c>
      <c r="O436" s="5" t="s">
        <v>25</v>
      </c>
      <c r="P436" s="5">
        <f t="shared" si="35"/>
        <v>-4.9999999999999822E-2</v>
      </c>
      <c r="Q436" s="6">
        <f t="shared" si="36"/>
        <v>-1.0869565217391266E-2</v>
      </c>
      <c r="R436" s="5">
        <f t="shared" si="37"/>
        <v>0.29999999999999982</v>
      </c>
      <c r="S436" s="6">
        <f t="shared" si="38"/>
        <v>6.5217391304347797E-2</v>
      </c>
      <c r="T436" s="6">
        <f t="shared" si="39"/>
        <v>-3.0517711171662246E-2</v>
      </c>
    </row>
    <row r="437" spans="1:20" hidden="1" x14ac:dyDescent="0.25">
      <c r="A437" s="4" t="s">
        <v>449</v>
      </c>
      <c r="B437" s="5" t="s">
        <v>24</v>
      </c>
      <c r="C437" s="5" t="s">
        <v>1823</v>
      </c>
      <c r="D437" s="5">
        <v>1.25</v>
      </c>
      <c r="E437" s="5">
        <v>1.2</v>
      </c>
      <c r="F437" s="5">
        <v>1.3</v>
      </c>
      <c r="G437" s="5">
        <v>1.2</v>
      </c>
      <c r="H437" s="5">
        <v>1.2</v>
      </c>
      <c r="I437" s="5">
        <v>1.25</v>
      </c>
      <c r="J437" s="5">
        <v>1.24</v>
      </c>
      <c r="K437" s="5">
        <v>7312</v>
      </c>
      <c r="L437" s="5">
        <v>0.09</v>
      </c>
      <c r="M437" s="5">
        <v>45</v>
      </c>
      <c r="N437" s="5" t="s">
        <v>25</v>
      </c>
      <c r="O437" s="5" t="s">
        <v>25</v>
      </c>
      <c r="P437" s="5">
        <f t="shared" si="35"/>
        <v>0</v>
      </c>
      <c r="Q437" s="6">
        <f t="shared" si="36"/>
        <v>0</v>
      </c>
      <c r="R437" s="5">
        <f t="shared" si="37"/>
        <v>0.10000000000000009</v>
      </c>
      <c r="S437" s="6">
        <f t="shared" si="38"/>
        <v>8.0000000000000071E-2</v>
      </c>
      <c r="T437" s="6">
        <f t="shared" si="39"/>
        <v>8.0808080808080877E-3</v>
      </c>
    </row>
    <row r="438" spans="1:20" hidden="1" x14ac:dyDescent="0.25">
      <c r="A438" s="4" t="s">
        <v>450</v>
      </c>
      <c r="B438" s="5" t="s">
        <v>439</v>
      </c>
      <c r="C438" s="5" t="s">
        <v>1823</v>
      </c>
      <c r="D438" s="5">
        <v>850</v>
      </c>
      <c r="E438" s="5">
        <v>840</v>
      </c>
      <c r="F438" s="5">
        <v>850</v>
      </c>
      <c r="G438" s="5">
        <v>773.68</v>
      </c>
      <c r="H438" s="5">
        <v>773.68</v>
      </c>
      <c r="I438" s="5">
        <v>773.68</v>
      </c>
      <c r="J438" s="5">
        <v>842.8</v>
      </c>
      <c r="K438" s="5">
        <v>80</v>
      </c>
      <c r="L438" s="5">
        <v>0.67</v>
      </c>
      <c r="M438" s="5">
        <v>3</v>
      </c>
      <c r="N438" s="5">
        <v>80</v>
      </c>
      <c r="O438" s="5">
        <v>100</v>
      </c>
      <c r="P438" s="5">
        <f t="shared" si="35"/>
        <v>-76.32000000000005</v>
      </c>
      <c r="Q438" s="6">
        <f t="shared" si="36"/>
        <v>-8.978823529411771E-2</v>
      </c>
      <c r="R438" s="5">
        <f t="shared" si="37"/>
        <v>76.32000000000005</v>
      </c>
      <c r="S438" s="6">
        <f t="shared" si="38"/>
        <v>8.978823529411771E-2</v>
      </c>
      <c r="T438" s="6">
        <f t="shared" si="39"/>
        <v>-8.5402920898509913E-2</v>
      </c>
    </row>
    <row r="439" spans="1:20" hidden="1" x14ac:dyDescent="0.25">
      <c r="A439" s="4" t="s">
        <v>450</v>
      </c>
      <c r="B439" s="5" t="s">
        <v>396</v>
      </c>
      <c r="C439" s="5" t="s">
        <v>1823</v>
      </c>
      <c r="D439" s="5">
        <v>833.11</v>
      </c>
      <c r="E439" s="5">
        <v>830</v>
      </c>
      <c r="F439" s="5">
        <v>830.05</v>
      </c>
      <c r="G439" s="5">
        <v>826</v>
      </c>
      <c r="H439" s="5">
        <v>830</v>
      </c>
      <c r="I439" s="5">
        <v>830.02</v>
      </c>
      <c r="J439" s="5">
        <v>828.85</v>
      </c>
      <c r="K439" s="5">
        <v>520</v>
      </c>
      <c r="L439" s="5">
        <v>4.3099999999999996</v>
      </c>
      <c r="M439" s="5">
        <v>10</v>
      </c>
      <c r="N439" s="5">
        <v>420</v>
      </c>
      <c r="O439" s="5">
        <v>80.77</v>
      </c>
      <c r="P439" s="5">
        <f t="shared" si="35"/>
        <v>-3.0900000000000318</v>
      </c>
      <c r="Q439" s="6">
        <f t="shared" si="36"/>
        <v>-3.7089940103948241E-3</v>
      </c>
      <c r="R439" s="5">
        <f t="shared" si="37"/>
        <v>4.0499999999999545</v>
      </c>
      <c r="S439" s="6">
        <f t="shared" si="38"/>
        <v>4.8613028291581593E-3</v>
      </c>
      <c r="T439" s="6">
        <f t="shared" si="39"/>
        <v>1.411309170192377E-3</v>
      </c>
    </row>
    <row r="440" spans="1:20" x14ac:dyDescent="0.25">
      <c r="A440" s="4" t="s">
        <v>367</v>
      </c>
      <c r="B440" s="5" t="s">
        <v>16</v>
      </c>
      <c r="C440" s="5" t="s">
        <v>1823</v>
      </c>
      <c r="D440" s="5">
        <v>89.25</v>
      </c>
      <c r="E440" s="5">
        <v>89.25</v>
      </c>
      <c r="F440" s="5">
        <v>94.5</v>
      </c>
      <c r="G440" s="5">
        <v>89</v>
      </c>
      <c r="H440" s="5">
        <v>90.95</v>
      </c>
      <c r="I440" s="5">
        <v>90.6</v>
      </c>
      <c r="J440" s="5">
        <v>91.87</v>
      </c>
      <c r="K440" s="5">
        <v>302839</v>
      </c>
      <c r="L440" s="5">
        <v>278.23</v>
      </c>
      <c r="M440" s="5">
        <v>3767</v>
      </c>
      <c r="N440" s="5">
        <v>85705</v>
      </c>
      <c r="O440" s="5">
        <v>28.3</v>
      </c>
      <c r="P440" s="5">
        <f t="shared" si="35"/>
        <v>1.3499999999999943</v>
      </c>
      <c r="Q440" s="6">
        <f t="shared" si="36"/>
        <v>1.5126050420168003E-2</v>
      </c>
      <c r="R440" s="5">
        <f t="shared" si="37"/>
        <v>5.5</v>
      </c>
      <c r="S440" s="6">
        <f t="shared" si="38"/>
        <v>6.1624649859943981E-2</v>
      </c>
      <c r="T440" s="6">
        <f t="shared" si="39"/>
        <v>-1.3981010045410873E-2</v>
      </c>
    </row>
    <row r="441" spans="1:20" x14ac:dyDescent="0.25">
      <c r="A441" s="4" t="s">
        <v>816</v>
      </c>
      <c r="B441" s="5" t="s">
        <v>16</v>
      </c>
      <c r="C441" s="5" t="s">
        <v>1823</v>
      </c>
      <c r="D441" s="5">
        <v>41.1</v>
      </c>
      <c r="E441" s="5">
        <v>41.35</v>
      </c>
      <c r="F441" s="5">
        <v>41.4</v>
      </c>
      <c r="G441" s="5">
        <v>38.75</v>
      </c>
      <c r="H441" s="5">
        <v>39.35</v>
      </c>
      <c r="I441" s="5">
        <v>39.299999999999997</v>
      </c>
      <c r="J441" s="5">
        <v>39.71</v>
      </c>
      <c r="K441" s="5">
        <v>770678</v>
      </c>
      <c r="L441" s="5">
        <v>306.05</v>
      </c>
      <c r="M441" s="5">
        <v>5290</v>
      </c>
      <c r="N441" s="5">
        <v>218740</v>
      </c>
      <c r="O441" s="5">
        <v>28.38</v>
      </c>
      <c r="P441" s="5">
        <f t="shared" si="35"/>
        <v>-1.8000000000000043</v>
      </c>
      <c r="Q441" s="6">
        <f t="shared" si="36"/>
        <v>-4.3795620437956304E-2</v>
      </c>
      <c r="R441" s="5">
        <f t="shared" si="37"/>
        <v>2.6499999999999986</v>
      </c>
      <c r="S441" s="6">
        <f t="shared" si="38"/>
        <v>6.4476885644768819E-2</v>
      </c>
      <c r="T441" s="6">
        <f t="shared" si="39"/>
        <v>-1.019900497512447E-2</v>
      </c>
    </row>
    <row r="442" spans="1:20" hidden="1" x14ac:dyDescent="0.25">
      <c r="A442" s="4" t="s">
        <v>453</v>
      </c>
      <c r="B442" s="5" t="s">
        <v>28</v>
      </c>
      <c r="C442" s="5" t="s">
        <v>1823</v>
      </c>
      <c r="D442" s="5">
        <v>90.5</v>
      </c>
      <c r="E442" s="5">
        <v>90</v>
      </c>
      <c r="F442" s="5">
        <v>91.5</v>
      </c>
      <c r="G442" s="5">
        <v>90</v>
      </c>
      <c r="H442" s="5">
        <v>91.5</v>
      </c>
      <c r="I442" s="5">
        <v>91.5</v>
      </c>
      <c r="J442" s="5">
        <v>90.64</v>
      </c>
      <c r="K442" s="5">
        <v>5600</v>
      </c>
      <c r="L442" s="5">
        <v>5.08</v>
      </c>
      <c r="M442" s="5">
        <v>5</v>
      </c>
      <c r="N442" s="5">
        <v>5600</v>
      </c>
      <c r="O442" s="5">
        <v>100</v>
      </c>
      <c r="P442" s="5">
        <f t="shared" si="35"/>
        <v>1</v>
      </c>
      <c r="Q442" s="6">
        <f t="shared" si="36"/>
        <v>1.1049723756906077E-2</v>
      </c>
      <c r="R442" s="5">
        <f t="shared" si="37"/>
        <v>1.5</v>
      </c>
      <c r="S442" s="6">
        <f t="shared" si="38"/>
        <v>1.6574585635359115E-2</v>
      </c>
      <c r="T442" s="6">
        <f t="shared" si="39"/>
        <v>9.4765840220385616E-3</v>
      </c>
    </row>
    <row r="443" spans="1:20" hidden="1" x14ac:dyDescent="0.25">
      <c r="A443" s="4" t="s">
        <v>454</v>
      </c>
      <c r="B443" s="5" t="s">
        <v>16</v>
      </c>
      <c r="C443" s="5" t="s">
        <v>1823</v>
      </c>
      <c r="D443" s="5">
        <v>351.75</v>
      </c>
      <c r="E443" s="5">
        <v>347</v>
      </c>
      <c r="F443" s="5">
        <v>351</v>
      </c>
      <c r="G443" s="5">
        <v>341.3</v>
      </c>
      <c r="H443" s="5">
        <v>344</v>
      </c>
      <c r="I443" s="5">
        <v>344.85</v>
      </c>
      <c r="J443" s="5">
        <v>346.05</v>
      </c>
      <c r="K443" s="5">
        <v>1701</v>
      </c>
      <c r="L443" s="5">
        <v>5.89</v>
      </c>
      <c r="M443" s="5">
        <v>127</v>
      </c>
      <c r="N443" s="5">
        <v>997</v>
      </c>
      <c r="O443" s="5">
        <v>58.61</v>
      </c>
      <c r="P443" s="5">
        <f t="shared" si="35"/>
        <v>-6.8999999999999773</v>
      </c>
      <c r="Q443" s="6">
        <f t="shared" si="36"/>
        <v>-1.9616204690831491E-2</v>
      </c>
      <c r="R443" s="5">
        <f t="shared" si="37"/>
        <v>9.6999999999999886</v>
      </c>
      <c r="S443" s="6">
        <f t="shared" si="38"/>
        <v>2.7576403695806648E-2</v>
      </c>
      <c r="T443" s="6">
        <f t="shared" si="39"/>
        <v>-3.467832243615182E-3</v>
      </c>
    </row>
    <row r="444" spans="1:20" x14ac:dyDescent="0.25">
      <c r="A444" s="4" t="s">
        <v>90</v>
      </c>
      <c r="B444" s="5" t="s">
        <v>16</v>
      </c>
      <c r="C444" s="5" t="s">
        <v>1823</v>
      </c>
      <c r="D444" s="5">
        <v>108.55</v>
      </c>
      <c r="E444" s="5">
        <v>108</v>
      </c>
      <c r="F444" s="5">
        <v>109.75</v>
      </c>
      <c r="G444" s="5">
        <v>103.65</v>
      </c>
      <c r="H444" s="5">
        <v>106.45</v>
      </c>
      <c r="I444" s="5">
        <v>106.4</v>
      </c>
      <c r="J444" s="5">
        <v>106.28</v>
      </c>
      <c r="K444" s="5">
        <v>229799</v>
      </c>
      <c r="L444" s="5">
        <v>244.23</v>
      </c>
      <c r="M444" s="5">
        <v>3483</v>
      </c>
      <c r="N444" s="5">
        <v>65498</v>
      </c>
      <c r="O444" s="5">
        <v>28.5</v>
      </c>
      <c r="P444" s="5">
        <f t="shared" si="35"/>
        <v>-2.1499999999999915</v>
      </c>
      <c r="Q444" s="6">
        <f t="shared" si="36"/>
        <v>-1.9806540764624517E-2</v>
      </c>
      <c r="R444" s="5">
        <f t="shared" si="37"/>
        <v>6.0999999999999943</v>
      </c>
      <c r="S444" s="6">
        <f t="shared" si="38"/>
        <v>5.619530170428369E-2</v>
      </c>
      <c r="T444" s="6">
        <f t="shared" si="39"/>
        <v>1.1220196353436611E-3</v>
      </c>
    </row>
    <row r="445" spans="1:20" hidden="1" x14ac:dyDescent="0.25">
      <c r="A445" s="4" t="s">
        <v>456</v>
      </c>
      <c r="B445" s="5" t="s">
        <v>16</v>
      </c>
      <c r="C445" s="5" t="s">
        <v>1823</v>
      </c>
      <c r="D445" s="5">
        <v>302.85000000000002</v>
      </c>
      <c r="E445" s="5">
        <v>290.5</v>
      </c>
      <c r="F445" s="5">
        <v>315</v>
      </c>
      <c r="G445" s="5">
        <v>290.5</v>
      </c>
      <c r="H445" s="5">
        <v>297.05</v>
      </c>
      <c r="I445" s="5">
        <v>297.05</v>
      </c>
      <c r="J445" s="5">
        <v>300.64999999999998</v>
      </c>
      <c r="K445" s="5">
        <v>246</v>
      </c>
      <c r="L445" s="5">
        <v>0.74</v>
      </c>
      <c r="M445" s="5">
        <v>16</v>
      </c>
      <c r="N445" s="5">
        <v>239</v>
      </c>
      <c r="O445" s="5">
        <v>97.15</v>
      </c>
      <c r="P445" s="5">
        <f t="shared" si="35"/>
        <v>-5.8000000000000114</v>
      </c>
      <c r="Q445" s="6">
        <f t="shared" si="36"/>
        <v>-1.9151395080072679E-2</v>
      </c>
      <c r="R445" s="5">
        <f t="shared" si="37"/>
        <v>24.5</v>
      </c>
      <c r="S445" s="6">
        <f t="shared" si="38"/>
        <v>8.0898134389962018E-2</v>
      </c>
      <c r="T445" s="6">
        <f t="shared" si="39"/>
        <v>-1.2069904865680285E-2</v>
      </c>
    </row>
    <row r="446" spans="1:20" x14ac:dyDescent="0.25">
      <c r="A446" s="4" t="s">
        <v>221</v>
      </c>
      <c r="B446" s="5" t="s">
        <v>16</v>
      </c>
      <c r="C446" s="5" t="s">
        <v>1823</v>
      </c>
      <c r="D446" s="5">
        <v>63.85</v>
      </c>
      <c r="E446" s="5">
        <v>63.7</v>
      </c>
      <c r="F446" s="5">
        <v>65.900000000000006</v>
      </c>
      <c r="G446" s="5">
        <v>62.65</v>
      </c>
      <c r="H446" s="5">
        <v>63.5</v>
      </c>
      <c r="I446" s="5">
        <v>63.8</v>
      </c>
      <c r="J446" s="5">
        <v>63.94</v>
      </c>
      <c r="K446" s="5">
        <v>559417</v>
      </c>
      <c r="L446" s="5">
        <v>357.7</v>
      </c>
      <c r="M446" s="5">
        <v>4638</v>
      </c>
      <c r="N446" s="5">
        <v>159500</v>
      </c>
      <c r="O446" s="5">
        <v>28.51</v>
      </c>
      <c r="P446" s="5">
        <f t="shared" si="35"/>
        <v>-5.0000000000004263E-2</v>
      </c>
      <c r="Q446" s="6">
        <f t="shared" si="36"/>
        <v>-7.830853563039039E-4</v>
      </c>
      <c r="R446" s="5">
        <f t="shared" si="37"/>
        <v>3.2500000000000071</v>
      </c>
      <c r="S446" s="6">
        <f t="shared" si="38"/>
        <v>5.0900548159749523E-2</v>
      </c>
      <c r="T446" s="6">
        <f t="shared" si="39"/>
        <v>-2.1870728373364666E-3</v>
      </c>
    </row>
    <row r="447" spans="1:20" x14ac:dyDescent="0.25">
      <c r="A447" s="4" t="s">
        <v>219</v>
      </c>
      <c r="B447" s="5" t="s">
        <v>16</v>
      </c>
      <c r="C447" s="5" t="s">
        <v>1823</v>
      </c>
      <c r="D447" s="5">
        <v>111.85</v>
      </c>
      <c r="E447" s="5">
        <v>111.5</v>
      </c>
      <c r="F447" s="5">
        <v>111.55</v>
      </c>
      <c r="G447" s="5">
        <v>107.9</v>
      </c>
      <c r="H447" s="5">
        <v>108</v>
      </c>
      <c r="I447" s="5">
        <v>108.95</v>
      </c>
      <c r="J447" s="5">
        <v>109.64</v>
      </c>
      <c r="K447" s="5">
        <v>6184376</v>
      </c>
      <c r="L447" s="5">
        <v>6780.49</v>
      </c>
      <c r="M447" s="5">
        <v>29200</v>
      </c>
      <c r="N447" s="5">
        <v>1769439</v>
      </c>
      <c r="O447" s="5">
        <v>28.61</v>
      </c>
      <c r="P447" s="5">
        <f t="shared" si="35"/>
        <v>-2.8999999999999915</v>
      </c>
      <c r="Q447" s="6">
        <f t="shared" si="36"/>
        <v>-2.5927581582476458E-2</v>
      </c>
      <c r="R447" s="5">
        <f t="shared" si="37"/>
        <v>3.6499999999999915</v>
      </c>
      <c r="S447" s="6">
        <f t="shared" si="38"/>
        <v>3.2632990612427283E-2</v>
      </c>
      <c r="T447" s="6">
        <f t="shared" si="39"/>
        <v>-6.2741532166401244E-3</v>
      </c>
    </row>
    <row r="448" spans="1:20" hidden="1" x14ac:dyDescent="0.25">
      <c r="A448" s="4" t="s">
        <v>459</v>
      </c>
      <c r="B448" s="5" t="s">
        <v>16</v>
      </c>
      <c r="C448" s="5" t="s">
        <v>1823</v>
      </c>
      <c r="D448" s="5">
        <v>15.7</v>
      </c>
      <c r="E448" s="5">
        <v>15.65</v>
      </c>
      <c r="F448" s="5">
        <v>16</v>
      </c>
      <c r="G448" s="5">
        <v>15.5</v>
      </c>
      <c r="H448" s="5">
        <v>16</v>
      </c>
      <c r="I448" s="5">
        <v>15.8</v>
      </c>
      <c r="J448" s="5">
        <v>15.73</v>
      </c>
      <c r="K448" s="5">
        <v>25416</v>
      </c>
      <c r="L448" s="5">
        <v>4</v>
      </c>
      <c r="M448" s="5">
        <v>127</v>
      </c>
      <c r="N448" s="5">
        <v>17549</v>
      </c>
      <c r="O448" s="5">
        <v>69.05</v>
      </c>
      <c r="P448" s="5">
        <f t="shared" si="35"/>
        <v>0.10000000000000142</v>
      </c>
      <c r="Q448" s="6">
        <f t="shared" si="36"/>
        <v>6.3694267515924472E-3</v>
      </c>
      <c r="R448" s="5">
        <f t="shared" si="37"/>
        <v>0.5</v>
      </c>
      <c r="S448" s="6">
        <f t="shared" si="38"/>
        <v>3.1847133757961783E-2</v>
      </c>
      <c r="T448" s="6">
        <f t="shared" si="39"/>
        <v>4.4479745830024011E-3</v>
      </c>
    </row>
    <row r="449" spans="1:20" hidden="1" x14ac:dyDescent="0.25">
      <c r="A449" s="4" t="s">
        <v>460</v>
      </c>
      <c r="B449" s="5" t="s">
        <v>16</v>
      </c>
      <c r="C449" s="5" t="s">
        <v>1823</v>
      </c>
      <c r="D449" s="5">
        <v>157.94999999999999</v>
      </c>
      <c r="E449" s="5">
        <v>154.69999999999999</v>
      </c>
      <c r="F449" s="5">
        <v>157</v>
      </c>
      <c r="G449" s="5">
        <v>150.1</v>
      </c>
      <c r="H449" s="5">
        <v>150.1</v>
      </c>
      <c r="I449" s="5">
        <v>150.1</v>
      </c>
      <c r="J449" s="5">
        <v>152.16</v>
      </c>
      <c r="K449" s="5">
        <v>7692</v>
      </c>
      <c r="L449" s="5">
        <v>11.7</v>
      </c>
      <c r="M449" s="5">
        <v>154</v>
      </c>
      <c r="N449" s="5">
        <v>6304</v>
      </c>
      <c r="O449" s="5">
        <v>81.96</v>
      </c>
      <c r="P449" s="5">
        <f t="shared" si="35"/>
        <v>-7.8499999999999943</v>
      </c>
      <c r="Q449" s="6">
        <f t="shared" si="36"/>
        <v>-4.9699271921494113E-2</v>
      </c>
      <c r="R449" s="5">
        <f t="shared" si="37"/>
        <v>6.9000000000000057</v>
      </c>
      <c r="S449" s="6">
        <f t="shared" si="38"/>
        <v>4.3684710351377054E-2</v>
      </c>
      <c r="T449" s="6">
        <f t="shared" si="39"/>
        <v>-1.3466252655662706E-2</v>
      </c>
    </row>
    <row r="450" spans="1:20" hidden="1" x14ac:dyDescent="0.25">
      <c r="A450" s="4" t="s">
        <v>461</v>
      </c>
      <c r="B450" s="5" t="s">
        <v>16</v>
      </c>
      <c r="C450" s="5" t="s">
        <v>1823</v>
      </c>
      <c r="D450" s="5">
        <v>274</v>
      </c>
      <c r="E450" s="5">
        <v>280</v>
      </c>
      <c r="F450" s="5">
        <v>280</v>
      </c>
      <c r="G450" s="5">
        <v>272.14999999999998</v>
      </c>
      <c r="H450" s="5">
        <v>277</v>
      </c>
      <c r="I450" s="5">
        <v>278.5</v>
      </c>
      <c r="J450" s="5">
        <v>276.13</v>
      </c>
      <c r="K450" s="5">
        <v>147330</v>
      </c>
      <c r="L450" s="5">
        <v>406.82</v>
      </c>
      <c r="M450" s="5">
        <v>1657</v>
      </c>
      <c r="N450" s="5">
        <v>107882</v>
      </c>
      <c r="O450" s="5">
        <v>73.22</v>
      </c>
      <c r="P450" s="5">
        <f t="shared" si="35"/>
        <v>4.5</v>
      </c>
      <c r="Q450" s="6">
        <f t="shared" si="36"/>
        <v>1.6423357664233577E-2</v>
      </c>
      <c r="R450" s="5">
        <f t="shared" si="37"/>
        <v>7.8500000000000227</v>
      </c>
      <c r="S450" s="6">
        <f t="shared" si="38"/>
        <v>2.8649635036496434E-2</v>
      </c>
      <c r="T450" s="6">
        <f t="shared" si="39"/>
        <v>8.5355422500337803E-3</v>
      </c>
    </row>
    <row r="451" spans="1:20" hidden="1" x14ac:dyDescent="0.25">
      <c r="A451" s="4" t="s">
        <v>462</v>
      </c>
      <c r="B451" s="5" t="s">
        <v>16</v>
      </c>
      <c r="C451" s="5" t="s">
        <v>1823</v>
      </c>
      <c r="D451" s="5">
        <v>17.350000000000001</v>
      </c>
      <c r="E451" s="5">
        <v>16.55</v>
      </c>
      <c r="F451" s="5">
        <v>17.600000000000001</v>
      </c>
      <c r="G451" s="5">
        <v>16.55</v>
      </c>
      <c r="H451" s="5">
        <v>16.75</v>
      </c>
      <c r="I451" s="5">
        <v>17.25</v>
      </c>
      <c r="J451" s="5">
        <v>17.25</v>
      </c>
      <c r="K451" s="5">
        <v>3166</v>
      </c>
      <c r="L451" s="5">
        <v>0.55000000000000004</v>
      </c>
      <c r="M451" s="5">
        <v>64</v>
      </c>
      <c r="N451" s="5">
        <v>2476</v>
      </c>
      <c r="O451" s="5">
        <v>78.209999999999994</v>
      </c>
      <c r="P451" s="5">
        <f t="shared" si="35"/>
        <v>-0.10000000000000142</v>
      </c>
      <c r="Q451" s="6">
        <f t="shared" si="36"/>
        <v>-5.7636887608069976E-3</v>
      </c>
      <c r="R451" s="5">
        <f t="shared" si="37"/>
        <v>1.0500000000000007</v>
      </c>
      <c r="S451" s="6">
        <f t="shared" si="38"/>
        <v>6.0518731988472657E-2</v>
      </c>
      <c r="T451" s="6">
        <f t="shared" si="39"/>
        <v>0</v>
      </c>
    </row>
    <row r="452" spans="1:20" x14ac:dyDescent="0.25">
      <c r="A452" s="4" t="s">
        <v>1022</v>
      </c>
      <c r="B452" s="5" t="s">
        <v>16</v>
      </c>
      <c r="C452" s="5" t="s">
        <v>1823</v>
      </c>
      <c r="D452" s="5">
        <v>7009.1</v>
      </c>
      <c r="E452" s="5">
        <v>7000</v>
      </c>
      <c r="F452" s="5">
        <v>7000</v>
      </c>
      <c r="G452" s="5">
        <v>6602</v>
      </c>
      <c r="H452" s="5">
        <v>6700</v>
      </c>
      <c r="I452" s="5">
        <v>6638.5</v>
      </c>
      <c r="J452" s="5">
        <v>6752.87</v>
      </c>
      <c r="K452" s="5">
        <v>2296343</v>
      </c>
      <c r="L452" s="5">
        <v>155069.07999999999</v>
      </c>
      <c r="M452" s="5">
        <v>202225</v>
      </c>
      <c r="N452" s="5">
        <v>659970</v>
      </c>
      <c r="O452" s="5">
        <v>28.74</v>
      </c>
      <c r="P452" s="5">
        <f t="shared" si="35"/>
        <v>-370.60000000000036</v>
      </c>
      <c r="Q452" s="6">
        <f t="shared" si="36"/>
        <v>-5.2874120785835609E-2</v>
      </c>
      <c r="R452" s="5">
        <f t="shared" si="37"/>
        <v>398</v>
      </c>
      <c r="S452" s="6">
        <f t="shared" si="38"/>
        <v>5.678332453524703E-2</v>
      </c>
      <c r="T452" s="6">
        <f t="shared" si="39"/>
        <v>-1.6794111708669061E-2</v>
      </c>
    </row>
    <row r="453" spans="1:20" hidden="1" x14ac:dyDescent="0.25">
      <c r="A453" s="4" t="s">
        <v>464</v>
      </c>
      <c r="B453" s="5" t="s">
        <v>16</v>
      </c>
      <c r="C453" s="5" t="s">
        <v>1823</v>
      </c>
      <c r="D453" s="5">
        <v>97</v>
      </c>
      <c r="E453" s="5">
        <v>97</v>
      </c>
      <c r="F453" s="5">
        <v>100</v>
      </c>
      <c r="G453" s="5">
        <v>92.15</v>
      </c>
      <c r="H453" s="5">
        <v>92.15</v>
      </c>
      <c r="I453" s="5">
        <v>92.3</v>
      </c>
      <c r="J453" s="5">
        <v>94.29</v>
      </c>
      <c r="K453" s="5">
        <v>5542</v>
      </c>
      <c r="L453" s="5">
        <v>5.23</v>
      </c>
      <c r="M453" s="5">
        <v>92</v>
      </c>
      <c r="N453" s="5">
        <v>4454</v>
      </c>
      <c r="O453" s="5">
        <v>80.37</v>
      </c>
      <c r="P453" s="5">
        <f t="shared" si="35"/>
        <v>-4.7000000000000028</v>
      </c>
      <c r="Q453" s="6">
        <f t="shared" si="36"/>
        <v>-4.8453608247422709E-2</v>
      </c>
      <c r="R453" s="5">
        <f t="shared" si="37"/>
        <v>7.8499999999999943</v>
      </c>
      <c r="S453" s="6">
        <f t="shared" si="38"/>
        <v>8.0927835051546326E-2</v>
      </c>
      <c r="T453" s="6">
        <f t="shared" si="39"/>
        <v>-2.08677415126492E-2</v>
      </c>
    </row>
    <row r="454" spans="1:20" hidden="1" x14ac:dyDescent="0.25">
      <c r="A454" s="4" t="s">
        <v>465</v>
      </c>
      <c r="B454" s="5" t="s">
        <v>16</v>
      </c>
      <c r="C454" s="5" t="s">
        <v>1823</v>
      </c>
      <c r="D454" s="5">
        <v>54.15</v>
      </c>
      <c r="E454" s="5">
        <v>51.45</v>
      </c>
      <c r="F454" s="5">
        <v>54.75</v>
      </c>
      <c r="G454" s="5">
        <v>51.45</v>
      </c>
      <c r="H454" s="5">
        <v>51.45</v>
      </c>
      <c r="I454" s="5">
        <v>51.65</v>
      </c>
      <c r="J454" s="5">
        <v>51.5</v>
      </c>
      <c r="K454" s="5">
        <v>23230</v>
      </c>
      <c r="L454" s="5">
        <v>11.96</v>
      </c>
      <c r="M454" s="5">
        <v>149</v>
      </c>
      <c r="N454" s="5">
        <v>20543</v>
      </c>
      <c r="O454" s="5">
        <v>88.43</v>
      </c>
      <c r="P454" s="5">
        <f t="shared" si="35"/>
        <v>-2.5</v>
      </c>
      <c r="Q454" s="6">
        <f t="shared" si="36"/>
        <v>-4.6168051708217916E-2</v>
      </c>
      <c r="R454" s="5">
        <f t="shared" si="37"/>
        <v>3.2999999999999972</v>
      </c>
      <c r="S454" s="6">
        <f t="shared" si="38"/>
        <v>6.0941828254847598E-2</v>
      </c>
      <c r="T454" s="6">
        <f t="shared" si="39"/>
        <v>2.8666985188724047E-3</v>
      </c>
    </row>
    <row r="455" spans="1:20" hidden="1" x14ac:dyDescent="0.25">
      <c r="A455" s="4" t="s">
        <v>466</v>
      </c>
      <c r="B455" s="5" t="s">
        <v>467</v>
      </c>
      <c r="C455" s="5" t="s">
        <v>1823</v>
      </c>
      <c r="D455" s="5">
        <v>393.9</v>
      </c>
      <c r="E455" s="5">
        <v>394</v>
      </c>
      <c r="F455" s="5">
        <v>397.85</v>
      </c>
      <c r="G455" s="5">
        <v>388.1</v>
      </c>
      <c r="H455" s="5">
        <v>393</v>
      </c>
      <c r="I455" s="5">
        <v>393.15</v>
      </c>
      <c r="J455" s="5">
        <v>392.94</v>
      </c>
      <c r="K455" s="5">
        <v>167600</v>
      </c>
      <c r="L455" s="5">
        <v>658.57</v>
      </c>
      <c r="M455" s="5">
        <v>403</v>
      </c>
      <c r="N455" s="5">
        <v>107200</v>
      </c>
      <c r="O455" s="5">
        <v>63.96</v>
      </c>
      <c r="P455" s="5">
        <f t="shared" si="35"/>
        <v>-0.75</v>
      </c>
      <c r="Q455" s="6">
        <f t="shared" si="36"/>
        <v>-1.9040365575019042E-3</v>
      </c>
      <c r="R455" s="5">
        <f t="shared" si="37"/>
        <v>9.75</v>
      </c>
      <c r="S455" s="6">
        <f t="shared" si="38"/>
        <v>2.4752475247524754E-2</v>
      </c>
      <c r="T455" s="6">
        <f t="shared" si="39"/>
        <v>5.3397749666258859E-4</v>
      </c>
    </row>
    <row r="456" spans="1:20" hidden="1" x14ac:dyDescent="0.25">
      <c r="A456" s="4" t="s">
        <v>468</v>
      </c>
      <c r="B456" s="5" t="s">
        <v>39</v>
      </c>
      <c r="C456" s="5" t="s">
        <v>1823</v>
      </c>
      <c r="D456" s="5">
        <v>0.95</v>
      </c>
      <c r="E456" s="5">
        <v>1</v>
      </c>
      <c r="F456" s="5">
        <v>1</v>
      </c>
      <c r="G456" s="5">
        <v>0.9</v>
      </c>
      <c r="H456" s="5">
        <v>0.95</v>
      </c>
      <c r="I456" s="5">
        <v>0.95</v>
      </c>
      <c r="J456" s="5">
        <v>0.94</v>
      </c>
      <c r="K456" s="5">
        <v>21748</v>
      </c>
      <c r="L456" s="5">
        <v>0.2</v>
      </c>
      <c r="M456" s="5">
        <v>29</v>
      </c>
      <c r="N456" s="5" t="s">
        <v>25</v>
      </c>
      <c r="O456" s="5" t="s">
        <v>25</v>
      </c>
      <c r="P456" s="5">
        <f t="shared" si="35"/>
        <v>0</v>
      </c>
      <c r="Q456" s="6">
        <f t="shared" si="36"/>
        <v>0</v>
      </c>
      <c r="R456" s="5">
        <f t="shared" si="37"/>
        <v>9.9999999999999978E-2</v>
      </c>
      <c r="S456" s="6">
        <f t="shared" si="38"/>
        <v>0.10526315789473682</v>
      </c>
      <c r="T456" s="6">
        <f t="shared" si="39"/>
        <v>1.03896103896104E-2</v>
      </c>
    </row>
    <row r="457" spans="1:20" hidden="1" x14ac:dyDescent="0.25">
      <c r="A457" s="4" t="s">
        <v>469</v>
      </c>
      <c r="B457" s="5" t="s">
        <v>16</v>
      </c>
      <c r="C457" s="5" t="s">
        <v>1823</v>
      </c>
      <c r="D457" s="5">
        <v>82.35</v>
      </c>
      <c r="E457" s="5">
        <v>82</v>
      </c>
      <c r="F457" s="5">
        <v>82</v>
      </c>
      <c r="G457" s="5">
        <v>74.25</v>
      </c>
      <c r="H457" s="5">
        <v>76.5</v>
      </c>
      <c r="I457" s="5">
        <v>76</v>
      </c>
      <c r="J457" s="5">
        <v>77.099999999999994</v>
      </c>
      <c r="K457" s="5">
        <v>23127</v>
      </c>
      <c r="L457" s="5">
        <v>17.829999999999998</v>
      </c>
      <c r="M457" s="5">
        <v>822</v>
      </c>
      <c r="N457" s="5">
        <v>10456</v>
      </c>
      <c r="O457" s="5">
        <v>45.21</v>
      </c>
      <c r="P457" s="5">
        <f t="shared" si="35"/>
        <v>-6.3499999999999943</v>
      </c>
      <c r="Q457" s="6">
        <f t="shared" si="36"/>
        <v>-7.710989678202787E-2</v>
      </c>
      <c r="R457" s="5">
        <f t="shared" si="37"/>
        <v>7.75</v>
      </c>
      <c r="S457" s="6">
        <f t="shared" si="38"/>
        <v>9.4110503946569529E-2</v>
      </c>
      <c r="T457" s="6">
        <f t="shared" si="39"/>
        <v>-1.4001591089896508E-2</v>
      </c>
    </row>
    <row r="458" spans="1:20" hidden="1" x14ac:dyDescent="0.25">
      <c r="A458" s="4" t="s">
        <v>1833</v>
      </c>
      <c r="B458" s="5" t="s">
        <v>28</v>
      </c>
      <c r="C458" s="5" t="s">
        <v>1823</v>
      </c>
      <c r="D458" s="5">
        <v>105.15</v>
      </c>
      <c r="E458" s="5">
        <v>99.9</v>
      </c>
      <c r="F458" s="5">
        <v>99.9</v>
      </c>
      <c r="G458" s="5">
        <v>99.9</v>
      </c>
      <c r="H458" s="5">
        <v>99.9</v>
      </c>
      <c r="I458" s="5">
        <v>99.9</v>
      </c>
      <c r="J458" s="5">
        <v>99.9</v>
      </c>
      <c r="K458" s="5">
        <v>600</v>
      </c>
      <c r="L458" s="5">
        <v>0.6</v>
      </c>
      <c r="M458" s="5">
        <v>1</v>
      </c>
      <c r="N458" s="5">
        <v>600</v>
      </c>
      <c r="O458" s="5">
        <v>100</v>
      </c>
      <c r="P458" s="5">
        <f t="shared" si="35"/>
        <v>-5.25</v>
      </c>
      <c r="Q458" s="6">
        <f t="shared" si="36"/>
        <v>-4.9928673323823107E-2</v>
      </c>
      <c r="R458" s="5">
        <f t="shared" si="37"/>
        <v>0</v>
      </c>
      <c r="S458" s="6">
        <f t="shared" si="38"/>
        <v>0</v>
      </c>
      <c r="T458" s="6">
        <f t="shared" si="39"/>
        <v>0</v>
      </c>
    </row>
    <row r="459" spans="1:20" hidden="1" x14ac:dyDescent="0.25">
      <c r="A459" s="4" t="s">
        <v>470</v>
      </c>
      <c r="B459" s="5" t="s">
        <v>16</v>
      </c>
      <c r="C459" s="5" t="s">
        <v>1823</v>
      </c>
      <c r="D459" s="5">
        <v>127.6</v>
      </c>
      <c r="E459" s="5">
        <v>131.1</v>
      </c>
      <c r="F459" s="5">
        <v>133</v>
      </c>
      <c r="G459" s="5">
        <v>126</v>
      </c>
      <c r="H459" s="5">
        <v>133</v>
      </c>
      <c r="I459" s="5">
        <v>130.25</v>
      </c>
      <c r="J459" s="5">
        <v>128.96</v>
      </c>
      <c r="K459" s="5">
        <v>6421</v>
      </c>
      <c r="L459" s="5">
        <v>8.2799999999999994</v>
      </c>
      <c r="M459" s="5">
        <v>198</v>
      </c>
      <c r="N459" s="5">
        <v>4411</v>
      </c>
      <c r="O459" s="5">
        <v>68.7</v>
      </c>
      <c r="P459" s="5">
        <f t="shared" si="35"/>
        <v>2.6500000000000057</v>
      </c>
      <c r="Q459" s="6">
        <f t="shared" si="36"/>
        <v>2.0768025078369952E-2</v>
      </c>
      <c r="R459" s="5">
        <f t="shared" si="37"/>
        <v>7</v>
      </c>
      <c r="S459" s="6">
        <f t="shared" si="38"/>
        <v>5.4858934169278999E-2</v>
      </c>
      <c r="T459" s="6">
        <f t="shared" si="39"/>
        <v>9.9164024214470417E-3</v>
      </c>
    </row>
    <row r="460" spans="1:20" hidden="1" x14ac:dyDescent="0.25">
      <c r="A460" s="4" t="s">
        <v>471</v>
      </c>
      <c r="B460" s="5" t="s">
        <v>42</v>
      </c>
      <c r="C460" s="5" t="s">
        <v>1823</v>
      </c>
      <c r="D460" s="5">
        <v>8.2899999999999991</v>
      </c>
      <c r="E460" s="5">
        <v>8.02</v>
      </c>
      <c r="F460" s="5">
        <v>8.19</v>
      </c>
      <c r="G460" s="5">
        <v>8.02</v>
      </c>
      <c r="H460" s="5">
        <v>8.1300000000000008</v>
      </c>
      <c r="I460" s="5">
        <v>8.1300000000000008</v>
      </c>
      <c r="J460" s="5">
        <v>8.1</v>
      </c>
      <c r="K460" s="5">
        <v>29160</v>
      </c>
      <c r="L460" s="5">
        <v>2.36</v>
      </c>
      <c r="M460" s="5">
        <v>20</v>
      </c>
      <c r="N460" s="5">
        <v>21670</v>
      </c>
      <c r="O460" s="5">
        <v>74.31</v>
      </c>
      <c r="P460" s="5">
        <f t="shared" ref="P460:P523" si="40">I460-D460</f>
        <v>-0.15999999999999837</v>
      </c>
      <c r="Q460" s="6">
        <f t="shared" ref="Q460:Q523" si="41">P460/D460</f>
        <v>-1.9300361881785088E-2</v>
      </c>
      <c r="R460" s="5">
        <f t="shared" ref="R460:R523" si="42">ABS(F460-G460)</f>
        <v>0.16999999999999993</v>
      </c>
      <c r="S460" s="6">
        <f t="shared" ref="S460:S523" si="43">R460/D460</f>
        <v>2.0506634499396856E-2</v>
      </c>
      <c r="T460" s="6">
        <f t="shared" ref="T460:T523" si="44">(I460-J460)/AVERAGE(E460:G460,I460)</f>
        <v>3.7082818294191765E-3</v>
      </c>
    </row>
    <row r="461" spans="1:20" hidden="1" x14ac:dyDescent="0.25">
      <c r="A461" s="4" t="s">
        <v>472</v>
      </c>
      <c r="B461" s="5" t="s">
        <v>16</v>
      </c>
      <c r="C461" s="5" t="s">
        <v>1823</v>
      </c>
      <c r="D461" s="5">
        <v>999.4</v>
      </c>
      <c r="E461" s="5">
        <v>999.9</v>
      </c>
      <c r="F461" s="5">
        <v>1039.25</v>
      </c>
      <c r="G461" s="5">
        <v>982.3</v>
      </c>
      <c r="H461" s="5">
        <v>985.15</v>
      </c>
      <c r="I461" s="5">
        <v>998.9</v>
      </c>
      <c r="J461" s="5">
        <v>1001.19</v>
      </c>
      <c r="K461" s="5">
        <v>32232</v>
      </c>
      <c r="L461" s="5">
        <v>322.7</v>
      </c>
      <c r="M461" s="5">
        <v>4283</v>
      </c>
      <c r="N461" s="5">
        <v>19979</v>
      </c>
      <c r="O461" s="5">
        <v>61.98</v>
      </c>
      <c r="P461" s="5">
        <f t="shared" si="40"/>
        <v>-0.5</v>
      </c>
      <c r="Q461" s="6">
        <f t="shared" si="41"/>
        <v>-5.0030018010806482E-4</v>
      </c>
      <c r="R461" s="5">
        <f t="shared" si="42"/>
        <v>56.950000000000045</v>
      </c>
      <c r="S461" s="6">
        <f t="shared" si="43"/>
        <v>5.6984190514308634E-2</v>
      </c>
      <c r="T461" s="6">
        <f t="shared" si="44"/>
        <v>-2.2784085962665713E-3</v>
      </c>
    </row>
    <row r="462" spans="1:20" hidden="1" x14ac:dyDescent="0.25">
      <c r="A462" s="4" t="s">
        <v>473</v>
      </c>
      <c r="B462" s="5" t="s">
        <v>16</v>
      </c>
      <c r="C462" s="5" t="s">
        <v>1823</v>
      </c>
      <c r="D462" s="5">
        <v>6.45</v>
      </c>
      <c r="E462" s="5">
        <v>6.45</v>
      </c>
      <c r="F462" s="5">
        <v>6.5</v>
      </c>
      <c r="G462" s="5">
        <v>5.95</v>
      </c>
      <c r="H462" s="5">
        <v>6.25</v>
      </c>
      <c r="I462" s="5">
        <v>6.2</v>
      </c>
      <c r="J462" s="5">
        <v>6.27</v>
      </c>
      <c r="K462" s="5">
        <v>20112</v>
      </c>
      <c r="L462" s="5">
        <v>1.26</v>
      </c>
      <c r="M462" s="5">
        <v>81</v>
      </c>
      <c r="N462" s="5">
        <v>16519</v>
      </c>
      <c r="O462" s="5">
        <v>82.14</v>
      </c>
      <c r="P462" s="5">
        <f t="shared" si="40"/>
        <v>-0.25</v>
      </c>
      <c r="Q462" s="6">
        <f t="shared" si="41"/>
        <v>-3.875968992248062E-2</v>
      </c>
      <c r="R462" s="5">
        <f t="shared" si="42"/>
        <v>0.54999999999999982</v>
      </c>
      <c r="S462" s="6">
        <f t="shared" si="43"/>
        <v>8.5271317829457335E-2</v>
      </c>
      <c r="T462" s="6">
        <f t="shared" si="44"/>
        <v>-1.1155378486055682E-2</v>
      </c>
    </row>
    <row r="463" spans="1:20" x14ac:dyDescent="0.25">
      <c r="A463" s="4" t="s">
        <v>81</v>
      </c>
      <c r="B463" s="5" t="s">
        <v>16</v>
      </c>
      <c r="C463" s="5" t="s">
        <v>1823</v>
      </c>
      <c r="D463" s="5">
        <v>22.4</v>
      </c>
      <c r="E463" s="5">
        <v>22.45</v>
      </c>
      <c r="F463" s="5">
        <v>23.25</v>
      </c>
      <c r="G463" s="5">
        <v>21.65</v>
      </c>
      <c r="H463" s="5">
        <v>21.7</v>
      </c>
      <c r="I463" s="5">
        <v>22.15</v>
      </c>
      <c r="J463" s="5">
        <v>22.57</v>
      </c>
      <c r="K463" s="5">
        <v>141800</v>
      </c>
      <c r="L463" s="5">
        <v>32.01</v>
      </c>
      <c r="M463" s="5">
        <v>709</v>
      </c>
      <c r="N463" s="5">
        <v>40854</v>
      </c>
      <c r="O463" s="5">
        <v>28.81</v>
      </c>
      <c r="P463" s="5">
        <f t="shared" si="40"/>
        <v>-0.25</v>
      </c>
      <c r="Q463" s="6">
        <f t="shared" si="41"/>
        <v>-1.1160714285714286E-2</v>
      </c>
      <c r="R463" s="5">
        <f t="shared" si="42"/>
        <v>1.6000000000000014</v>
      </c>
      <c r="S463" s="6">
        <f t="shared" si="43"/>
        <v>7.1428571428571494E-2</v>
      </c>
      <c r="T463" s="6">
        <f t="shared" si="44"/>
        <v>-1.8770949720670466E-2</v>
      </c>
    </row>
    <row r="464" spans="1:20" hidden="1" x14ac:dyDescent="0.25">
      <c r="A464" s="4" t="s">
        <v>475</v>
      </c>
      <c r="B464" s="5" t="s">
        <v>16</v>
      </c>
      <c r="C464" s="5" t="s">
        <v>1823</v>
      </c>
      <c r="D464" s="5">
        <v>351.25</v>
      </c>
      <c r="E464" s="5">
        <v>351</v>
      </c>
      <c r="F464" s="5">
        <v>364.85</v>
      </c>
      <c r="G464" s="5">
        <v>341</v>
      </c>
      <c r="H464" s="5">
        <v>342</v>
      </c>
      <c r="I464" s="5">
        <v>343.8</v>
      </c>
      <c r="J464" s="5">
        <v>344.86</v>
      </c>
      <c r="K464" s="5">
        <v>2745</v>
      </c>
      <c r="L464" s="5">
        <v>9.4700000000000006</v>
      </c>
      <c r="M464" s="5">
        <v>130</v>
      </c>
      <c r="N464" s="5">
        <v>2117</v>
      </c>
      <c r="O464" s="5">
        <v>77.12</v>
      </c>
      <c r="P464" s="5">
        <f t="shared" si="40"/>
        <v>-7.4499999999999886</v>
      </c>
      <c r="Q464" s="6">
        <f t="shared" si="41"/>
        <v>-2.1209964412811356E-2</v>
      </c>
      <c r="R464" s="5">
        <f t="shared" si="42"/>
        <v>23.850000000000023</v>
      </c>
      <c r="S464" s="6">
        <f t="shared" si="43"/>
        <v>6.7900355871886184E-2</v>
      </c>
      <c r="T464" s="6">
        <f t="shared" si="44"/>
        <v>-3.0271659586620565E-3</v>
      </c>
    </row>
    <row r="465" spans="1:20" hidden="1" x14ac:dyDescent="0.25">
      <c r="A465" s="4" t="s">
        <v>476</v>
      </c>
      <c r="B465" s="5" t="s">
        <v>16</v>
      </c>
      <c r="C465" s="5" t="s">
        <v>1823</v>
      </c>
      <c r="D465" s="5">
        <v>15.7</v>
      </c>
      <c r="E465" s="5">
        <v>15.3</v>
      </c>
      <c r="F465" s="5">
        <v>15.75</v>
      </c>
      <c r="G465" s="5">
        <v>15.1</v>
      </c>
      <c r="H465" s="5">
        <v>15.35</v>
      </c>
      <c r="I465" s="5">
        <v>15.3</v>
      </c>
      <c r="J465" s="5">
        <v>15.26</v>
      </c>
      <c r="K465" s="5">
        <v>7702</v>
      </c>
      <c r="L465" s="5">
        <v>1.18</v>
      </c>
      <c r="M465" s="5">
        <v>88</v>
      </c>
      <c r="N465" s="5">
        <v>4151</v>
      </c>
      <c r="O465" s="5">
        <v>53.9</v>
      </c>
      <c r="P465" s="5">
        <f t="shared" si="40"/>
        <v>-0.39999999999999858</v>
      </c>
      <c r="Q465" s="6">
        <f t="shared" si="41"/>
        <v>-2.5477707006369338E-2</v>
      </c>
      <c r="R465" s="5">
        <f t="shared" si="42"/>
        <v>0.65000000000000036</v>
      </c>
      <c r="S465" s="6">
        <f t="shared" si="43"/>
        <v>4.1401273885350344E-2</v>
      </c>
      <c r="T465" s="6">
        <f t="shared" si="44"/>
        <v>2.6037428803906216E-3</v>
      </c>
    </row>
    <row r="466" spans="1:20" hidden="1" x14ac:dyDescent="0.25">
      <c r="A466" s="4" t="s">
        <v>477</v>
      </c>
      <c r="B466" s="5" t="s">
        <v>16</v>
      </c>
      <c r="C466" s="5" t="s">
        <v>1823</v>
      </c>
      <c r="D466" s="5">
        <v>300.75</v>
      </c>
      <c r="E466" s="5">
        <v>320</v>
      </c>
      <c r="F466" s="5">
        <v>320</v>
      </c>
      <c r="G466" s="5">
        <v>291.25</v>
      </c>
      <c r="H466" s="5">
        <v>319</v>
      </c>
      <c r="I466" s="5">
        <v>319</v>
      </c>
      <c r="J466" s="5">
        <v>315.07</v>
      </c>
      <c r="K466" s="5">
        <v>63</v>
      </c>
      <c r="L466" s="5">
        <v>0.2</v>
      </c>
      <c r="M466" s="5">
        <v>10</v>
      </c>
      <c r="N466" s="5">
        <v>53</v>
      </c>
      <c r="O466" s="5">
        <v>84.13</v>
      </c>
      <c r="P466" s="5">
        <f t="shared" si="40"/>
        <v>18.25</v>
      </c>
      <c r="Q466" s="6">
        <f t="shared" si="41"/>
        <v>6.0681629260182876E-2</v>
      </c>
      <c r="R466" s="5">
        <f t="shared" si="42"/>
        <v>28.75</v>
      </c>
      <c r="S466" s="6">
        <f t="shared" si="43"/>
        <v>9.5594347464671658E-2</v>
      </c>
      <c r="T466" s="6">
        <f t="shared" si="44"/>
        <v>1.2573485302939435E-2</v>
      </c>
    </row>
    <row r="467" spans="1:20" x14ac:dyDescent="0.25">
      <c r="A467" s="4" t="s">
        <v>1008</v>
      </c>
      <c r="B467" s="5" t="s">
        <v>16</v>
      </c>
      <c r="C467" s="5" t="s">
        <v>1823</v>
      </c>
      <c r="D467" s="5">
        <v>136.75</v>
      </c>
      <c r="E467" s="5">
        <v>137.6</v>
      </c>
      <c r="F467" s="5">
        <v>139</v>
      </c>
      <c r="G467" s="5">
        <v>134.15</v>
      </c>
      <c r="H467" s="5">
        <v>135</v>
      </c>
      <c r="I467" s="5">
        <v>134.85</v>
      </c>
      <c r="J467" s="5">
        <v>136.22</v>
      </c>
      <c r="K467" s="5">
        <v>4710611</v>
      </c>
      <c r="L467" s="5">
        <v>6416.96</v>
      </c>
      <c r="M467" s="5">
        <v>27935</v>
      </c>
      <c r="N467" s="5">
        <v>1373442</v>
      </c>
      <c r="O467" s="5">
        <v>29.16</v>
      </c>
      <c r="P467" s="5">
        <f t="shared" si="40"/>
        <v>-1.9000000000000057</v>
      </c>
      <c r="Q467" s="6">
        <f t="shared" si="41"/>
        <v>-1.3893967093235874E-2</v>
      </c>
      <c r="R467" s="5">
        <f t="shared" si="42"/>
        <v>4.8499999999999943</v>
      </c>
      <c r="S467" s="6">
        <f t="shared" si="43"/>
        <v>3.5466179159049316E-2</v>
      </c>
      <c r="T467" s="6">
        <f t="shared" si="44"/>
        <v>-1.0043988269794754E-2</v>
      </c>
    </row>
    <row r="468" spans="1:20" hidden="1" x14ac:dyDescent="0.25">
      <c r="A468" s="4" t="s">
        <v>479</v>
      </c>
      <c r="B468" s="5" t="s">
        <v>480</v>
      </c>
      <c r="C468" s="5" t="s">
        <v>1823</v>
      </c>
      <c r="D468" s="5">
        <v>920</v>
      </c>
      <c r="E468" s="5">
        <v>920</v>
      </c>
      <c r="F468" s="5">
        <v>920</v>
      </c>
      <c r="G468" s="5">
        <v>910</v>
      </c>
      <c r="H468" s="5">
        <v>910</v>
      </c>
      <c r="I468" s="5">
        <v>910</v>
      </c>
      <c r="J468" s="5">
        <v>914.98</v>
      </c>
      <c r="K468" s="5">
        <v>1636</v>
      </c>
      <c r="L468" s="5">
        <v>14.97</v>
      </c>
      <c r="M468" s="5">
        <v>5</v>
      </c>
      <c r="N468" s="5">
        <v>1636</v>
      </c>
      <c r="O468" s="5">
        <v>100</v>
      </c>
      <c r="P468" s="5">
        <f t="shared" si="40"/>
        <v>-10</v>
      </c>
      <c r="Q468" s="6">
        <f t="shared" si="41"/>
        <v>-1.0869565217391304E-2</v>
      </c>
      <c r="R468" s="5">
        <f t="shared" si="42"/>
        <v>10</v>
      </c>
      <c r="S468" s="6">
        <f t="shared" si="43"/>
        <v>1.0869565217391304E-2</v>
      </c>
      <c r="T468" s="6">
        <f t="shared" si="44"/>
        <v>-5.4426229508196923E-3</v>
      </c>
    </row>
    <row r="469" spans="1:20" hidden="1" x14ac:dyDescent="0.25">
      <c r="A469" s="4" t="s">
        <v>479</v>
      </c>
      <c r="B469" s="5" t="s">
        <v>254</v>
      </c>
      <c r="C469" s="5" t="s">
        <v>1823</v>
      </c>
      <c r="D469" s="5">
        <v>1080</v>
      </c>
      <c r="E469" s="5">
        <v>1060</v>
      </c>
      <c r="F469" s="5">
        <v>1065</v>
      </c>
      <c r="G469" s="5">
        <v>865</v>
      </c>
      <c r="H469" s="5">
        <v>939</v>
      </c>
      <c r="I469" s="5">
        <v>937</v>
      </c>
      <c r="J469" s="5">
        <v>932.38</v>
      </c>
      <c r="K469" s="5">
        <v>8</v>
      </c>
      <c r="L469" s="5">
        <v>7.0000000000000007E-2</v>
      </c>
      <c r="M469" s="5">
        <v>5</v>
      </c>
      <c r="N469" s="5">
        <v>4</v>
      </c>
      <c r="O469" s="5">
        <v>50</v>
      </c>
      <c r="P469" s="5">
        <f t="shared" si="40"/>
        <v>-143</v>
      </c>
      <c r="Q469" s="6">
        <f t="shared" si="41"/>
        <v>-0.13240740740740742</v>
      </c>
      <c r="R469" s="5">
        <f t="shared" si="42"/>
        <v>200</v>
      </c>
      <c r="S469" s="6">
        <f t="shared" si="43"/>
        <v>0.18518518518518517</v>
      </c>
      <c r="T469" s="6">
        <f t="shared" si="44"/>
        <v>4.7058823529411813E-3</v>
      </c>
    </row>
    <row r="470" spans="1:20" hidden="1" x14ac:dyDescent="0.25">
      <c r="A470" s="4" t="s">
        <v>479</v>
      </c>
      <c r="B470" s="5" t="s">
        <v>395</v>
      </c>
      <c r="C470" s="5" t="s">
        <v>1823</v>
      </c>
      <c r="D470" s="5">
        <v>800.1</v>
      </c>
      <c r="E470" s="5">
        <v>824</v>
      </c>
      <c r="F470" s="5">
        <v>824</v>
      </c>
      <c r="G470" s="5">
        <v>824</v>
      </c>
      <c r="H470" s="5">
        <v>824</v>
      </c>
      <c r="I470" s="5">
        <v>824</v>
      </c>
      <c r="J470" s="5">
        <v>824</v>
      </c>
      <c r="K470" s="5">
        <v>3</v>
      </c>
      <c r="L470" s="5">
        <v>0.02</v>
      </c>
      <c r="M470" s="5">
        <v>1</v>
      </c>
      <c r="N470" s="5">
        <v>3</v>
      </c>
      <c r="O470" s="5">
        <v>100</v>
      </c>
      <c r="P470" s="5">
        <f t="shared" si="40"/>
        <v>23.899999999999977</v>
      </c>
      <c r="Q470" s="6">
        <f t="shared" si="41"/>
        <v>2.9871266091738503E-2</v>
      </c>
      <c r="R470" s="5">
        <f t="shared" si="42"/>
        <v>0</v>
      </c>
      <c r="S470" s="6">
        <f t="shared" si="43"/>
        <v>0</v>
      </c>
      <c r="T470" s="6">
        <f t="shared" si="44"/>
        <v>0</v>
      </c>
    </row>
    <row r="471" spans="1:20" x14ac:dyDescent="0.25">
      <c r="A471" s="4" t="s">
        <v>249</v>
      </c>
      <c r="B471" s="5" t="s">
        <v>16</v>
      </c>
      <c r="C471" s="5" t="s">
        <v>1823</v>
      </c>
      <c r="D471" s="5">
        <v>105.5</v>
      </c>
      <c r="E471" s="5">
        <v>107.15</v>
      </c>
      <c r="F471" s="5">
        <v>107.15</v>
      </c>
      <c r="G471" s="5">
        <v>101</v>
      </c>
      <c r="H471" s="5">
        <v>102.7</v>
      </c>
      <c r="I471" s="5">
        <v>103.1</v>
      </c>
      <c r="J471" s="5">
        <v>105.15</v>
      </c>
      <c r="K471" s="5">
        <v>181477</v>
      </c>
      <c r="L471" s="5">
        <v>190.82</v>
      </c>
      <c r="M471" s="5">
        <v>2171</v>
      </c>
      <c r="N471" s="5">
        <v>54016</v>
      </c>
      <c r="O471" s="5">
        <v>29.76</v>
      </c>
      <c r="P471" s="5">
        <f t="shared" si="40"/>
        <v>-2.4000000000000057</v>
      </c>
      <c r="Q471" s="6">
        <f t="shared" si="41"/>
        <v>-2.2748815165876832E-2</v>
      </c>
      <c r="R471" s="5">
        <f t="shared" si="42"/>
        <v>6.1500000000000057</v>
      </c>
      <c r="S471" s="6">
        <f t="shared" si="43"/>
        <v>5.8293838862559295E-2</v>
      </c>
      <c r="T471" s="6">
        <f t="shared" si="44"/>
        <v>-1.9598470363288829E-2</v>
      </c>
    </row>
    <row r="472" spans="1:20" x14ac:dyDescent="0.25">
      <c r="A472" s="4" t="s">
        <v>1696</v>
      </c>
      <c r="B472" s="5" t="s">
        <v>16</v>
      </c>
      <c r="C472" s="5" t="s">
        <v>1823</v>
      </c>
      <c r="D472" s="5">
        <v>54.45</v>
      </c>
      <c r="E472" s="5">
        <v>53.6</v>
      </c>
      <c r="F472" s="5">
        <v>54.2</v>
      </c>
      <c r="G472" s="5">
        <v>50</v>
      </c>
      <c r="H472" s="5">
        <v>50.5</v>
      </c>
      <c r="I472" s="5">
        <v>51</v>
      </c>
      <c r="J472" s="5">
        <v>52.04</v>
      </c>
      <c r="K472" s="5">
        <v>1441201</v>
      </c>
      <c r="L472" s="5">
        <v>749.94</v>
      </c>
      <c r="M472" s="5">
        <v>9949</v>
      </c>
      <c r="N472" s="5">
        <v>429268</v>
      </c>
      <c r="O472" s="5">
        <v>29.79</v>
      </c>
      <c r="P472" s="5">
        <f t="shared" si="40"/>
        <v>-3.4500000000000028</v>
      </c>
      <c r="Q472" s="6">
        <f t="shared" si="41"/>
        <v>-6.3360881542699768E-2</v>
      </c>
      <c r="R472" s="5">
        <f t="shared" si="42"/>
        <v>4.2000000000000028</v>
      </c>
      <c r="S472" s="6">
        <f t="shared" si="43"/>
        <v>7.7134986225895361E-2</v>
      </c>
      <c r="T472" s="6">
        <f t="shared" si="44"/>
        <v>-1.9923371647509562E-2</v>
      </c>
    </row>
    <row r="473" spans="1:20" hidden="1" x14ac:dyDescent="0.25">
      <c r="A473" s="4" t="s">
        <v>483</v>
      </c>
      <c r="B473" s="5" t="s">
        <v>16</v>
      </c>
      <c r="C473" s="5" t="s">
        <v>1823</v>
      </c>
      <c r="D473" s="5">
        <v>1199.8</v>
      </c>
      <c r="E473" s="5">
        <v>1199.9000000000001</v>
      </c>
      <c r="F473" s="5">
        <v>1221.5</v>
      </c>
      <c r="G473" s="5">
        <v>1174</v>
      </c>
      <c r="H473" s="5">
        <v>1175</v>
      </c>
      <c r="I473" s="5">
        <v>1180.7</v>
      </c>
      <c r="J473" s="5">
        <v>1192.4000000000001</v>
      </c>
      <c r="K473" s="5">
        <v>2893</v>
      </c>
      <c r="L473" s="5">
        <v>34.5</v>
      </c>
      <c r="M473" s="5">
        <v>419</v>
      </c>
      <c r="N473" s="5">
        <v>1898</v>
      </c>
      <c r="O473" s="5">
        <v>65.61</v>
      </c>
      <c r="P473" s="5">
        <f t="shared" si="40"/>
        <v>-19.099999999999909</v>
      </c>
      <c r="Q473" s="6">
        <f t="shared" si="41"/>
        <v>-1.5919319886647701E-2</v>
      </c>
      <c r="R473" s="5">
        <f t="shared" si="42"/>
        <v>47.5</v>
      </c>
      <c r="S473" s="6">
        <f t="shared" si="43"/>
        <v>3.9589931655275884E-2</v>
      </c>
      <c r="T473" s="6">
        <f t="shared" si="44"/>
        <v>-9.7987898075836306E-3</v>
      </c>
    </row>
    <row r="474" spans="1:20" x14ac:dyDescent="0.25">
      <c r="A474" s="4" t="s">
        <v>1234</v>
      </c>
      <c r="B474" s="5" t="s">
        <v>16</v>
      </c>
      <c r="C474" s="5" t="s">
        <v>1823</v>
      </c>
      <c r="D474" s="5">
        <v>131.5</v>
      </c>
      <c r="E474" s="5">
        <v>131.69999999999999</v>
      </c>
      <c r="F474" s="5">
        <v>132.69999999999999</v>
      </c>
      <c r="G474" s="5">
        <v>126.2</v>
      </c>
      <c r="H474" s="5">
        <v>127.7</v>
      </c>
      <c r="I474" s="5">
        <v>128.4</v>
      </c>
      <c r="J474" s="5">
        <v>129.94999999999999</v>
      </c>
      <c r="K474" s="5">
        <v>766797</v>
      </c>
      <c r="L474" s="5">
        <v>996.43</v>
      </c>
      <c r="M474" s="5">
        <v>10172</v>
      </c>
      <c r="N474" s="5">
        <v>229633</v>
      </c>
      <c r="O474" s="5">
        <v>29.95</v>
      </c>
      <c r="P474" s="5">
        <f t="shared" si="40"/>
        <v>-3.0999999999999943</v>
      </c>
      <c r="Q474" s="6">
        <f t="shared" si="41"/>
        <v>-2.3574144486691973E-2</v>
      </c>
      <c r="R474" s="5">
        <f t="shared" si="42"/>
        <v>6.4999999999999858</v>
      </c>
      <c r="S474" s="6">
        <f t="shared" si="43"/>
        <v>4.9429657794676701E-2</v>
      </c>
      <c r="T474" s="6">
        <f t="shared" si="44"/>
        <v>-1.1946050096338982E-2</v>
      </c>
    </row>
    <row r="475" spans="1:20" hidden="1" x14ac:dyDescent="0.25">
      <c r="A475" s="4" t="s">
        <v>485</v>
      </c>
      <c r="B475" s="5" t="s">
        <v>39</v>
      </c>
      <c r="C475" s="5" t="s">
        <v>1823</v>
      </c>
      <c r="D475" s="5">
        <v>8.25</v>
      </c>
      <c r="E475" s="5">
        <v>8</v>
      </c>
      <c r="F475" s="5">
        <v>8.5</v>
      </c>
      <c r="G475" s="5">
        <v>7.85</v>
      </c>
      <c r="H475" s="5">
        <v>8.1999999999999993</v>
      </c>
      <c r="I475" s="5">
        <v>8.1999999999999993</v>
      </c>
      <c r="J475" s="5">
        <v>7.89</v>
      </c>
      <c r="K475" s="5">
        <v>3337</v>
      </c>
      <c r="L475" s="5">
        <v>0.26</v>
      </c>
      <c r="M475" s="5">
        <v>23</v>
      </c>
      <c r="N475" s="5" t="s">
        <v>25</v>
      </c>
      <c r="O475" s="5" t="s">
        <v>25</v>
      </c>
      <c r="P475" s="5">
        <f t="shared" si="40"/>
        <v>-5.0000000000000711E-2</v>
      </c>
      <c r="Q475" s="6">
        <f t="shared" si="41"/>
        <v>-6.0606060606061465E-3</v>
      </c>
      <c r="R475" s="5">
        <f t="shared" si="42"/>
        <v>0.65000000000000036</v>
      </c>
      <c r="S475" s="6">
        <f t="shared" si="43"/>
        <v>7.8787878787878837E-2</v>
      </c>
      <c r="T475" s="6">
        <f t="shared" si="44"/>
        <v>3.809523809523805E-2</v>
      </c>
    </row>
    <row r="476" spans="1:20" hidden="1" x14ac:dyDescent="0.25">
      <c r="A476" s="4" t="s">
        <v>486</v>
      </c>
      <c r="B476" s="5" t="s">
        <v>16</v>
      </c>
      <c r="C476" s="5" t="s">
        <v>1823</v>
      </c>
      <c r="D476" s="5">
        <v>115.45</v>
      </c>
      <c r="E476" s="5">
        <v>112.25</v>
      </c>
      <c r="F476" s="5">
        <v>116.05</v>
      </c>
      <c r="G476" s="5">
        <v>112.2</v>
      </c>
      <c r="H476" s="5">
        <v>115.1</v>
      </c>
      <c r="I476" s="5">
        <v>115.2</v>
      </c>
      <c r="J476" s="5">
        <v>114.96</v>
      </c>
      <c r="K476" s="5">
        <v>71547</v>
      </c>
      <c r="L476" s="5">
        <v>82.25</v>
      </c>
      <c r="M476" s="5">
        <v>1257</v>
      </c>
      <c r="N476" s="5">
        <v>49759</v>
      </c>
      <c r="O476" s="5">
        <v>69.55</v>
      </c>
      <c r="P476" s="5">
        <f t="shared" si="40"/>
        <v>-0.25</v>
      </c>
      <c r="Q476" s="6">
        <f t="shared" si="41"/>
        <v>-2.1654395842355999E-3</v>
      </c>
      <c r="R476" s="5">
        <f t="shared" si="42"/>
        <v>3.8499999999999943</v>
      </c>
      <c r="S476" s="6">
        <f t="shared" si="43"/>
        <v>3.334776959722819E-2</v>
      </c>
      <c r="T476" s="6">
        <f t="shared" si="44"/>
        <v>2.1066491112574862E-3</v>
      </c>
    </row>
    <row r="477" spans="1:20" hidden="1" x14ac:dyDescent="0.25">
      <c r="A477" s="4" t="s">
        <v>487</v>
      </c>
      <c r="B477" s="5" t="s">
        <v>39</v>
      </c>
      <c r="C477" s="5" t="s">
        <v>1823</v>
      </c>
      <c r="D477" s="5">
        <v>33.450000000000003</v>
      </c>
      <c r="E477" s="5">
        <v>33.25</v>
      </c>
      <c r="F477" s="5">
        <v>34.700000000000003</v>
      </c>
      <c r="G477" s="5">
        <v>32.200000000000003</v>
      </c>
      <c r="H477" s="5">
        <v>33</v>
      </c>
      <c r="I477" s="5">
        <v>32.700000000000003</v>
      </c>
      <c r="J477" s="5">
        <v>33.11</v>
      </c>
      <c r="K477" s="5">
        <v>22117</v>
      </c>
      <c r="L477" s="5">
        <v>7.32</v>
      </c>
      <c r="M477" s="5">
        <v>133</v>
      </c>
      <c r="N477" s="5" t="s">
        <v>25</v>
      </c>
      <c r="O477" s="5" t="s">
        <v>25</v>
      </c>
      <c r="P477" s="5">
        <f t="shared" si="40"/>
        <v>-0.75</v>
      </c>
      <c r="Q477" s="6">
        <f t="shared" si="41"/>
        <v>-2.2421524663677129E-2</v>
      </c>
      <c r="R477" s="5">
        <f t="shared" si="42"/>
        <v>2.5</v>
      </c>
      <c r="S477" s="6">
        <f t="shared" si="43"/>
        <v>7.4738415545590423E-2</v>
      </c>
      <c r="T477" s="6">
        <f t="shared" si="44"/>
        <v>-1.2344749717726654E-2</v>
      </c>
    </row>
    <row r="478" spans="1:20" hidden="1" x14ac:dyDescent="0.25">
      <c r="A478" s="4" t="s">
        <v>488</v>
      </c>
      <c r="B478" s="5" t="s">
        <v>24</v>
      </c>
      <c r="C478" s="5" t="s">
        <v>1823</v>
      </c>
      <c r="D478" s="5">
        <v>0.65</v>
      </c>
      <c r="E478" s="5">
        <v>0.65</v>
      </c>
      <c r="F478" s="5">
        <v>0.7</v>
      </c>
      <c r="G478" s="5">
        <v>0.6</v>
      </c>
      <c r="H478" s="5">
        <v>0.7</v>
      </c>
      <c r="I478" s="5">
        <v>0.7</v>
      </c>
      <c r="J478" s="5">
        <v>0.63</v>
      </c>
      <c r="K478" s="5">
        <v>1730</v>
      </c>
      <c r="L478" s="5">
        <v>0.01</v>
      </c>
      <c r="M478" s="5">
        <v>7</v>
      </c>
      <c r="N478" s="5" t="s">
        <v>25</v>
      </c>
      <c r="O478" s="5" t="s">
        <v>25</v>
      </c>
      <c r="P478" s="5">
        <f t="shared" si="40"/>
        <v>4.9999999999999933E-2</v>
      </c>
      <c r="Q478" s="6">
        <f t="shared" si="41"/>
        <v>7.6923076923076816E-2</v>
      </c>
      <c r="R478" s="5">
        <f t="shared" si="42"/>
        <v>9.9999999999999978E-2</v>
      </c>
      <c r="S478" s="6">
        <f t="shared" si="43"/>
        <v>0.1538461538461538</v>
      </c>
      <c r="T478" s="6">
        <f t="shared" si="44"/>
        <v>0.10566037735849047</v>
      </c>
    </row>
    <row r="479" spans="1:20" x14ac:dyDescent="0.25">
      <c r="A479" s="4" t="s">
        <v>599</v>
      </c>
      <c r="B479" s="5" t="s">
        <v>16</v>
      </c>
      <c r="C479" s="5" t="s">
        <v>1823</v>
      </c>
      <c r="D479" s="5">
        <v>176.9</v>
      </c>
      <c r="E479" s="5">
        <v>176.5</v>
      </c>
      <c r="F479" s="5">
        <v>190</v>
      </c>
      <c r="G479" s="5">
        <v>171.8</v>
      </c>
      <c r="H479" s="5">
        <v>176.35</v>
      </c>
      <c r="I479" s="5">
        <v>177.25</v>
      </c>
      <c r="J479" s="5">
        <v>181.73</v>
      </c>
      <c r="K479" s="5">
        <v>1423679</v>
      </c>
      <c r="L479" s="5">
        <v>2587.27</v>
      </c>
      <c r="M479" s="5">
        <v>29024</v>
      </c>
      <c r="N479" s="5">
        <v>432162</v>
      </c>
      <c r="O479" s="5">
        <v>30.36</v>
      </c>
      <c r="P479" s="5">
        <f t="shared" si="40"/>
        <v>0.34999999999999432</v>
      </c>
      <c r="Q479" s="6">
        <f t="shared" si="41"/>
        <v>1.9785189372526529E-3</v>
      </c>
      <c r="R479" s="5">
        <f t="shared" si="42"/>
        <v>18.199999999999989</v>
      </c>
      <c r="S479" s="6">
        <f t="shared" si="43"/>
        <v>0.10288298473713955</v>
      </c>
      <c r="T479" s="6">
        <f t="shared" si="44"/>
        <v>-2.5043672699322145E-2</v>
      </c>
    </row>
    <row r="480" spans="1:20" hidden="1" x14ac:dyDescent="0.25">
      <c r="A480" s="4" t="s">
        <v>490</v>
      </c>
      <c r="B480" s="5" t="s">
        <v>16</v>
      </c>
      <c r="C480" s="5" t="s">
        <v>1823</v>
      </c>
      <c r="D480" s="5">
        <v>360.9</v>
      </c>
      <c r="E480" s="5">
        <v>361</v>
      </c>
      <c r="F480" s="5">
        <v>361.05</v>
      </c>
      <c r="G480" s="5">
        <v>345.3</v>
      </c>
      <c r="H480" s="5">
        <v>348</v>
      </c>
      <c r="I480" s="5">
        <v>346.7</v>
      </c>
      <c r="J480" s="5">
        <v>352.12</v>
      </c>
      <c r="K480" s="5">
        <v>23703</v>
      </c>
      <c r="L480" s="5">
        <v>83.46</v>
      </c>
      <c r="M480" s="5">
        <v>1368</v>
      </c>
      <c r="N480" s="5">
        <v>14186</v>
      </c>
      <c r="O480" s="5">
        <v>59.85</v>
      </c>
      <c r="P480" s="5">
        <f t="shared" si="40"/>
        <v>-14.199999999999989</v>
      </c>
      <c r="Q480" s="6">
        <f t="shared" si="41"/>
        <v>-3.9346079246328595E-2</v>
      </c>
      <c r="R480" s="5">
        <f t="shared" si="42"/>
        <v>15.75</v>
      </c>
      <c r="S480" s="6">
        <f t="shared" si="43"/>
        <v>4.3640897755610975E-2</v>
      </c>
      <c r="T480" s="6">
        <f t="shared" si="44"/>
        <v>-1.5331848237332531E-2</v>
      </c>
    </row>
    <row r="481" spans="1:20" hidden="1" x14ac:dyDescent="0.25">
      <c r="A481" s="4" t="s">
        <v>491</v>
      </c>
      <c r="B481" s="5" t="s">
        <v>39</v>
      </c>
      <c r="C481" s="5" t="s">
        <v>1823</v>
      </c>
      <c r="D481" s="5">
        <v>1</v>
      </c>
      <c r="E481" s="5">
        <v>0.95</v>
      </c>
      <c r="F481" s="5">
        <v>0.95</v>
      </c>
      <c r="G481" s="5">
        <v>0.95</v>
      </c>
      <c r="H481" s="5">
        <v>0.95</v>
      </c>
      <c r="I481" s="5">
        <v>0.95</v>
      </c>
      <c r="J481" s="5">
        <v>0.95</v>
      </c>
      <c r="K481" s="5">
        <v>3689</v>
      </c>
      <c r="L481" s="5">
        <v>0.04</v>
      </c>
      <c r="M481" s="5">
        <v>22</v>
      </c>
      <c r="N481" s="5" t="s">
        <v>25</v>
      </c>
      <c r="O481" s="5" t="s">
        <v>25</v>
      </c>
      <c r="P481" s="5">
        <f t="shared" si="40"/>
        <v>-5.0000000000000044E-2</v>
      </c>
      <c r="Q481" s="6">
        <f t="shared" si="41"/>
        <v>-5.0000000000000044E-2</v>
      </c>
      <c r="R481" s="5">
        <f t="shared" si="42"/>
        <v>0</v>
      </c>
      <c r="S481" s="6">
        <f t="shared" si="43"/>
        <v>0</v>
      </c>
      <c r="T481" s="6">
        <f t="shared" si="44"/>
        <v>0</v>
      </c>
    </row>
    <row r="482" spans="1:20" hidden="1" x14ac:dyDescent="0.25">
      <c r="A482" s="4" t="s">
        <v>492</v>
      </c>
      <c r="B482" s="5" t="s">
        <v>16</v>
      </c>
      <c r="C482" s="5" t="s">
        <v>1823</v>
      </c>
      <c r="D482" s="5">
        <v>923.5</v>
      </c>
      <c r="E482" s="5">
        <v>925</v>
      </c>
      <c r="F482" s="5">
        <v>925.9</v>
      </c>
      <c r="G482" s="5">
        <v>901.2</v>
      </c>
      <c r="H482" s="5">
        <v>919.55</v>
      </c>
      <c r="I482" s="5">
        <v>922</v>
      </c>
      <c r="J482" s="5">
        <v>913.39</v>
      </c>
      <c r="K482" s="5">
        <v>6505</v>
      </c>
      <c r="L482" s="5">
        <v>59.42</v>
      </c>
      <c r="M482" s="5">
        <v>803</v>
      </c>
      <c r="N482" s="5">
        <v>3701</v>
      </c>
      <c r="O482" s="5">
        <v>56.89</v>
      </c>
      <c r="P482" s="5">
        <f t="shared" si="40"/>
        <v>-1.5</v>
      </c>
      <c r="Q482" s="6">
        <f t="shared" si="41"/>
        <v>-1.6242555495397943E-3</v>
      </c>
      <c r="R482" s="5">
        <f t="shared" si="42"/>
        <v>24.699999999999932</v>
      </c>
      <c r="S482" s="6">
        <f t="shared" si="43"/>
        <v>2.6746074715755203E-2</v>
      </c>
      <c r="T482" s="6">
        <f t="shared" si="44"/>
        <v>9.373724177349569E-3</v>
      </c>
    </row>
    <row r="483" spans="1:20" x14ac:dyDescent="0.25">
      <c r="A483" s="4" t="s">
        <v>417</v>
      </c>
      <c r="B483" s="5" t="s">
        <v>16</v>
      </c>
      <c r="C483" s="5" t="s">
        <v>1823</v>
      </c>
      <c r="D483" s="5">
        <v>1880.25</v>
      </c>
      <c r="E483" s="5">
        <v>1830</v>
      </c>
      <c r="F483" s="5">
        <v>1927.7</v>
      </c>
      <c r="G483" s="5">
        <v>1830</v>
      </c>
      <c r="H483" s="5">
        <v>1898</v>
      </c>
      <c r="I483" s="5">
        <v>1902.2</v>
      </c>
      <c r="J483" s="5">
        <v>1896.31</v>
      </c>
      <c r="K483" s="5">
        <v>725716</v>
      </c>
      <c r="L483" s="5">
        <v>13761.84</v>
      </c>
      <c r="M483" s="5">
        <v>50240</v>
      </c>
      <c r="N483" s="5">
        <v>221129</v>
      </c>
      <c r="O483" s="5">
        <v>30.47</v>
      </c>
      <c r="P483" s="5">
        <f t="shared" si="40"/>
        <v>21.950000000000045</v>
      </c>
      <c r="Q483" s="6">
        <f t="shared" si="41"/>
        <v>1.1673979523999492E-2</v>
      </c>
      <c r="R483" s="5">
        <f t="shared" si="42"/>
        <v>97.700000000000045</v>
      </c>
      <c r="S483" s="6">
        <f t="shared" si="43"/>
        <v>5.1961175375614968E-2</v>
      </c>
      <c r="T483" s="6">
        <f t="shared" si="44"/>
        <v>3.1455693667472731E-3</v>
      </c>
    </row>
    <row r="484" spans="1:20" hidden="1" x14ac:dyDescent="0.25">
      <c r="A484" s="4" t="s">
        <v>494</v>
      </c>
      <c r="B484" s="5" t="s">
        <v>16</v>
      </c>
      <c r="C484" s="5" t="s">
        <v>1823</v>
      </c>
      <c r="D484" s="5">
        <v>320.75</v>
      </c>
      <c r="E484" s="5">
        <v>315.05</v>
      </c>
      <c r="F484" s="5">
        <v>322</v>
      </c>
      <c r="G484" s="5">
        <v>315</v>
      </c>
      <c r="H484" s="5">
        <v>315</v>
      </c>
      <c r="I484" s="5">
        <v>318.75</v>
      </c>
      <c r="J484" s="5">
        <v>319.33</v>
      </c>
      <c r="K484" s="5">
        <v>4904</v>
      </c>
      <c r="L484" s="5">
        <v>15.66</v>
      </c>
      <c r="M484" s="5">
        <v>146</v>
      </c>
      <c r="N484" s="5">
        <v>3791</v>
      </c>
      <c r="O484" s="5">
        <v>77.3</v>
      </c>
      <c r="P484" s="5">
        <f t="shared" si="40"/>
        <v>-2</v>
      </c>
      <c r="Q484" s="6">
        <f t="shared" si="41"/>
        <v>-6.2353858144972721E-3</v>
      </c>
      <c r="R484" s="5">
        <f t="shared" si="42"/>
        <v>7</v>
      </c>
      <c r="S484" s="6">
        <f t="shared" si="43"/>
        <v>2.1823850350740453E-2</v>
      </c>
      <c r="T484" s="6">
        <f t="shared" si="44"/>
        <v>-1.8256216556499342E-3</v>
      </c>
    </row>
    <row r="485" spans="1:20" x14ac:dyDescent="0.25">
      <c r="A485" s="4" t="s">
        <v>1090</v>
      </c>
      <c r="B485" s="5" t="s">
        <v>16</v>
      </c>
      <c r="C485" s="5" t="s">
        <v>1823</v>
      </c>
      <c r="D485" s="5">
        <v>689.95</v>
      </c>
      <c r="E485" s="5">
        <v>684.1</v>
      </c>
      <c r="F485" s="5">
        <v>688</v>
      </c>
      <c r="G485" s="5">
        <v>660.1</v>
      </c>
      <c r="H485" s="5">
        <v>671.95</v>
      </c>
      <c r="I485" s="5">
        <v>669.15</v>
      </c>
      <c r="J485" s="5">
        <v>673.73</v>
      </c>
      <c r="K485" s="5">
        <v>1223779</v>
      </c>
      <c r="L485" s="5">
        <v>8244.99</v>
      </c>
      <c r="M485" s="5">
        <v>28568</v>
      </c>
      <c r="N485" s="5">
        <v>375730</v>
      </c>
      <c r="O485" s="5">
        <v>30.7</v>
      </c>
      <c r="P485" s="5">
        <f t="shared" si="40"/>
        <v>-20.800000000000068</v>
      </c>
      <c r="Q485" s="6">
        <f t="shared" si="41"/>
        <v>-3.0147112109573253E-2</v>
      </c>
      <c r="R485" s="5">
        <f t="shared" si="42"/>
        <v>27.899999999999977</v>
      </c>
      <c r="S485" s="6">
        <f t="shared" si="43"/>
        <v>4.0437712877744732E-2</v>
      </c>
      <c r="T485" s="6">
        <f t="shared" si="44"/>
        <v>-6.7817942880412253E-3</v>
      </c>
    </row>
    <row r="486" spans="1:20" hidden="1" x14ac:dyDescent="0.25">
      <c r="A486" s="4" t="s">
        <v>496</v>
      </c>
      <c r="B486" s="5" t="s">
        <v>16</v>
      </c>
      <c r="C486" s="5" t="s">
        <v>1823</v>
      </c>
      <c r="D486" s="5">
        <v>514.20000000000005</v>
      </c>
      <c r="E486" s="5">
        <v>519.95000000000005</v>
      </c>
      <c r="F486" s="5">
        <v>536.79999999999995</v>
      </c>
      <c r="G486" s="5">
        <v>495.05</v>
      </c>
      <c r="H486" s="5">
        <v>495.05</v>
      </c>
      <c r="I486" s="5">
        <v>496.05</v>
      </c>
      <c r="J486" s="5">
        <v>507.27</v>
      </c>
      <c r="K486" s="5">
        <v>4530</v>
      </c>
      <c r="L486" s="5">
        <v>22.98</v>
      </c>
      <c r="M486" s="5">
        <v>441</v>
      </c>
      <c r="N486" s="5">
        <v>2776</v>
      </c>
      <c r="O486" s="5">
        <v>61.28</v>
      </c>
      <c r="P486" s="5">
        <f t="shared" si="40"/>
        <v>-18.150000000000034</v>
      </c>
      <c r="Q486" s="6">
        <f t="shared" si="41"/>
        <v>-3.5297549591598663E-2</v>
      </c>
      <c r="R486" s="5">
        <f t="shared" si="42"/>
        <v>41.749999999999943</v>
      </c>
      <c r="S486" s="6">
        <f t="shared" si="43"/>
        <v>8.1194087903539366E-2</v>
      </c>
      <c r="T486" s="6">
        <f t="shared" si="44"/>
        <v>-2.1915667651439256E-2</v>
      </c>
    </row>
    <row r="487" spans="1:20" x14ac:dyDescent="0.25">
      <c r="A487" s="4" t="s">
        <v>224</v>
      </c>
      <c r="B487" s="5" t="s">
        <v>16</v>
      </c>
      <c r="C487" s="5" t="s">
        <v>1823</v>
      </c>
      <c r="D487" s="5">
        <v>184.75</v>
      </c>
      <c r="E487" s="5">
        <v>184.4</v>
      </c>
      <c r="F487" s="5">
        <v>186.5</v>
      </c>
      <c r="G487" s="5">
        <v>175.15</v>
      </c>
      <c r="H487" s="5">
        <v>181.9</v>
      </c>
      <c r="I487" s="5">
        <v>179.75</v>
      </c>
      <c r="J487" s="5">
        <v>181.13</v>
      </c>
      <c r="K487" s="5">
        <v>423655</v>
      </c>
      <c r="L487" s="5">
        <v>767.35</v>
      </c>
      <c r="M487" s="5">
        <v>9323</v>
      </c>
      <c r="N487" s="5">
        <v>131266</v>
      </c>
      <c r="O487" s="5">
        <v>30.98</v>
      </c>
      <c r="P487" s="5">
        <f t="shared" si="40"/>
        <v>-5</v>
      </c>
      <c r="Q487" s="6">
        <f t="shared" si="41"/>
        <v>-2.7063599458728011E-2</v>
      </c>
      <c r="R487" s="5">
        <f t="shared" si="42"/>
        <v>11.349999999999994</v>
      </c>
      <c r="S487" s="6">
        <f t="shared" si="43"/>
        <v>6.1434370771312551E-2</v>
      </c>
      <c r="T487" s="6">
        <f t="shared" si="44"/>
        <v>-7.6054009368971926E-3</v>
      </c>
    </row>
    <row r="488" spans="1:20" x14ac:dyDescent="0.25">
      <c r="A488" s="4" t="s">
        <v>1555</v>
      </c>
      <c r="B488" s="5" t="s">
        <v>16</v>
      </c>
      <c r="C488" s="5" t="s">
        <v>1823</v>
      </c>
      <c r="D488" s="5">
        <v>135.94999999999999</v>
      </c>
      <c r="E488" s="5">
        <v>136.69999999999999</v>
      </c>
      <c r="F488" s="5">
        <v>143.69999999999999</v>
      </c>
      <c r="G488" s="5">
        <v>131.5</v>
      </c>
      <c r="H488" s="5">
        <v>142.5</v>
      </c>
      <c r="I488" s="5">
        <v>141.69999999999999</v>
      </c>
      <c r="J488" s="5">
        <v>140.44999999999999</v>
      </c>
      <c r="K488" s="5">
        <v>514068</v>
      </c>
      <c r="L488" s="5">
        <v>722.02</v>
      </c>
      <c r="M488" s="5">
        <v>8317</v>
      </c>
      <c r="N488" s="5">
        <v>160218</v>
      </c>
      <c r="O488" s="5">
        <v>31.17</v>
      </c>
      <c r="P488" s="5">
        <f t="shared" si="40"/>
        <v>5.75</v>
      </c>
      <c r="Q488" s="6">
        <f t="shared" si="41"/>
        <v>4.2294961382861353E-2</v>
      </c>
      <c r="R488" s="5">
        <f t="shared" si="42"/>
        <v>12.199999999999989</v>
      </c>
      <c r="S488" s="6">
        <f t="shared" si="43"/>
        <v>8.9738874586244868E-2</v>
      </c>
      <c r="T488" s="6">
        <f t="shared" si="44"/>
        <v>9.0317919075144516E-3</v>
      </c>
    </row>
    <row r="489" spans="1:20" hidden="1" x14ac:dyDescent="0.25">
      <c r="A489" s="4" t="s">
        <v>499</v>
      </c>
      <c r="B489" s="5" t="s">
        <v>16</v>
      </c>
      <c r="C489" s="5" t="s">
        <v>1823</v>
      </c>
      <c r="D489" s="5">
        <v>0.25</v>
      </c>
      <c r="E489" s="5">
        <v>0.25</v>
      </c>
      <c r="F489" s="5">
        <v>0.3</v>
      </c>
      <c r="G489" s="5">
        <v>0.2</v>
      </c>
      <c r="H489" s="5">
        <v>0.25</v>
      </c>
      <c r="I489" s="5">
        <v>0.25</v>
      </c>
      <c r="J489" s="5">
        <v>0.26</v>
      </c>
      <c r="K489" s="5">
        <v>479071</v>
      </c>
      <c r="L489" s="5">
        <v>1.24</v>
      </c>
      <c r="M489" s="5">
        <v>5343</v>
      </c>
      <c r="N489" s="5">
        <v>462589</v>
      </c>
      <c r="O489" s="5">
        <v>96.56</v>
      </c>
      <c r="P489" s="5">
        <f t="shared" si="40"/>
        <v>0</v>
      </c>
      <c r="Q489" s="6">
        <f t="shared" si="41"/>
        <v>0</v>
      </c>
      <c r="R489" s="5">
        <f t="shared" si="42"/>
        <v>9.9999999999999978E-2</v>
      </c>
      <c r="S489" s="6">
        <f t="shared" si="43"/>
        <v>0.39999999999999991</v>
      </c>
      <c r="T489" s="6">
        <f t="shared" si="44"/>
        <v>-4.0000000000000036E-2</v>
      </c>
    </row>
    <row r="490" spans="1:20" hidden="1" x14ac:dyDescent="0.25">
      <c r="A490" s="4" t="s">
        <v>500</v>
      </c>
      <c r="B490" s="5" t="s">
        <v>16</v>
      </c>
      <c r="C490" s="5" t="s">
        <v>1823</v>
      </c>
      <c r="D490" s="5">
        <v>175.65</v>
      </c>
      <c r="E490" s="5">
        <v>175.75</v>
      </c>
      <c r="F490" s="5">
        <v>177</v>
      </c>
      <c r="G490" s="5">
        <v>173.5</v>
      </c>
      <c r="H490" s="5">
        <v>174.85</v>
      </c>
      <c r="I490" s="5">
        <v>174.95</v>
      </c>
      <c r="J490" s="5">
        <v>175.49</v>
      </c>
      <c r="K490" s="5">
        <v>6587</v>
      </c>
      <c r="L490" s="5">
        <v>11.56</v>
      </c>
      <c r="M490" s="5">
        <v>286</v>
      </c>
      <c r="N490" s="5">
        <v>4737</v>
      </c>
      <c r="O490" s="5">
        <v>71.91</v>
      </c>
      <c r="P490" s="5">
        <f t="shared" si="40"/>
        <v>-0.70000000000001705</v>
      </c>
      <c r="Q490" s="6">
        <f t="shared" si="41"/>
        <v>-3.9851978366069853E-3</v>
      </c>
      <c r="R490" s="5">
        <f t="shared" si="42"/>
        <v>3.5</v>
      </c>
      <c r="S490" s="6">
        <f t="shared" si="43"/>
        <v>1.9925989183034443E-2</v>
      </c>
      <c r="T490" s="6">
        <f t="shared" si="44"/>
        <v>-3.0804335424986905E-3</v>
      </c>
    </row>
    <row r="491" spans="1:20" hidden="1" x14ac:dyDescent="0.25">
      <c r="A491" s="4" t="s">
        <v>501</v>
      </c>
      <c r="B491" s="5" t="s">
        <v>16</v>
      </c>
      <c r="C491" s="5" t="s">
        <v>1823</v>
      </c>
      <c r="D491" s="5">
        <v>94.3</v>
      </c>
      <c r="E491" s="5">
        <v>93.1</v>
      </c>
      <c r="F491" s="5">
        <v>94.25</v>
      </c>
      <c r="G491" s="5">
        <v>91.6</v>
      </c>
      <c r="H491" s="5">
        <v>91.95</v>
      </c>
      <c r="I491" s="5">
        <v>92.1</v>
      </c>
      <c r="J491" s="5">
        <v>92.65</v>
      </c>
      <c r="K491" s="5">
        <v>8348656</v>
      </c>
      <c r="L491" s="5">
        <v>7734.87</v>
      </c>
      <c r="M491" s="5">
        <v>36717</v>
      </c>
      <c r="N491" s="5">
        <v>2547280</v>
      </c>
      <c r="O491" s="5">
        <v>30.51</v>
      </c>
      <c r="P491" s="5">
        <f t="shared" si="40"/>
        <v>-2.2000000000000028</v>
      </c>
      <c r="Q491" s="6">
        <f t="shared" si="41"/>
        <v>-2.332979851537649E-2</v>
      </c>
      <c r="R491" s="5">
        <f t="shared" si="42"/>
        <v>2.6500000000000057</v>
      </c>
      <c r="S491" s="6">
        <f t="shared" si="43"/>
        <v>2.8101802757158068E-2</v>
      </c>
      <c r="T491" s="6">
        <f t="shared" si="44"/>
        <v>-5.9291200646814333E-3</v>
      </c>
    </row>
    <row r="492" spans="1:20" x14ac:dyDescent="0.25">
      <c r="A492" s="4" t="s">
        <v>841</v>
      </c>
      <c r="B492" s="5" t="s">
        <v>16</v>
      </c>
      <c r="C492" s="5" t="s">
        <v>1823</v>
      </c>
      <c r="D492" s="5">
        <v>133.30000000000001</v>
      </c>
      <c r="E492" s="5">
        <v>132.94999999999999</v>
      </c>
      <c r="F492" s="5">
        <v>139.9</v>
      </c>
      <c r="G492" s="5">
        <v>131.35</v>
      </c>
      <c r="H492" s="5">
        <v>139.05000000000001</v>
      </c>
      <c r="I492" s="5">
        <v>139.1</v>
      </c>
      <c r="J492" s="5">
        <v>137.93</v>
      </c>
      <c r="K492" s="5">
        <v>3513235</v>
      </c>
      <c r="L492" s="5">
        <v>4845.84</v>
      </c>
      <c r="M492" s="5">
        <v>33997</v>
      </c>
      <c r="N492" s="5">
        <v>1105330</v>
      </c>
      <c r="O492" s="5">
        <v>31.46</v>
      </c>
      <c r="P492" s="5">
        <f t="shared" si="40"/>
        <v>5.7999999999999829</v>
      </c>
      <c r="Q492" s="6">
        <f t="shared" si="41"/>
        <v>4.3510877719429727E-2</v>
      </c>
      <c r="R492" s="5">
        <f t="shared" si="42"/>
        <v>8.5500000000000114</v>
      </c>
      <c r="S492" s="6">
        <f t="shared" si="43"/>
        <v>6.4141035258814788E-2</v>
      </c>
      <c r="T492" s="6">
        <f t="shared" si="44"/>
        <v>8.6140254003312152E-3</v>
      </c>
    </row>
    <row r="493" spans="1:20" hidden="1" x14ac:dyDescent="0.25">
      <c r="A493" s="4" t="s">
        <v>503</v>
      </c>
      <c r="B493" s="5" t="s">
        <v>16</v>
      </c>
      <c r="C493" s="5" t="s">
        <v>1823</v>
      </c>
      <c r="D493" s="5">
        <v>22.25</v>
      </c>
      <c r="E493" s="5">
        <v>22.5</v>
      </c>
      <c r="F493" s="5">
        <v>22.8</v>
      </c>
      <c r="G493" s="5">
        <v>21.15</v>
      </c>
      <c r="H493" s="5">
        <v>21.7</v>
      </c>
      <c r="I493" s="5">
        <v>21.9</v>
      </c>
      <c r="J493" s="5">
        <v>21.75</v>
      </c>
      <c r="K493" s="5">
        <v>3299</v>
      </c>
      <c r="L493" s="5">
        <v>0.72</v>
      </c>
      <c r="M493" s="5">
        <v>72</v>
      </c>
      <c r="N493" s="5">
        <v>2737</v>
      </c>
      <c r="O493" s="5">
        <v>82.96</v>
      </c>
      <c r="P493" s="5">
        <f t="shared" si="40"/>
        <v>-0.35000000000000142</v>
      </c>
      <c r="Q493" s="6">
        <f t="shared" si="41"/>
        <v>-1.5730337078651749E-2</v>
      </c>
      <c r="R493" s="5">
        <f t="shared" si="42"/>
        <v>1.6500000000000021</v>
      </c>
      <c r="S493" s="6">
        <f t="shared" si="43"/>
        <v>7.4157303370786617E-2</v>
      </c>
      <c r="T493" s="6">
        <f t="shared" si="44"/>
        <v>6.791171477079732E-3</v>
      </c>
    </row>
    <row r="494" spans="1:20" hidden="1" x14ac:dyDescent="0.25">
      <c r="A494" s="4" t="s">
        <v>504</v>
      </c>
      <c r="B494" s="5" t="s">
        <v>16</v>
      </c>
      <c r="C494" s="5" t="s">
        <v>1823</v>
      </c>
      <c r="D494" s="5">
        <v>359.5</v>
      </c>
      <c r="E494" s="5">
        <v>363.9</v>
      </c>
      <c r="F494" s="5">
        <v>363.9</v>
      </c>
      <c r="G494" s="5">
        <v>345.5</v>
      </c>
      <c r="H494" s="5">
        <v>345.8</v>
      </c>
      <c r="I494" s="5">
        <v>349</v>
      </c>
      <c r="J494" s="5">
        <v>350.4</v>
      </c>
      <c r="K494" s="5">
        <v>11445</v>
      </c>
      <c r="L494" s="5">
        <v>40.1</v>
      </c>
      <c r="M494" s="5">
        <v>754</v>
      </c>
      <c r="N494" s="5">
        <v>6620</v>
      </c>
      <c r="O494" s="5">
        <v>57.84</v>
      </c>
      <c r="P494" s="5">
        <f t="shared" si="40"/>
        <v>-10.5</v>
      </c>
      <c r="Q494" s="6">
        <f t="shared" si="41"/>
        <v>-2.9207232267037551E-2</v>
      </c>
      <c r="R494" s="5">
        <f t="shared" si="42"/>
        <v>18.399999999999977</v>
      </c>
      <c r="S494" s="6">
        <f t="shared" si="43"/>
        <v>5.1182197496522884E-2</v>
      </c>
      <c r="T494" s="6">
        <f t="shared" si="44"/>
        <v>-3.9372846797440129E-3</v>
      </c>
    </row>
    <row r="495" spans="1:20" x14ac:dyDescent="0.25">
      <c r="A495" s="4" t="s">
        <v>929</v>
      </c>
      <c r="B495" s="5" t="s">
        <v>16</v>
      </c>
      <c r="C495" s="5" t="s">
        <v>1823</v>
      </c>
      <c r="D495" s="5">
        <v>547.85</v>
      </c>
      <c r="E495" s="5">
        <v>575</v>
      </c>
      <c r="F495" s="5">
        <v>575</v>
      </c>
      <c r="G495" s="5">
        <v>538</v>
      </c>
      <c r="H495" s="5">
        <v>540</v>
      </c>
      <c r="I495" s="5">
        <v>546.65</v>
      </c>
      <c r="J495" s="5">
        <v>560.94000000000005</v>
      </c>
      <c r="K495" s="5">
        <v>862049</v>
      </c>
      <c r="L495" s="5">
        <v>4835.55</v>
      </c>
      <c r="M495" s="5">
        <v>30769</v>
      </c>
      <c r="N495" s="5">
        <v>271724</v>
      </c>
      <c r="O495" s="5">
        <v>31.52</v>
      </c>
      <c r="P495" s="5">
        <f t="shared" si="40"/>
        <v>-1.2000000000000455</v>
      </c>
      <c r="Q495" s="6">
        <f t="shared" si="41"/>
        <v>-2.1903805786256192E-3</v>
      </c>
      <c r="R495" s="5">
        <f t="shared" si="42"/>
        <v>37</v>
      </c>
      <c r="S495" s="6">
        <f t="shared" si="43"/>
        <v>6.7536734507620697E-2</v>
      </c>
      <c r="T495" s="6">
        <f t="shared" si="44"/>
        <v>-2.5578949723670509E-2</v>
      </c>
    </row>
    <row r="496" spans="1:20" x14ac:dyDescent="0.25">
      <c r="A496" s="4" t="s">
        <v>568</v>
      </c>
      <c r="B496" s="5" t="s">
        <v>16</v>
      </c>
      <c r="C496" s="5" t="s">
        <v>1823</v>
      </c>
      <c r="D496" s="5">
        <v>348.1</v>
      </c>
      <c r="E496" s="5">
        <v>347.8</v>
      </c>
      <c r="F496" s="5">
        <v>353.55</v>
      </c>
      <c r="G496" s="5">
        <v>336.3</v>
      </c>
      <c r="H496" s="5">
        <v>338.3</v>
      </c>
      <c r="I496" s="5">
        <v>340</v>
      </c>
      <c r="J496" s="5">
        <v>345.86</v>
      </c>
      <c r="K496" s="5">
        <v>102004</v>
      </c>
      <c r="L496" s="5">
        <v>352.79</v>
      </c>
      <c r="M496" s="5">
        <v>4298</v>
      </c>
      <c r="N496" s="5">
        <v>32986</v>
      </c>
      <c r="O496" s="5">
        <v>32.340000000000003</v>
      </c>
      <c r="P496" s="5">
        <f t="shared" si="40"/>
        <v>-8.1000000000000227</v>
      </c>
      <c r="Q496" s="6">
        <f t="shared" si="41"/>
        <v>-2.3269175524274696E-2</v>
      </c>
      <c r="R496" s="5">
        <f t="shared" si="42"/>
        <v>17.25</v>
      </c>
      <c r="S496" s="6">
        <f t="shared" si="43"/>
        <v>4.9554725653547828E-2</v>
      </c>
      <c r="T496" s="6">
        <f t="shared" si="44"/>
        <v>-1.7014481181722538E-2</v>
      </c>
    </row>
    <row r="497" spans="1:20" hidden="1" x14ac:dyDescent="0.25">
      <c r="A497" s="4" t="s">
        <v>507</v>
      </c>
      <c r="B497" s="5" t="s">
        <v>16</v>
      </c>
      <c r="C497" s="5" t="s">
        <v>1823</v>
      </c>
      <c r="D497" s="5">
        <v>1619.65</v>
      </c>
      <c r="E497" s="5">
        <v>1638.6</v>
      </c>
      <c r="F497" s="5">
        <v>1790</v>
      </c>
      <c r="G497" s="5">
        <v>1634.1</v>
      </c>
      <c r="H497" s="5">
        <v>1780</v>
      </c>
      <c r="I497" s="5">
        <v>1761.15</v>
      </c>
      <c r="J497" s="5">
        <v>1737.64</v>
      </c>
      <c r="K497" s="5">
        <v>96226</v>
      </c>
      <c r="L497" s="5">
        <v>1672.06</v>
      </c>
      <c r="M497" s="5">
        <v>13901</v>
      </c>
      <c r="N497" s="5">
        <v>22280</v>
      </c>
      <c r="O497" s="5">
        <v>23.15</v>
      </c>
      <c r="P497" s="5">
        <f t="shared" si="40"/>
        <v>141.5</v>
      </c>
      <c r="Q497" s="6">
        <f t="shared" si="41"/>
        <v>8.7364554070323827E-2</v>
      </c>
      <c r="R497" s="5">
        <f t="shared" si="42"/>
        <v>155.90000000000009</v>
      </c>
      <c r="S497" s="6">
        <f t="shared" si="43"/>
        <v>9.6255363813169556E-2</v>
      </c>
      <c r="T497" s="6">
        <f t="shared" si="44"/>
        <v>1.3781076664932546E-2</v>
      </c>
    </row>
    <row r="498" spans="1:20" hidden="1" x14ac:dyDescent="0.25">
      <c r="A498" s="4" t="s">
        <v>508</v>
      </c>
      <c r="B498" s="5" t="s">
        <v>16</v>
      </c>
      <c r="C498" s="5" t="s">
        <v>1823</v>
      </c>
      <c r="D498" s="5">
        <v>601.1</v>
      </c>
      <c r="E498" s="5">
        <v>600.29999999999995</v>
      </c>
      <c r="F498" s="5">
        <v>600.29999999999995</v>
      </c>
      <c r="G498" s="5">
        <v>572.1</v>
      </c>
      <c r="H498" s="5">
        <v>572.54999999999995</v>
      </c>
      <c r="I498" s="5">
        <v>575.54999999999995</v>
      </c>
      <c r="J498" s="5">
        <v>584.08000000000004</v>
      </c>
      <c r="K498" s="5">
        <v>22489</v>
      </c>
      <c r="L498" s="5">
        <v>131.35</v>
      </c>
      <c r="M498" s="5">
        <v>2429</v>
      </c>
      <c r="N498" s="5">
        <v>13025</v>
      </c>
      <c r="O498" s="5">
        <v>57.92</v>
      </c>
      <c r="P498" s="5">
        <f t="shared" si="40"/>
        <v>-25.550000000000068</v>
      </c>
      <c r="Q498" s="6">
        <f t="shared" si="41"/>
        <v>-4.2505406754283923E-2</v>
      </c>
      <c r="R498" s="5">
        <f t="shared" si="42"/>
        <v>28.199999999999932</v>
      </c>
      <c r="S498" s="6">
        <f t="shared" si="43"/>
        <v>4.6913991016469689E-2</v>
      </c>
      <c r="T498" s="6">
        <f t="shared" si="44"/>
        <v>-1.4529969125944999E-2</v>
      </c>
    </row>
    <row r="499" spans="1:20" hidden="1" x14ac:dyDescent="0.25">
      <c r="A499" s="4" t="s">
        <v>509</v>
      </c>
      <c r="B499" s="5" t="s">
        <v>16</v>
      </c>
      <c r="C499" s="5" t="s">
        <v>1823</v>
      </c>
      <c r="D499" s="5">
        <v>11.4</v>
      </c>
      <c r="E499" s="5">
        <v>10.85</v>
      </c>
      <c r="F499" s="5">
        <v>10.85</v>
      </c>
      <c r="G499" s="5">
        <v>10.85</v>
      </c>
      <c r="H499" s="5">
        <v>10.85</v>
      </c>
      <c r="I499" s="5">
        <v>10.85</v>
      </c>
      <c r="J499" s="5">
        <v>10.85</v>
      </c>
      <c r="K499" s="5">
        <v>2635</v>
      </c>
      <c r="L499" s="5">
        <v>0.28999999999999998</v>
      </c>
      <c r="M499" s="5">
        <v>16</v>
      </c>
      <c r="N499" s="5">
        <v>2635</v>
      </c>
      <c r="O499" s="5">
        <v>100</v>
      </c>
      <c r="P499" s="5">
        <f t="shared" si="40"/>
        <v>-0.55000000000000071</v>
      </c>
      <c r="Q499" s="6">
        <f t="shared" si="41"/>
        <v>-4.8245614035087779E-2</v>
      </c>
      <c r="R499" s="5">
        <f t="shared" si="42"/>
        <v>0</v>
      </c>
      <c r="S499" s="6">
        <f t="shared" si="43"/>
        <v>0</v>
      </c>
      <c r="T499" s="6">
        <f t="shared" si="44"/>
        <v>0</v>
      </c>
    </row>
    <row r="500" spans="1:20" hidden="1" x14ac:dyDescent="0.25">
      <c r="A500" s="4" t="s">
        <v>510</v>
      </c>
      <c r="B500" s="5" t="s">
        <v>16</v>
      </c>
      <c r="C500" s="5" t="s">
        <v>1823</v>
      </c>
      <c r="D500" s="5">
        <v>461.8</v>
      </c>
      <c r="E500" s="5">
        <v>461.8</v>
      </c>
      <c r="F500" s="5">
        <v>462</v>
      </c>
      <c r="G500" s="5">
        <v>451.3</v>
      </c>
      <c r="H500" s="5">
        <v>452.5</v>
      </c>
      <c r="I500" s="5">
        <v>456.75</v>
      </c>
      <c r="J500" s="5">
        <v>458.53</v>
      </c>
      <c r="K500" s="5">
        <v>6714</v>
      </c>
      <c r="L500" s="5">
        <v>30.79</v>
      </c>
      <c r="M500" s="5">
        <v>279</v>
      </c>
      <c r="N500" s="5">
        <v>4198</v>
      </c>
      <c r="O500" s="5">
        <v>62.53</v>
      </c>
      <c r="P500" s="5">
        <f t="shared" si="40"/>
        <v>-5.0500000000000114</v>
      </c>
      <c r="Q500" s="6">
        <f t="shared" si="41"/>
        <v>-1.0935469900389804E-2</v>
      </c>
      <c r="R500" s="5">
        <f t="shared" si="42"/>
        <v>10.699999999999989</v>
      </c>
      <c r="S500" s="6">
        <f t="shared" si="43"/>
        <v>2.3170203551320892E-2</v>
      </c>
      <c r="T500" s="6">
        <f t="shared" si="44"/>
        <v>-3.8867811229084757E-3</v>
      </c>
    </row>
    <row r="501" spans="1:20" hidden="1" x14ac:dyDescent="0.25">
      <c r="A501" s="4" t="s">
        <v>511</v>
      </c>
      <c r="B501" s="5" t="s">
        <v>16</v>
      </c>
      <c r="C501" s="5" t="s">
        <v>1823</v>
      </c>
      <c r="D501" s="5">
        <v>543.4</v>
      </c>
      <c r="E501" s="5">
        <v>559.9</v>
      </c>
      <c r="F501" s="5">
        <v>561.04999999999995</v>
      </c>
      <c r="G501" s="5">
        <v>540.04999999999995</v>
      </c>
      <c r="H501" s="5">
        <v>545.1</v>
      </c>
      <c r="I501" s="5">
        <v>546</v>
      </c>
      <c r="J501" s="5">
        <v>547.33000000000004</v>
      </c>
      <c r="K501" s="5">
        <v>11114</v>
      </c>
      <c r="L501" s="5">
        <v>60.83</v>
      </c>
      <c r="M501" s="5">
        <v>1255</v>
      </c>
      <c r="N501" s="5">
        <v>9831</v>
      </c>
      <c r="O501" s="5">
        <v>88.46</v>
      </c>
      <c r="P501" s="5">
        <f t="shared" si="40"/>
        <v>2.6000000000000227</v>
      </c>
      <c r="Q501" s="6">
        <f t="shared" si="41"/>
        <v>4.7846889952153533E-3</v>
      </c>
      <c r="R501" s="5">
        <f t="shared" si="42"/>
        <v>21</v>
      </c>
      <c r="S501" s="6">
        <f t="shared" si="43"/>
        <v>3.8645564961354434E-2</v>
      </c>
      <c r="T501" s="6">
        <f t="shared" si="44"/>
        <v>-2.4105120072497343E-3</v>
      </c>
    </row>
    <row r="502" spans="1:20" hidden="1" x14ac:dyDescent="0.25">
      <c r="A502" s="4" t="s">
        <v>512</v>
      </c>
      <c r="B502" s="5" t="s">
        <v>16</v>
      </c>
      <c r="C502" s="5" t="s">
        <v>1823</v>
      </c>
      <c r="D502" s="5">
        <v>30.35</v>
      </c>
      <c r="E502" s="5">
        <v>29.2</v>
      </c>
      <c r="F502" s="5">
        <v>30.85</v>
      </c>
      <c r="G502" s="5">
        <v>29.1</v>
      </c>
      <c r="H502" s="5">
        <v>29.9</v>
      </c>
      <c r="I502" s="5">
        <v>29.2</v>
      </c>
      <c r="J502" s="5">
        <v>29.66</v>
      </c>
      <c r="K502" s="5">
        <v>6601</v>
      </c>
      <c r="L502" s="5">
        <v>1.96</v>
      </c>
      <c r="M502" s="5">
        <v>60</v>
      </c>
      <c r="N502" s="5">
        <v>4453</v>
      </c>
      <c r="O502" s="5">
        <v>67.459999999999994</v>
      </c>
      <c r="P502" s="5">
        <f t="shared" si="40"/>
        <v>-1.1500000000000021</v>
      </c>
      <c r="Q502" s="6">
        <f t="shared" si="41"/>
        <v>-3.7891268533772719E-2</v>
      </c>
      <c r="R502" s="5">
        <f t="shared" si="42"/>
        <v>1.75</v>
      </c>
      <c r="S502" s="6">
        <f t="shared" si="43"/>
        <v>5.7660626029654036E-2</v>
      </c>
      <c r="T502" s="6">
        <f t="shared" si="44"/>
        <v>-1.5547106041402647E-2</v>
      </c>
    </row>
    <row r="503" spans="1:20" hidden="1" x14ac:dyDescent="0.25">
      <c r="A503" s="4" t="s">
        <v>513</v>
      </c>
      <c r="B503" s="5" t="s">
        <v>16</v>
      </c>
      <c r="C503" s="5" t="s">
        <v>1823</v>
      </c>
      <c r="D503" s="5">
        <v>1215.05</v>
      </c>
      <c r="E503" s="5">
        <v>1215.8</v>
      </c>
      <c r="F503" s="5">
        <v>1215.8</v>
      </c>
      <c r="G503" s="5">
        <v>1171.6500000000001</v>
      </c>
      <c r="H503" s="5">
        <v>1180</v>
      </c>
      <c r="I503" s="5">
        <v>1178.8499999999999</v>
      </c>
      <c r="J503" s="5">
        <v>1188.22</v>
      </c>
      <c r="K503" s="5">
        <v>17576</v>
      </c>
      <c r="L503" s="5">
        <v>208.84</v>
      </c>
      <c r="M503" s="5">
        <v>1670</v>
      </c>
      <c r="N503" s="5">
        <v>6749</v>
      </c>
      <c r="O503" s="5">
        <v>38.4</v>
      </c>
      <c r="P503" s="5">
        <f t="shared" si="40"/>
        <v>-36.200000000000045</v>
      </c>
      <c r="Q503" s="6">
        <f t="shared" si="41"/>
        <v>-2.9793012633225008E-2</v>
      </c>
      <c r="R503" s="5">
        <f t="shared" si="42"/>
        <v>44.149999999999864</v>
      </c>
      <c r="S503" s="6">
        <f t="shared" si="43"/>
        <v>3.6335953252952441E-2</v>
      </c>
      <c r="T503" s="6">
        <f t="shared" si="44"/>
        <v>-7.8375609042053637E-3</v>
      </c>
    </row>
    <row r="504" spans="1:20" x14ac:dyDescent="0.25">
      <c r="A504" s="4" t="s">
        <v>1737</v>
      </c>
      <c r="B504" s="5" t="s">
        <v>16</v>
      </c>
      <c r="C504" s="5" t="s">
        <v>1823</v>
      </c>
      <c r="D504" s="5">
        <v>159.94999999999999</v>
      </c>
      <c r="E504" s="5">
        <v>157</v>
      </c>
      <c r="F504" s="5">
        <v>158.5</v>
      </c>
      <c r="G504" s="5">
        <v>152.75</v>
      </c>
      <c r="H504" s="5">
        <v>155.69999999999999</v>
      </c>
      <c r="I504" s="5">
        <v>156.19999999999999</v>
      </c>
      <c r="J504" s="5">
        <v>156.15</v>
      </c>
      <c r="K504" s="5">
        <v>7214137</v>
      </c>
      <c r="L504" s="5">
        <v>11264.64</v>
      </c>
      <c r="M504" s="5">
        <v>71048</v>
      </c>
      <c r="N504" s="5">
        <v>2334152</v>
      </c>
      <c r="O504" s="5">
        <v>32.36</v>
      </c>
      <c r="P504" s="5">
        <f t="shared" si="40"/>
        <v>-3.75</v>
      </c>
      <c r="Q504" s="6">
        <f t="shared" si="41"/>
        <v>-2.3444826508283841E-2</v>
      </c>
      <c r="R504" s="5">
        <f t="shared" si="42"/>
        <v>5.75</v>
      </c>
      <c r="S504" s="6">
        <f t="shared" si="43"/>
        <v>3.5948733979368555E-2</v>
      </c>
      <c r="T504" s="6">
        <f t="shared" si="44"/>
        <v>3.2028184802615386E-4</v>
      </c>
    </row>
    <row r="505" spans="1:20" hidden="1" x14ac:dyDescent="0.25">
      <c r="A505" s="4" t="s">
        <v>515</v>
      </c>
      <c r="B505" s="5" t="s">
        <v>16</v>
      </c>
      <c r="C505" s="5" t="s">
        <v>1823</v>
      </c>
      <c r="D505" s="5">
        <v>1307.2</v>
      </c>
      <c r="E505" s="5">
        <v>1283.4000000000001</v>
      </c>
      <c r="F505" s="5">
        <v>1324.35</v>
      </c>
      <c r="G505" s="5">
        <v>1281</v>
      </c>
      <c r="H505" s="5">
        <v>1295</v>
      </c>
      <c r="I505" s="5">
        <v>1294.75</v>
      </c>
      <c r="J505" s="5">
        <v>1301.44</v>
      </c>
      <c r="K505" s="5">
        <v>676</v>
      </c>
      <c r="L505" s="5">
        <v>8.8000000000000007</v>
      </c>
      <c r="M505" s="5">
        <v>64</v>
      </c>
      <c r="N505" s="5">
        <v>455</v>
      </c>
      <c r="O505" s="5">
        <v>67.31</v>
      </c>
      <c r="P505" s="5">
        <f t="shared" si="40"/>
        <v>-12.450000000000045</v>
      </c>
      <c r="Q505" s="6">
        <f t="shared" si="41"/>
        <v>-9.5241738066095816E-3</v>
      </c>
      <c r="R505" s="5">
        <f t="shared" si="42"/>
        <v>43.349999999999909</v>
      </c>
      <c r="S505" s="6">
        <f t="shared" si="43"/>
        <v>3.3162484700122327E-2</v>
      </c>
      <c r="T505" s="6">
        <f t="shared" si="44"/>
        <v>-5.1625349667213695E-3</v>
      </c>
    </row>
    <row r="506" spans="1:20" hidden="1" x14ac:dyDescent="0.25">
      <c r="A506" s="4" t="s">
        <v>516</v>
      </c>
      <c r="B506" s="5" t="s">
        <v>16</v>
      </c>
      <c r="C506" s="5" t="s">
        <v>1823</v>
      </c>
      <c r="D506" s="5">
        <v>398.75</v>
      </c>
      <c r="E506" s="5">
        <v>398.9</v>
      </c>
      <c r="F506" s="5">
        <v>401.9</v>
      </c>
      <c r="G506" s="5">
        <v>390.55</v>
      </c>
      <c r="H506" s="5">
        <v>391</v>
      </c>
      <c r="I506" s="5">
        <v>393.25</v>
      </c>
      <c r="J506" s="5">
        <v>394.47</v>
      </c>
      <c r="K506" s="5">
        <v>56084</v>
      </c>
      <c r="L506" s="5">
        <v>221.24</v>
      </c>
      <c r="M506" s="5">
        <v>1361</v>
      </c>
      <c r="N506" s="5">
        <v>24142</v>
      </c>
      <c r="O506" s="5">
        <v>43.05</v>
      </c>
      <c r="P506" s="5">
        <f t="shared" si="40"/>
        <v>-5.5</v>
      </c>
      <c r="Q506" s="6">
        <f t="shared" si="41"/>
        <v>-1.3793103448275862E-2</v>
      </c>
      <c r="R506" s="5">
        <f t="shared" si="42"/>
        <v>11.349999999999966</v>
      </c>
      <c r="S506" s="6">
        <f t="shared" si="43"/>
        <v>2.8463949843260103E-2</v>
      </c>
      <c r="T506" s="6">
        <f t="shared" si="44"/>
        <v>-3.0796415499180292E-3</v>
      </c>
    </row>
    <row r="507" spans="1:20" hidden="1" x14ac:dyDescent="0.25">
      <c r="A507" s="4" t="s">
        <v>517</v>
      </c>
      <c r="B507" s="5" t="s">
        <v>16</v>
      </c>
      <c r="C507" s="5" t="s">
        <v>1823</v>
      </c>
      <c r="D507" s="5">
        <v>526.75</v>
      </c>
      <c r="E507" s="5">
        <v>534</v>
      </c>
      <c r="F507" s="5">
        <v>536.15</v>
      </c>
      <c r="G507" s="5">
        <v>511</v>
      </c>
      <c r="H507" s="5">
        <v>512.70000000000005</v>
      </c>
      <c r="I507" s="5">
        <v>514.35</v>
      </c>
      <c r="J507" s="5">
        <v>520.19000000000005</v>
      </c>
      <c r="K507" s="5">
        <v>3833</v>
      </c>
      <c r="L507" s="5">
        <v>19.940000000000001</v>
      </c>
      <c r="M507" s="5">
        <v>428</v>
      </c>
      <c r="N507" s="5">
        <v>2734</v>
      </c>
      <c r="O507" s="5">
        <v>71.33</v>
      </c>
      <c r="P507" s="5">
        <f t="shared" si="40"/>
        <v>-12.399999999999977</v>
      </c>
      <c r="Q507" s="6">
        <f t="shared" si="41"/>
        <v>-2.3540579022306555E-2</v>
      </c>
      <c r="R507" s="5">
        <f t="shared" si="42"/>
        <v>25.149999999999977</v>
      </c>
      <c r="S507" s="6">
        <f t="shared" si="43"/>
        <v>4.7745609871855679E-2</v>
      </c>
      <c r="T507" s="6">
        <f t="shared" si="44"/>
        <v>-1.1147697446910106E-2</v>
      </c>
    </row>
    <row r="508" spans="1:20" x14ac:dyDescent="0.25">
      <c r="A508" s="4" t="s">
        <v>506</v>
      </c>
      <c r="B508" s="5" t="s">
        <v>16</v>
      </c>
      <c r="C508" s="5" t="s">
        <v>1823</v>
      </c>
      <c r="D508" s="5">
        <v>412.6</v>
      </c>
      <c r="E508" s="5">
        <v>422</v>
      </c>
      <c r="F508" s="5">
        <v>433.7</v>
      </c>
      <c r="G508" s="5">
        <v>392.25</v>
      </c>
      <c r="H508" s="5">
        <v>404</v>
      </c>
      <c r="I508" s="5">
        <v>401.6</v>
      </c>
      <c r="J508" s="5">
        <v>416.65</v>
      </c>
      <c r="K508" s="5">
        <v>198418</v>
      </c>
      <c r="L508" s="5">
        <v>826.71</v>
      </c>
      <c r="M508" s="5">
        <v>9034</v>
      </c>
      <c r="N508" s="5">
        <v>64449</v>
      </c>
      <c r="O508" s="5">
        <v>32.479999999999997</v>
      </c>
      <c r="P508" s="5">
        <f t="shared" si="40"/>
        <v>-11</v>
      </c>
      <c r="Q508" s="6">
        <f t="shared" si="41"/>
        <v>-2.6660203587009209E-2</v>
      </c>
      <c r="R508" s="5">
        <f t="shared" si="42"/>
        <v>41.449999999999989</v>
      </c>
      <c r="S508" s="6">
        <f t="shared" si="43"/>
        <v>0.10046049442559377</v>
      </c>
      <c r="T508" s="6">
        <f t="shared" si="44"/>
        <v>-3.6494801612560884E-2</v>
      </c>
    </row>
    <row r="509" spans="1:20" hidden="1" x14ac:dyDescent="0.25">
      <c r="A509" s="4" t="s">
        <v>519</v>
      </c>
      <c r="B509" s="5" t="s">
        <v>16</v>
      </c>
      <c r="C509" s="5" t="s">
        <v>1823</v>
      </c>
      <c r="D509" s="5">
        <v>115.9</v>
      </c>
      <c r="E509" s="5">
        <v>117</v>
      </c>
      <c r="F509" s="5">
        <v>117</v>
      </c>
      <c r="G509" s="5">
        <v>110.65</v>
      </c>
      <c r="H509" s="5">
        <v>112.1</v>
      </c>
      <c r="I509" s="5">
        <v>112.15</v>
      </c>
      <c r="J509" s="5">
        <v>113.34</v>
      </c>
      <c r="K509" s="5">
        <v>65754</v>
      </c>
      <c r="L509" s="5">
        <v>74.53</v>
      </c>
      <c r="M509" s="5">
        <v>1598</v>
      </c>
      <c r="N509" s="5">
        <v>29786</v>
      </c>
      <c r="O509" s="5">
        <v>45.3</v>
      </c>
      <c r="P509" s="5">
        <f t="shared" si="40"/>
        <v>-3.75</v>
      </c>
      <c r="Q509" s="6">
        <f t="shared" si="41"/>
        <v>-3.2355478861087139E-2</v>
      </c>
      <c r="R509" s="5">
        <f t="shared" si="42"/>
        <v>6.3499999999999943</v>
      </c>
      <c r="S509" s="6">
        <f t="shared" si="43"/>
        <v>5.4788610871440845E-2</v>
      </c>
      <c r="T509" s="6">
        <f t="shared" si="44"/>
        <v>-1.0420315236427301E-2</v>
      </c>
    </row>
    <row r="510" spans="1:20" hidden="1" x14ac:dyDescent="0.25">
      <c r="A510" s="4" t="s">
        <v>520</v>
      </c>
      <c r="B510" s="5" t="s">
        <v>16</v>
      </c>
      <c r="C510" s="5" t="s">
        <v>1823</v>
      </c>
      <c r="D510" s="5">
        <v>166.25</v>
      </c>
      <c r="E510" s="5">
        <v>169</v>
      </c>
      <c r="F510" s="5">
        <v>170</v>
      </c>
      <c r="G510" s="5">
        <v>160.30000000000001</v>
      </c>
      <c r="H510" s="5">
        <v>160.55000000000001</v>
      </c>
      <c r="I510" s="5">
        <v>164</v>
      </c>
      <c r="J510" s="5">
        <v>166.75</v>
      </c>
      <c r="K510" s="5">
        <v>29491</v>
      </c>
      <c r="L510" s="5">
        <v>49.18</v>
      </c>
      <c r="M510" s="5">
        <v>2520</v>
      </c>
      <c r="N510" s="5">
        <v>20735</v>
      </c>
      <c r="O510" s="5">
        <v>70.31</v>
      </c>
      <c r="P510" s="5">
        <f t="shared" si="40"/>
        <v>-2.25</v>
      </c>
      <c r="Q510" s="6">
        <f t="shared" si="41"/>
        <v>-1.3533834586466165E-2</v>
      </c>
      <c r="R510" s="5">
        <f t="shared" si="42"/>
        <v>9.6999999999999886</v>
      </c>
      <c r="S510" s="6">
        <f t="shared" si="43"/>
        <v>5.8345864661654069E-2</v>
      </c>
      <c r="T510" s="6">
        <f t="shared" si="44"/>
        <v>-1.658374792703151E-2</v>
      </c>
    </row>
    <row r="511" spans="1:20" x14ac:dyDescent="0.25">
      <c r="A511" s="4" t="s">
        <v>63</v>
      </c>
      <c r="B511" s="5" t="s">
        <v>16</v>
      </c>
      <c r="C511" s="5" t="s">
        <v>1823</v>
      </c>
      <c r="D511" s="5">
        <v>984.4</v>
      </c>
      <c r="E511" s="5">
        <v>983.6</v>
      </c>
      <c r="F511" s="5">
        <v>1104.3</v>
      </c>
      <c r="G511" s="5">
        <v>967.1</v>
      </c>
      <c r="H511" s="5">
        <v>1090</v>
      </c>
      <c r="I511" s="5">
        <v>1081.4000000000001</v>
      </c>
      <c r="J511" s="5">
        <v>1054.93</v>
      </c>
      <c r="K511" s="5">
        <v>324188</v>
      </c>
      <c r="L511" s="5">
        <v>3419.97</v>
      </c>
      <c r="M511" s="5">
        <v>20402</v>
      </c>
      <c r="N511" s="5">
        <v>106230</v>
      </c>
      <c r="O511" s="5">
        <v>32.770000000000003</v>
      </c>
      <c r="P511" s="5">
        <f t="shared" si="40"/>
        <v>97.000000000000114</v>
      </c>
      <c r="Q511" s="6">
        <f t="shared" si="41"/>
        <v>9.853718000812689E-2</v>
      </c>
      <c r="R511" s="5">
        <f t="shared" si="42"/>
        <v>137.19999999999993</v>
      </c>
      <c r="S511" s="6">
        <f t="shared" si="43"/>
        <v>0.13937423811458749</v>
      </c>
      <c r="T511" s="6">
        <f t="shared" si="44"/>
        <v>2.5597137607581501E-2</v>
      </c>
    </row>
    <row r="512" spans="1:20" hidden="1" x14ac:dyDescent="0.25">
      <c r="A512" s="4" t="s">
        <v>522</v>
      </c>
      <c r="B512" s="5" t="s">
        <v>16</v>
      </c>
      <c r="C512" s="5" t="s">
        <v>1823</v>
      </c>
      <c r="D512" s="5">
        <v>3.05</v>
      </c>
      <c r="E512" s="5">
        <v>3</v>
      </c>
      <c r="F512" s="5">
        <v>3</v>
      </c>
      <c r="G512" s="5">
        <v>2.85</v>
      </c>
      <c r="H512" s="5">
        <v>2.95</v>
      </c>
      <c r="I512" s="5">
        <v>2.95</v>
      </c>
      <c r="J512" s="5">
        <v>2.95</v>
      </c>
      <c r="K512" s="5">
        <v>8793</v>
      </c>
      <c r="L512" s="5">
        <v>0.26</v>
      </c>
      <c r="M512" s="5">
        <v>35</v>
      </c>
      <c r="N512" s="5">
        <v>8643</v>
      </c>
      <c r="O512" s="5">
        <v>98.29</v>
      </c>
      <c r="P512" s="5">
        <f t="shared" si="40"/>
        <v>-9.9999999999999645E-2</v>
      </c>
      <c r="Q512" s="6">
        <f t="shared" si="41"/>
        <v>-3.2786885245901523E-2</v>
      </c>
      <c r="R512" s="5">
        <f t="shared" si="42"/>
        <v>0.14999999999999991</v>
      </c>
      <c r="S512" s="6">
        <f t="shared" si="43"/>
        <v>4.918032786885243E-2</v>
      </c>
      <c r="T512" s="6">
        <f t="shared" si="44"/>
        <v>0</v>
      </c>
    </row>
    <row r="513" spans="1:20" hidden="1" x14ac:dyDescent="0.25">
      <c r="A513" s="4" t="s">
        <v>523</v>
      </c>
      <c r="B513" s="5" t="s">
        <v>16</v>
      </c>
      <c r="C513" s="5" t="s">
        <v>1823</v>
      </c>
      <c r="D513" s="5">
        <v>1443.6</v>
      </c>
      <c r="E513" s="5">
        <v>1455</v>
      </c>
      <c r="F513" s="5">
        <v>1520</v>
      </c>
      <c r="G513" s="5">
        <v>1419</v>
      </c>
      <c r="H513" s="5">
        <v>1469</v>
      </c>
      <c r="I513" s="5">
        <v>1471.65</v>
      </c>
      <c r="J513" s="5">
        <v>1469.86</v>
      </c>
      <c r="K513" s="5">
        <v>31267</v>
      </c>
      <c r="L513" s="5">
        <v>459.58</v>
      </c>
      <c r="M513" s="5">
        <v>4652</v>
      </c>
      <c r="N513" s="5">
        <v>16115</v>
      </c>
      <c r="O513" s="5">
        <v>51.54</v>
      </c>
      <c r="P513" s="5">
        <f t="shared" si="40"/>
        <v>28.050000000000182</v>
      </c>
      <c r="Q513" s="6">
        <f t="shared" si="41"/>
        <v>1.9430590191188823E-2</v>
      </c>
      <c r="R513" s="5">
        <f t="shared" si="42"/>
        <v>101</v>
      </c>
      <c r="S513" s="6">
        <f t="shared" si="43"/>
        <v>6.9963978941535054E-2</v>
      </c>
      <c r="T513" s="6">
        <f t="shared" si="44"/>
        <v>1.2206660813380895E-3</v>
      </c>
    </row>
    <row r="514" spans="1:20" hidden="1" x14ac:dyDescent="0.25">
      <c r="A514" s="4" t="s">
        <v>524</v>
      </c>
      <c r="B514" s="5" t="s">
        <v>16</v>
      </c>
      <c r="C514" s="5" t="s">
        <v>1823</v>
      </c>
      <c r="D514" s="5">
        <v>29.8</v>
      </c>
      <c r="E514" s="5">
        <v>29.8</v>
      </c>
      <c r="F514" s="5">
        <v>30.6</v>
      </c>
      <c r="G514" s="5">
        <v>28.85</v>
      </c>
      <c r="H514" s="5">
        <v>29</v>
      </c>
      <c r="I514" s="5">
        <v>28.85</v>
      </c>
      <c r="J514" s="5">
        <v>29.29</v>
      </c>
      <c r="K514" s="5">
        <v>7678</v>
      </c>
      <c r="L514" s="5">
        <v>2.25</v>
      </c>
      <c r="M514" s="5">
        <v>78</v>
      </c>
      <c r="N514" s="5">
        <v>7541</v>
      </c>
      <c r="O514" s="5">
        <v>98.22</v>
      </c>
      <c r="P514" s="5">
        <f t="shared" si="40"/>
        <v>-0.94999999999999929</v>
      </c>
      <c r="Q514" s="6">
        <f t="shared" si="41"/>
        <v>-3.1879194630872458E-2</v>
      </c>
      <c r="R514" s="5">
        <f t="shared" si="42"/>
        <v>1.75</v>
      </c>
      <c r="S514" s="6">
        <f t="shared" si="43"/>
        <v>5.8724832214765099E-2</v>
      </c>
      <c r="T514" s="6">
        <f t="shared" si="44"/>
        <v>-1.4902624894157418E-2</v>
      </c>
    </row>
    <row r="515" spans="1:20" hidden="1" x14ac:dyDescent="0.25">
      <c r="A515" s="4" t="s">
        <v>525</v>
      </c>
      <c r="B515" s="5" t="s">
        <v>16</v>
      </c>
      <c r="C515" s="5" t="s">
        <v>1823</v>
      </c>
      <c r="D515" s="5">
        <v>22.8</v>
      </c>
      <c r="E515" s="5">
        <v>22.15</v>
      </c>
      <c r="F515" s="5">
        <v>22.6</v>
      </c>
      <c r="G515" s="5">
        <v>22.15</v>
      </c>
      <c r="H515" s="5">
        <v>22.5</v>
      </c>
      <c r="I515" s="5">
        <v>22.55</v>
      </c>
      <c r="J515" s="5">
        <v>22.34</v>
      </c>
      <c r="K515" s="5">
        <v>2086</v>
      </c>
      <c r="L515" s="5">
        <v>0.47</v>
      </c>
      <c r="M515" s="5">
        <v>30</v>
      </c>
      <c r="N515" s="5">
        <v>1471</v>
      </c>
      <c r="O515" s="5">
        <v>70.52</v>
      </c>
      <c r="P515" s="5">
        <f t="shared" si="40"/>
        <v>-0.25</v>
      </c>
      <c r="Q515" s="6">
        <f t="shared" si="41"/>
        <v>-1.0964912280701754E-2</v>
      </c>
      <c r="R515" s="5">
        <f t="shared" si="42"/>
        <v>0.45000000000000284</v>
      </c>
      <c r="S515" s="6">
        <f t="shared" si="43"/>
        <v>1.9736842105263282E-2</v>
      </c>
      <c r="T515" s="6">
        <f t="shared" si="44"/>
        <v>9.3907210732253037E-3</v>
      </c>
    </row>
    <row r="516" spans="1:20" hidden="1" x14ac:dyDescent="0.25">
      <c r="A516" s="4" t="s">
        <v>526</v>
      </c>
      <c r="B516" s="5" t="s">
        <v>16</v>
      </c>
      <c r="C516" s="5" t="s">
        <v>1823</v>
      </c>
      <c r="D516" s="5">
        <v>0.3</v>
      </c>
      <c r="E516" s="5">
        <v>0.35</v>
      </c>
      <c r="F516" s="5">
        <v>0.35</v>
      </c>
      <c r="G516" s="5">
        <v>0.25</v>
      </c>
      <c r="H516" s="5">
        <v>0.3</v>
      </c>
      <c r="I516" s="5">
        <v>0.3</v>
      </c>
      <c r="J516" s="5">
        <v>0.28999999999999998</v>
      </c>
      <c r="K516" s="5">
        <v>853378</v>
      </c>
      <c r="L516" s="5">
        <v>2.5099999999999998</v>
      </c>
      <c r="M516" s="5">
        <v>262</v>
      </c>
      <c r="N516" s="5">
        <v>580128</v>
      </c>
      <c r="O516" s="5">
        <v>67.98</v>
      </c>
      <c r="P516" s="5">
        <f t="shared" si="40"/>
        <v>0</v>
      </c>
      <c r="Q516" s="6">
        <f t="shared" si="41"/>
        <v>0</v>
      </c>
      <c r="R516" s="5">
        <f t="shared" si="42"/>
        <v>9.9999999999999978E-2</v>
      </c>
      <c r="S516" s="6">
        <f t="shared" si="43"/>
        <v>0.33333333333333326</v>
      </c>
      <c r="T516" s="6">
        <f t="shared" si="44"/>
        <v>3.2000000000000028E-2</v>
      </c>
    </row>
    <row r="517" spans="1:20" hidden="1" x14ac:dyDescent="0.25">
      <c r="A517" s="4" t="s">
        <v>527</v>
      </c>
      <c r="B517" s="5" t="s">
        <v>16</v>
      </c>
      <c r="C517" s="5" t="s">
        <v>1823</v>
      </c>
      <c r="D517" s="5">
        <v>315</v>
      </c>
      <c r="E517" s="5">
        <v>315</v>
      </c>
      <c r="F517" s="5">
        <v>325</v>
      </c>
      <c r="G517" s="5">
        <v>315</v>
      </c>
      <c r="H517" s="5">
        <v>324.95</v>
      </c>
      <c r="I517" s="5">
        <v>323.14999999999998</v>
      </c>
      <c r="J517" s="5">
        <v>320.98</v>
      </c>
      <c r="K517" s="5">
        <v>4451</v>
      </c>
      <c r="L517" s="5">
        <v>14.29</v>
      </c>
      <c r="M517" s="5">
        <v>111</v>
      </c>
      <c r="N517" s="5">
        <v>4227</v>
      </c>
      <c r="O517" s="5">
        <v>94.97</v>
      </c>
      <c r="P517" s="5">
        <f t="shared" si="40"/>
        <v>8.1499999999999773</v>
      </c>
      <c r="Q517" s="6">
        <f t="shared" si="41"/>
        <v>2.5873015873015801E-2</v>
      </c>
      <c r="R517" s="5">
        <f t="shared" si="42"/>
        <v>10</v>
      </c>
      <c r="S517" s="6">
        <f t="shared" si="43"/>
        <v>3.1746031746031744E-2</v>
      </c>
      <c r="T517" s="6">
        <f t="shared" si="44"/>
        <v>6.7910652114382781E-3</v>
      </c>
    </row>
    <row r="518" spans="1:20" hidden="1" x14ac:dyDescent="0.25">
      <c r="A518" s="4" t="s">
        <v>528</v>
      </c>
      <c r="B518" s="5" t="s">
        <v>16</v>
      </c>
      <c r="C518" s="5" t="s">
        <v>1823</v>
      </c>
      <c r="D518" s="5">
        <v>258.89999999999998</v>
      </c>
      <c r="E518" s="5">
        <v>253.05</v>
      </c>
      <c r="F518" s="5">
        <v>260</v>
      </c>
      <c r="G518" s="5">
        <v>250</v>
      </c>
      <c r="H518" s="5">
        <v>250.25</v>
      </c>
      <c r="I518" s="5">
        <v>252.25</v>
      </c>
      <c r="J518" s="5">
        <v>253.59</v>
      </c>
      <c r="K518" s="5">
        <v>2123</v>
      </c>
      <c r="L518" s="5">
        <v>5.38</v>
      </c>
      <c r="M518" s="5">
        <v>149</v>
      </c>
      <c r="N518" s="5">
        <v>1279</v>
      </c>
      <c r="O518" s="5">
        <v>60.24</v>
      </c>
      <c r="P518" s="5">
        <f t="shared" si="40"/>
        <v>-6.6499999999999773</v>
      </c>
      <c r="Q518" s="6">
        <f t="shared" si="41"/>
        <v>-2.5685592893008799E-2</v>
      </c>
      <c r="R518" s="5">
        <f t="shared" si="42"/>
        <v>10</v>
      </c>
      <c r="S518" s="6">
        <f t="shared" si="43"/>
        <v>3.8624951718810356E-2</v>
      </c>
      <c r="T518" s="6">
        <f t="shared" si="44"/>
        <v>-5.2792278144390961E-3</v>
      </c>
    </row>
    <row r="519" spans="1:20" hidden="1" x14ac:dyDescent="0.25">
      <c r="A519" s="4" t="s">
        <v>529</v>
      </c>
      <c r="B519" s="5" t="s">
        <v>16</v>
      </c>
      <c r="C519" s="5" t="s">
        <v>1823</v>
      </c>
      <c r="D519" s="5">
        <v>42.9</v>
      </c>
      <c r="E519" s="5">
        <v>42.5</v>
      </c>
      <c r="F519" s="5">
        <v>42.8</v>
      </c>
      <c r="G519" s="5">
        <v>40.049999999999997</v>
      </c>
      <c r="H519" s="5">
        <v>40.049999999999997</v>
      </c>
      <c r="I519" s="5">
        <v>40.35</v>
      </c>
      <c r="J519" s="5">
        <v>40.659999999999997</v>
      </c>
      <c r="K519" s="5">
        <v>20974</v>
      </c>
      <c r="L519" s="5">
        <v>8.5299999999999994</v>
      </c>
      <c r="M519" s="5">
        <v>394</v>
      </c>
      <c r="N519" s="5">
        <v>13483</v>
      </c>
      <c r="O519" s="5">
        <v>64.28</v>
      </c>
      <c r="P519" s="5">
        <f t="shared" si="40"/>
        <v>-2.5499999999999972</v>
      </c>
      <c r="Q519" s="6">
        <f t="shared" si="41"/>
        <v>-5.9440559440559378E-2</v>
      </c>
      <c r="R519" s="5">
        <f t="shared" si="42"/>
        <v>2.75</v>
      </c>
      <c r="S519" s="6">
        <f t="shared" si="43"/>
        <v>6.4102564102564111E-2</v>
      </c>
      <c r="T519" s="6">
        <f t="shared" si="44"/>
        <v>-7.4834037417017552E-3</v>
      </c>
    </row>
    <row r="520" spans="1:20" hidden="1" x14ac:dyDescent="0.25">
      <c r="A520" s="4" t="s">
        <v>530</v>
      </c>
      <c r="B520" s="5" t="s">
        <v>16</v>
      </c>
      <c r="C520" s="5" t="s">
        <v>1823</v>
      </c>
      <c r="D520" s="5">
        <v>40.1</v>
      </c>
      <c r="E520" s="5">
        <v>37.299999999999997</v>
      </c>
      <c r="F520" s="5">
        <v>43.55</v>
      </c>
      <c r="G520" s="5">
        <v>36.5</v>
      </c>
      <c r="H520" s="5">
        <v>37.549999999999997</v>
      </c>
      <c r="I520" s="5">
        <v>37.549999999999997</v>
      </c>
      <c r="J520" s="5">
        <v>39.049999999999997</v>
      </c>
      <c r="K520" s="5">
        <v>998</v>
      </c>
      <c r="L520" s="5">
        <v>0.39</v>
      </c>
      <c r="M520" s="5">
        <v>32</v>
      </c>
      <c r="N520" s="5">
        <v>174</v>
      </c>
      <c r="O520" s="5">
        <v>17.43</v>
      </c>
      <c r="P520" s="5">
        <f t="shared" si="40"/>
        <v>-2.5500000000000043</v>
      </c>
      <c r="Q520" s="6">
        <f t="shared" si="41"/>
        <v>-6.359102244389038E-2</v>
      </c>
      <c r="R520" s="5">
        <f t="shared" si="42"/>
        <v>7.0499999999999972</v>
      </c>
      <c r="S520" s="6">
        <f t="shared" si="43"/>
        <v>0.17581047381546128</v>
      </c>
      <c r="T520" s="6">
        <f t="shared" si="44"/>
        <v>-3.873466752743706E-2</v>
      </c>
    </row>
    <row r="521" spans="1:20" hidden="1" x14ac:dyDescent="0.25">
      <c r="A521" s="4" t="s">
        <v>531</v>
      </c>
      <c r="B521" s="5" t="s">
        <v>24</v>
      </c>
      <c r="C521" s="5" t="s">
        <v>1823</v>
      </c>
      <c r="D521" s="5">
        <v>0.4</v>
      </c>
      <c r="E521" s="5">
        <v>0.4</v>
      </c>
      <c r="F521" s="5">
        <v>0.45</v>
      </c>
      <c r="G521" s="5">
        <v>0.4</v>
      </c>
      <c r="H521" s="5">
        <v>0.45</v>
      </c>
      <c r="I521" s="5">
        <v>0.45</v>
      </c>
      <c r="J521" s="5">
        <v>0.44</v>
      </c>
      <c r="K521" s="5">
        <v>3731</v>
      </c>
      <c r="L521" s="5">
        <v>0.02</v>
      </c>
      <c r="M521" s="5">
        <v>9</v>
      </c>
      <c r="N521" s="5" t="s">
        <v>25</v>
      </c>
      <c r="O521" s="5" t="s">
        <v>25</v>
      </c>
      <c r="P521" s="5">
        <f t="shared" si="40"/>
        <v>4.9999999999999989E-2</v>
      </c>
      <c r="Q521" s="6">
        <f t="shared" si="41"/>
        <v>0.12499999999999997</v>
      </c>
      <c r="R521" s="5">
        <f t="shared" si="42"/>
        <v>4.9999999999999989E-2</v>
      </c>
      <c r="S521" s="6">
        <f t="shared" si="43"/>
        <v>0.12499999999999997</v>
      </c>
      <c r="T521" s="6">
        <f t="shared" si="44"/>
        <v>2.3529411764705903E-2</v>
      </c>
    </row>
    <row r="522" spans="1:20" hidden="1" x14ac:dyDescent="0.25">
      <c r="A522" s="4" t="s">
        <v>532</v>
      </c>
      <c r="B522" s="5" t="s">
        <v>16</v>
      </c>
      <c r="C522" s="5" t="s">
        <v>1823</v>
      </c>
      <c r="D522" s="5">
        <v>11.85</v>
      </c>
      <c r="E522" s="5">
        <v>12.15</v>
      </c>
      <c r="F522" s="5">
        <v>12.35</v>
      </c>
      <c r="G522" s="5">
        <v>11.35</v>
      </c>
      <c r="H522" s="5">
        <v>11.75</v>
      </c>
      <c r="I522" s="5">
        <v>11.4</v>
      </c>
      <c r="J522" s="5">
        <v>11.8</v>
      </c>
      <c r="K522" s="5">
        <v>10824</v>
      </c>
      <c r="L522" s="5">
        <v>1.28</v>
      </c>
      <c r="M522" s="5">
        <v>174</v>
      </c>
      <c r="N522" s="5">
        <v>6816</v>
      </c>
      <c r="O522" s="5">
        <v>62.97</v>
      </c>
      <c r="P522" s="5">
        <f t="shared" si="40"/>
        <v>-0.44999999999999929</v>
      </c>
      <c r="Q522" s="6">
        <f t="shared" si="41"/>
        <v>-3.7974683544303736E-2</v>
      </c>
      <c r="R522" s="5">
        <f t="shared" si="42"/>
        <v>1</v>
      </c>
      <c r="S522" s="6">
        <f t="shared" si="43"/>
        <v>8.4388185654008435E-2</v>
      </c>
      <c r="T522" s="6">
        <f t="shared" si="44"/>
        <v>-3.3862433862433892E-2</v>
      </c>
    </row>
    <row r="523" spans="1:20" hidden="1" x14ac:dyDescent="0.25">
      <c r="A523" s="4" t="s">
        <v>533</v>
      </c>
      <c r="B523" s="5" t="s">
        <v>16</v>
      </c>
      <c r="C523" s="5" t="s">
        <v>1823</v>
      </c>
      <c r="D523" s="5">
        <v>1207.8</v>
      </c>
      <c r="E523" s="5">
        <v>1190.0999999999999</v>
      </c>
      <c r="F523" s="5">
        <v>1230</v>
      </c>
      <c r="G523" s="5">
        <v>1150</v>
      </c>
      <c r="H523" s="5">
        <v>1159.5</v>
      </c>
      <c r="I523" s="5">
        <v>1153.7</v>
      </c>
      <c r="J523" s="5">
        <v>1191.1199999999999</v>
      </c>
      <c r="K523" s="5">
        <v>9938</v>
      </c>
      <c r="L523" s="5">
        <v>118.37</v>
      </c>
      <c r="M523" s="5">
        <v>1089</v>
      </c>
      <c r="N523" s="5">
        <v>5606</v>
      </c>
      <c r="O523" s="5">
        <v>56.41</v>
      </c>
      <c r="P523" s="5">
        <f t="shared" si="40"/>
        <v>-54.099999999999909</v>
      </c>
      <c r="Q523" s="6">
        <f t="shared" si="41"/>
        <v>-4.479218413644636E-2</v>
      </c>
      <c r="R523" s="5">
        <f t="shared" si="42"/>
        <v>80</v>
      </c>
      <c r="S523" s="6">
        <f t="shared" si="43"/>
        <v>6.6236131809902302E-2</v>
      </c>
      <c r="T523" s="6">
        <f t="shared" si="44"/>
        <v>-3.1686354206359152E-2</v>
      </c>
    </row>
    <row r="524" spans="1:20" x14ac:dyDescent="0.25">
      <c r="A524" s="4" t="s">
        <v>1322</v>
      </c>
      <c r="B524" s="5" t="s">
        <v>16</v>
      </c>
      <c r="C524" s="5" t="s">
        <v>1823</v>
      </c>
      <c r="D524" s="5">
        <v>129.05000000000001</v>
      </c>
      <c r="E524" s="5">
        <v>129.05000000000001</v>
      </c>
      <c r="F524" s="5">
        <v>130.5</v>
      </c>
      <c r="G524" s="5">
        <v>125.8</v>
      </c>
      <c r="H524" s="5">
        <v>126.2</v>
      </c>
      <c r="I524" s="5">
        <v>126.9</v>
      </c>
      <c r="J524" s="5">
        <v>128.21</v>
      </c>
      <c r="K524" s="5">
        <v>4625664</v>
      </c>
      <c r="L524" s="5">
        <v>5930.45</v>
      </c>
      <c r="M524" s="5">
        <v>32869</v>
      </c>
      <c r="N524" s="5">
        <v>1518371</v>
      </c>
      <c r="O524" s="5">
        <v>32.82</v>
      </c>
      <c r="P524" s="5">
        <f t="shared" ref="P524:P587" si="45">I524-D524</f>
        <v>-2.1500000000000057</v>
      </c>
      <c r="Q524" s="6">
        <f t="shared" ref="Q524:Q587" si="46">P524/D524</f>
        <v>-1.6660209221232122E-2</v>
      </c>
      <c r="R524" s="5">
        <f t="shared" ref="R524:R587" si="47">ABS(F524-G524)</f>
        <v>4.7000000000000028</v>
      </c>
      <c r="S524" s="6">
        <f t="shared" ref="S524:S587" si="48">R524/D524</f>
        <v>3.64199922510655E-2</v>
      </c>
      <c r="T524" s="6">
        <f t="shared" ref="T524:T587" si="49">(I524-J524)/AVERAGE(E524:G524,I524)</f>
        <v>-1.0229380185456338E-2</v>
      </c>
    </row>
    <row r="525" spans="1:20" hidden="1" x14ac:dyDescent="0.25">
      <c r="A525" s="4" t="s">
        <v>535</v>
      </c>
      <c r="B525" s="5" t="s">
        <v>16</v>
      </c>
      <c r="C525" s="5" t="s">
        <v>1823</v>
      </c>
      <c r="D525" s="5">
        <v>0.25</v>
      </c>
      <c r="E525" s="5">
        <v>0.3</v>
      </c>
      <c r="F525" s="5">
        <v>0.3</v>
      </c>
      <c r="G525" s="5">
        <v>0.25</v>
      </c>
      <c r="H525" s="5">
        <v>0.25</v>
      </c>
      <c r="I525" s="5">
        <v>0.25</v>
      </c>
      <c r="J525" s="5">
        <v>0.25</v>
      </c>
      <c r="K525" s="5">
        <v>600792</v>
      </c>
      <c r="L525" s="5">
        <v>1.53</v>
      </c>
      <c r="M525" s="5">
        <v>89</v>
      </c>
      <c r="N525" s="5">
        <v>347660</v>
      </c>
      <c r="O525" s="5">
        <v>57.87</v>
      </c>
      <c r="P525" s="5">
        <f t="shared" si="45"/>
        <v>0</v>
      </c>
      <c r="Q525" s="6">
        <f t="shared" si="46"/>
        <v>0</v>
      </c>
      <c r="R525" s="5">
        <f t="shared" si="47"/>
        <v>4.9999999999999989E-2</v>
      </c>
      <c r="S525" s="6">
        <f t="shared" si="48"/>
        <v>0.19999999999999996</v>
      </c>
      <c r="T525" s="6">
        <f t="shared" si="49"/>
        <v>0</v>
      </c>
    </row>
    <row r="526" spans="1:20" hidden="1" x14ac:dyDescent="0.25">
      <c r="A526" s="4" t="s">
        <v>536</v>
      </c>
      <c r="B526" s="5" t="s">
        <v>16</v>
      </c>
      <c r="C526" s="5" t="s">
        <v>1823</v>
      </c>
      <c r="D526" s="5">
        <v>109.2</v>
      </c>
      <c r="E526" s="5">
        <v>112</v>
      </c>
      <c r="F526" s="5">
        <v>112</v>
      </c>
      <c r="G526" s="5">
        <v>105.9</v>
      </c>
      <c r="H526" s="5">
        <v>106.05</v>
      </c>
      <c r="I526" s="5">
        <v>106.25</v>
      </c>
      <c r="J526" s="5">
        <v>107.69</v>
      </c>
      <c r="K526" s="5">
        <v>47089</v>
      </c>
      <c r="L526" s="5">
        <v>50.71</v>
      </c>
      <c r="M526" s="5">
        <v>986</v>
      </c>
      <c r="N526" s="5">
        <v>41445</v>
      </c>
      <c r="O526" s="5">
        <v>88.01</v>
      </c>
      <c r="P526" s="5">
        <f t="shared" si="45"/>
        <v>-2.9500000000000028</v>
      </c>
      <c r="Q526" s="6">
        <f t="shared" si="46"/>
        <v>-2.701465201465204E-2</v>
      </c>
      <c r="R526" s="5">
        <f t="shared" si="47"/>
        <v>6.0999999999999943</v>
      </c>
      <c r="S526" s="6">
        <f t="shared" si="48"/>
        <v>5.5860805860805808E-2</v>
      </c>
      <c r="T526" s="6">
        <f t="shared" si="49"/>
        <v>-1.3206465665482038E-2</v>
      </c>
    </row>
    <row r="527" spans="1:20" hidden="1" x14ac:dyDescent="0.25">
      <c r="A527" s="4" t="s">
        <v>537</v>
      </c>
      <c r="B527" s="5" t="s">
        <v>16</v>
      </c>
      <c r="C527" s="5" t="s">
        <v>1823</v>
      </c>
      <c r="D527" s="5">
        <v>111.55</v>
      </c>
      <c r="E527" s="5">
        <v>111.75</v>
      </c>
      <c r="F527" s="5">
        <v>112.05</v>
      </c>
      <c r="G527" s="5">
        <v>106</v>
      </c>
      <c r="H527" s="5">
        <v>106.1</v>
      </c>
      <c r="I527" s="5">
        <v>106.65</v>
      </c>
      <c r="J527" s="5">
        <v>108.25</v>
      </c>
      <c r="K527" s="5">
        <v>43907</v>
      </c>
      <c r="L527" s="5">
        <v>47.53</v>
      </c>
      <c r="M527" s="5">
        <v>3554</v>
      </c>
      <c r="N527" s="5">
        <v>24801</v>
      </c>
      <c r="O527" s="5">
        <v>56.49</v>
      </c>
      <c r="P527" s="5">
        <f t="shared" si="45"/>
        <v>-4.8999999999999915</v>
      </c>
      <c r="Q527" s="6">
        <f t="shared" si="46"/>
        <v>-4.3926490363065812E-2</v>
      </c>
      <c r="R527" s="5">
        <f t="shared" si="47"/>
        <v>6.0499999999999972</v>
      </c>
      <c r="S527" s="6">
        <f t="shared" si="48"/>
        <v>5.423576871358133E-2</v>
      </c>
      <c r="T527" s="6">
        <f t="shared" si="49"/>
        <v>-1.4663764463283255E-2</v>
      </c>
    </row>
    <row r="528" spans="1:20" hidden="1" x14ac:dyDescent="0.25">
      <c r="A528" s="4" t="s">
        <v>538</v>
      </c>
      <c r="B528" s="5" t="s">
        <v>16</v>
      </c>
      <c r="C528" s="5" t="s">
        <v>1823</v>
      </c>
      <c r="D528" s="5">
        <v>98.1</v>
      </c>
      <c r="E528" s="5">
        <v>97.05</v>
      </c>
      <c r="F528" s="5">
        <v>98</v>
      </c>
      <c r="G528" s="5">
        <v>91.95</v>
      </c>
      <c r="H528" s="5">
        <v>92.4</v>
      </c>
      <c r="I528" s="5">
        <v>93.95</v>
      </c>
      <c r="J528" s="5">
        <v>95.09</v>
      </c>
      <c r="K528" s="5">
        <v>3172</v>
      </c>
      <c r="L528" s="5">
        <v>3.02</v>
      </c>
      <c r="M528" s="5">
        <v>140</v>
      </c>
      <c r="N528" s="5">
        <v>2632</v>
      </c>
      <c r="O528" s="5">
        <v>82.98</v>
      </c>
      <c r="P528" s="5">
        <f t="shared" si="45"/>
        <v>-4.1499999999999915</v>
      </c>
      <c r="Q528" s="6">
        <f t="shared" si="46"/>
        <v>-4.230377166156974E-2</v>
      </c>
      <c r="R528" s="5">
        <f t="shared" si="47"/>
        <v>6.0499999999999972</v>
      </c>
      <c r="S528" s="6">
        <f t="shared" si="48"/>
        <v>6.1671763506625864E-2</v>
      </c>
      <c r="T528" s="6">
        <f t="shared" si="49"/>
        <v>-1.1970074812967588E-2</v>
      </c>
    </row>
    <row r="529" spans="1:20" hidden="1" x14ac:dyDescent="0.25">
      <c r="A529" s="4" t="s">
        <v>539</v>
      </c>
      <c r="B529" s="5" t="s">
        <v>16</v>
      </c>
      <c r="C529" s="5" t="s">
        <v>1823</v>
      </c>
      <c r="D529" s="5">
        <v>82.65</v>
      </c>
      <c r="E529" s="5">
        <v>82</v>
      </c>
      <c r="F529" s="5">
        <v>83.55</v>
      </c>
      <c r="G529" s="5">
        <v>79.8</v>
      </c>
      <c r="H529" s="5">
        <v>80.55</v>
      </c>
      <c r="I529" s="5">
        <v>81</v>
      </c>
      <c r="J529" s="5">
        <v>80.91</v>
      </c>
      <c r="K529" s="5">
        <v>11112</v>
      </c>
      <c r="L529" s="5">
        <v>8.99</v>
      </c>
      <c r="M529" s="5">
        <v>337</v>
      </c>
      <c r="N529" s="5">
        <v>7458</v>
      </c>
      <c r="O529" s="5">
        <v>67.12</v>
      </c>
      <c r="P529" s="5">
        <f t="shared" si="45"/>
        <v>-1.6500000000000057</v>
      </c>
      <c r="Q529" s="6">
        <f t="shared" si="46"/>
        <v>-1.9963702359346708E-2</v>
      </c>
      <c r="R529" s="5">
        <f t="shared" si="47"/>
        <v>3.75</v>
      </c>
      <c r="S529" s="6">
        <f t="shared" si="48"/>
        <v>4.5372050816696909E-2</v>
      </c>
      <c r="T529" s="6">
        <f t="shared" si="49"/>
        <v>1.1031101578060781E-3</v>
      </c>
    </row>
    <row r="530" spans="1:20" hidden="1" x14ac:dyDescent="0.25">
      <c r="A530" s="4" t="s">
        <v>540</v>
      </c>
      <c r="B530" s="5" t="s">
        <v>16</v>
      </c>
      <c r="C530" s="5" t="s">
        <v>1823</v>
      </c>
      <c r="D530" s="5">
        <v>6.8</v>
      </c>
      <c r="E530" s="5">
        <v>6.85</v>
      </c>
      <c r="F530" s="5">
        <v>6.85</v>
      </c>
      <c r="G530" s="5">
        <v>6.6</v>
      </c>
      <c r="H530" s="5">
        <v>6.7</v>
      </c>
      <c r="I530" s="5">
        <v>6.65</v>
      </c>
      <c r="J530" s="5">
        <v>6.69</v>
      </c>
      <c r="K530" s="5">
        <v>73454</v>
      </c>
      <c r="L530" s="5">
        <v>4.92</v>
      </c>
      <c r="M530" s="5">
        <v>156</v>
      </c>
      <c r="N530" s="5">
        <v>48623</v>
      </c>
      <c r="O530" s="5">
        <v>66.2</v>
      </c>
      <c r="P530" s="5">
        <f t="shared" si="45"/>
        <v>-0.14999999999999947</v>
      </c>
      <c r="Q530" s="6">
        <f t="shared" si="46"/>
        <v>-2.2058823529411686E-2</v>
      </c>
      <c r="R530" s="5">
        <f t="shared" si="47"/>
        <v>0.25</v>
      </c>
      <c r="S530" s="6">
        <f t="shared" si="48"/>
        <v>3.6764705882352942E-2</v>
      </c>
      <c r="T530" s="6">
        <f t="shared" si="49"/>
        <v>-5.9369202226345142E-3</v>
      </c>
    </row>
    <row r="531" spans="1:20" x14ac:dyDescent="0.25">
      <c r="A531" s="4" t="s">
        <v>977</v>
      </c>
      <c r="B531" s="5" t="s">
        <v>16</v>
      </c>
      <c r="C531" s="5" t="s">
        <v>1823</v>
      </c>
      <c r="D531" s="5">
        <v>558.75</v>
      </c>
      <c r="E531" s="5">
        <v>558.70000000000005</v>
      </c>
      <c r="F531" s="5">
        <v>558.70000000000005</v>
      </c>
      <c r="G531" s="5">
        <v>528</v>
      </c>
      <c r="H531" s="5">
        <v>535</v>
      </c>
      <c r="I531" s="5">
        <v>534.70000000000005</v>
      </c>
      <c r="J531" s="5">
        <v>537.98</v>
      </c>
      <c r="K531" s="5">
        <v>5044376</v>
      </c>
      <c r="L531" s="5">
        <v>27137.49</v>
      </c>
      <c r="M531" s="5">
        <v>100823</v>
      </c>
      <c r="N531" s="5">
        <v>1659837</v>
      </c>
      <c r="O531" s="5">
        <v>32.9</v>
      </c>
      <c r="P531" s="5">
        <f t="shared" si="45"/>
        <v>-24.049999999999955</v>
      </c>
      <c r="Q531" s="6">
        <f t="shared" si="46"/>
        <v>-4.3042505592841084E-2</v>
      </c>
      <c r="R531" s="5">
        <f t="shared" si="47"/>
        <v>30.700000000000045</v>
      </c>
      <c r="S531" s="6">
        <f t="shared" si="48"/>
        <v>5.494407158836697E-2</v>
      </c>
      <c r="T531" s="6">
        <f t="shared" si="49"/>
        <v>-6.0180725654785964E-3</v>
      </c>
    </row>
    <row r="532" spans="1:20" x14ac:dyDescent="0.25">
      <c r="A532" s="4" t="s">
        <v>1804</v>
      </c>
      <c r="B532" s="5" t="s">
        <v>16</v>
      </c>
      <c r="C532" s="5" t="s">
        <v>1823</v>
      </c>
      <c r="D532" s="5">
        <v>279</v>
      </c>
      <c r="E532" s="5">
        <v>290</v>
      </c>
      <c r="F532" s="5">
        <v>294</v>
      </c>
      <c r="G532" s="5">
        <v>269</v>
      </c>
      <c r="H532" s="5">
        <v>273.5</v>
      </c>
      <c r="I532" s="5">
        <v>273.45</v>
      </c>
      <c r="J532" s="5">
        <v>279.26</v>
      </c>
      <c r="K532" s="5">
        <v>39978864</v>
      </c>
      <c r="L532" s="5">
        <v>111643.96</v>
      </c>
      <c r="M532" s="5">
        <v>308623</v>
      </c>
      <c r="N532" s="5">
        <v>13192272</v>
      </c>
      <c r="O532" s="5">
        <v>33</v>
      </c>
      <c r="P532" s="5">
        <f t="shared" si="45"/>
        <v>-5.5500000000000114</v>
      </c>
      <c r="Q532" s="6">
        <f t="shared" si="46"/>
        <v>-1.9892473118279609E-2</v>
      </c>
      <c r="R532" s="5">
        <f t="shared" si="47"/>
        <v>25</v>
      </c>
      <c r="S532" s="6">
        <f t="shared" si="48"/>
        <v>8.9605734767025089E-2</v>
      </c>
      <c r="T532" s="6">
        <f t="shared" si="49"/>
        <v>-2.0631186470771015E-2</v>
      </c>
    </row>
    <row r="533" spans="1:20" hidden="1" x14ac:dyDescent="0.25">
      <c r="A533" s="4" t="s">
        <v>543</v>
      </c>
      <c r="B533" s="5" t="s">
        <v>16</v>
      </c>
      <c r="C533" s="5" t="s">
        <v>1823</v>
      </c>
      <c r="D533" s="5">
        <v>823.55</v>
      </c>
      <c r="E533" s="5">
        <v>811.75</v>
      </c>
      <c r="F533" s="5">
        <v>826.6</v>
      </c>
      <c r="G533" s="5">
        <v>803.75</v>
      </c>
      <c r="H533" s="5">
        <v>810</v>
      </c>
      <c r="I533" s="5">
        <v>815.7</v>
      </c>
      <c r="J533" s="5">
        <v>812.56</v>
      </c>
      <c r="K533" s="5">
        <v>3799</v>
      </c>
      <c r="L533" s="5">
        <v>30.87</v>
      </c>
      <c r="M533" s="5">
        <v>400</v>
      </c>
      <c r="N533" s="5">
        <v>2298</v>
      </c>
      <c r="O533" s="5">
        <v>60.49</v>
      </c>
      <c r="P533" s="5">
        <f t="shared" si="45"/>
        <v>-7.8499999999999091</v>
      </c>
      <c r="Q533" s="6">
        <f t="shared" si="46"/>
        <v>-9.5319045595287592E-3</v>
      </c>
      <c r="R533" s="5">
        <f t="shared" si="47"/>
        <v>22.850000000000023</v>
      </c>
      <c r="S533" s="6">
        <f t="shared" si="48"/>
        <v>2.7745734928055397E-2</v>
      </c>
      <c r="T533" s="6">
        <f t="shared" si="49"/>
        <v>3.8553625145805142E-3</v>
      </c>
    </row>
    <row r="534" spans="1:20" hidden="1" x14ac:dyDescent="0.25">
      <c r="A534" s="4" t="s">
        <v>544</v>
      </c>
      <c r="B534" s="5" t="s">
        <v>16</v>
      </c>
      <c r="C534" s="5" t="s">
        <v>1823</v>
      </c>
      <c r="D534" s="5">
        <v>270</v>
      </c>
      <c r="E534" s="5">
        <v>268</v>
      </c>
      <c r="F534" s="5">
        <v>273.5</v>
      </c>
      <c r="G534" s="5">
        <v>263.95</v>
      </c>
      <c r="H534" s="5">
        <v>270.7</v>
      </c>
      <c r="I534" s="5">
        <v>270.85000000000002</v>
      </c>
      <c r="J534" s="5">
        <v>270.48</v>
      </c>
      <c r="K534" s="5">
        <v>71062</v>
      </c>
      <c r="L534" s="5">
        <v>192.21</v>
      </c>
      <c r="M534" s="5">
        <v>715</v>
      </c>
      <c r="N534" s="5">
        <v>61449</v>
      </c>
      <c r="O534" s="5">
        <v>86.47</v>
      </c>
      <c r="P534" s="5">
        <f t="shared" si="45"/>
        <v>0.85000000000002274</v>
      </c>
      <c r="Q534" s="6">
        <f t="shared" si="46"/>
        <v>3.1481481481482323E-3</v>
      </c>
      <c r="R534" s="5">
        <f t="shared" si="47"/>
        <v>9.5500000000000114</v>
      </c>
      <c r="S534" s="6">
        <f t="shared" si="48"/>
        <v>3.5370370370370413E-2</v>
      </c>
      <c r="T534" s="6">
        <f t="shared" si="49"/>
        <v>1.3750812970361589E-3</v>
      </c>
    </row>
    <row r="535" spans="1:20" hidden="1" x14ac:dyDescent="0.25">
      <c r="A535" s="4" t="s">
        <v>545</v>
      </c>
      <c r="B535" s="5" t="s">
        <v>16</v>
      </c>
      <c r="C535" s="5" t="s">
        <v>1823</v>
      </c>
      <c r="D535" s="5">
        <v>175.7</v>
      </c>
      <c r="E535" s="5">
        <v>177.35</v>
      </c>
      <c r="F535" s="5">
        <v>177.35</v>
      </c>
      <c r="G535" s="5">
        <v>169</v>
      </c>
      <c r="H535" s="5">
        <v>170.6</v>
      </c>
      <c r="I535" s="5">
        <v>172.5</v>
      </c>
      <c r="J535" s="5">
        <v>172.64</v>
      </c>
      <c r="K535" s="5">
        <v>22260</v>
      </c>
      <c r="L535" s="5">
        <v>38.43</v>
      </c>
      <c r="M535" s="5">
        <v>1095</v>
      </c>
      <c r="N535" s="5">
        <v>13358</v>
      </c>
      <c r="O535" s="5">
        <v>60.01</v>
      </c>
      <c r="P535" s="5">
        <f t="shared" si="45"/>
        <v>-3.1999999999999886</v>
      </c>
      <c r="Q535" s="6">
        <f t="shared" si="46"/>
        <v>-1.8212862834376713E-2</v>
      </c>
      <c r="R535" s="5">
        <f t="shared" si="47"/>
        <v>8.3499999999999943</v>
      </c>
      <c r="S535" s="6">
        <f t="shared" si="48"/>
        <v>4.7524188958451875E-2</v>
      </c>
      <c r="T535" s="6">
        <f t="shared" si="49"/>
        <v>-8.0436656133287183E-4</v>
      </c>
    </row>
    <row r="536" spans="1:20" hidden="1" x14ac:dyDescent="0.25">
      <c r="A536" s="4" t="s">
        <v>546</v>
      </c>
      <c r="B536" s="5" t="s">
        <v>16</v>
      </c>
      <c r="C536" s="5" t="s">
        <v>1823</v>
      </c>
      <c r="D536" s="5">
        <v>87.2</v>
      </c>
      <c r="E536" s="5">
        <v>91.55</v>
      </c>
      <c r="F536" s="5">
        <v>91.55</v>
      </c>
      <c r="G536" s="5">
        <v>91.55</v>
      </c>
      <c r="H536" s="5">
        <v>91.55</v>
      </c>
      <c r="I536" s="5">
        <v>91.55</v>
      </c>
      <c r="J536" s="5">
        <v>91.55</v>
      </c>
      <c r="K536" s="5">
        <v>68980</v>
      </c>
      <c r="L536" s="5">
        <v>63.15</v>
      </c>
      <c r="M536" s="5">
        <v>671</v>
      </c>
      <c r="N536" s="5">
        <v>59979</v>
      </c>
      <c r="O536" s="5">
        <v>86.95</v>
      </c>
      <c r="P536" s="5">
        <f t="shared" si="45"/>
        <v>4.3499999999999943</v>
      </c>
      <c r="Q536" s="6">
        <f t="shared" si="46"/>
        <v>4.9885321100917361E-2</v>
      </c>
      <c r="R536" s="5">
        <f t="shared" si="47"/>
        <v>0</v>
      </c>
      <c r="S536" s="6">
        <f t="shared" si="48"/>
        <v>0</v>
      </c>
      <c r="T536" s="6">
        <f t="shared" si="49"/>
        <v>0</v>
      </c>
    </row>
    <row r="537" spans="1:20" hidden="1" x14ac:dyDescent="0.25">
      <c r="A537" s="4" t="s">
        <v>547</v>
      </c>
      <c r="B537" s="5" t="s">
        <v>39</v>
      </c>
      <c r="C537" s="5" t="s">
        <v>1823</v>
      </c>
      <c r="D537" s="5">
        <v>3.45</v>
      </c>
      <c r="E537" s="5">
        <v>3.6</v>
      </c>
      <c r="F537" s="5">
        <v>3.6</v>
      </c>
      <c r="G537" s="5">
        <v>3.6</v>
      </c>
      <c r="H537" s="5">
        <v>3.6</v>
      </c>
      <c r="I537" s="5">
        <v>3.6</v>
      </c>
      <c r="J537" s="5">
        <v>3.6</v>
      </c>
      <c r="K537" s="5">
        <v>4382</v>
      </c>
      <c r="L537" s="5">
        <v>0.16</v>
      </c>
      <c r="M537" s="5">
        <v>22</v>
      </c>
      <c r="N537" s="5" t="s">
        <v>25</v>
      </c>
      <c r="O537" s="5" t="s">
        <v>25</v>
      </c>
      <c r="P537" s="5">
        <f t="shared" si="45"/>
        <v>0.14999999999999991</v>
      </c>
      <c r="Q537" s="6">
        <f t="shared" si="46"/>
        <v>4.3478260869565188E-2</v>
      </c>
      <c r="R537" s="5">
        <f t="shared" si="47"/>
        <v>0</v>
      </c>
      <c r="S537" s="6">
        <f t="shared" si="48"/>
        <v>0</v>
      </c>
      <c r="T537" s="6">
        <f t="shared" si="49"/>
        <v>0</v>
      </c>
    </row>
    <row r="538" spans="1:20" hidden="1" x14ac:dyDescent="0.25">
      <c r="A538" s="4" t="s">
        <v>548</v>
      </c>
      <c r="B538" s="5" t="s">
        <v>16</v>
      </c>
      <c r="C538" s="5" t="s">
        <v>1823</v>
      </c>
      <c r="D538" s="5">
        <v>221.3</v>
      </c>
      <c r="E538" s="5">
        <v>222.8</v>
      </c>
      <c r="F538" s="5">
        <v>224.5</v>
      </c>
      <c r="G538" s="5">
        <v>215.35</v>
      </c>
      <c r="H538" s="5">
        <v>217.05</v>
      </c>
      <c r="I538" s="5">
        <v>217.85</v>
      </c>
      <c r="J538" s="5">
        <v>220.49</v>
      </c>
      <c r="K538" s="5">
        <v>95466</v>
      </c>
      <c r="L538" s="5">
        <v>210.49</v>
      </c>
      <c r="M538" s="5">
        <v>2923</v>
      </c>
      <c r="N538" s="5">
        <v>35569</v>
      </c>
      <c r="O538" s="5">
        <v>37.26</v>
      </c>
      <c r="P538" s="5">
        <f t="shared" si="45"/>
        <v>-3.4500000000000171</v>
      </c>
      <c r="Q538" s="6">
        <f t="shared" si="46"/>
        <v>-1.5589697243560853E-2</v>
      </c>
      <c r="R538" s="5">
        <f t="shared" si="47"/>
        <v>9.1500000000000057</v>
      </c>
      <c r="S538" s="6">
        <f t="shared" si="48"/>
        <v>4.1346588341617738E-2</v>
      </c>
      <c r="T538" s="6">
        <f t="shared" si="49"/>
        <v>-1.1993185689948959E-2</v>
      </c>
    </row>
    <row r="539" spans="1:20" x14ac:dyDescent="0.25">
      <c r="A539" s="4" t="s">
        <v>312</v>
      </c>
      <c r="B539" s="5" t="s">
        <v>16</v>
      </c>
      <c r="C539" s="5" t="s">
        <v>1823</v>
      </c>
      <c r="D539" s="5">
        <v>789.65</v>
      </c>
      <c r="E539" s="5">
        <v>796</v>
      </c>
      <c r="F539" s="5">
        <v>799.85</v>
      </c>
      <c r="G539" s="5">
        <v>768.2</v>
      </c>
      <c r="H539" s="5">
        <v>768.5</v>
      </c>
      <c r="I539" s="5">
        <v>772</v>
      </c>
      <c r="J539" s="5">
        <v>781.14</v>
      </c>
      <c r="K539" s="5">
        <v>596881</v>
      </c>
      <c r="L539" s="5">
        <v>4662.49</v>
      </c>
      <c r="M539" s="5">
        <v>19634</v>
      </c>
      <c r="N539" s="5">
        <v>198727</v>
      </c>
      <c r="O539" s="5">
        <v>33.29</v>
      </c>
      <c r="P539" s="5">
        <f t="shared" si="45"/>
        <v>-17.649999999999977</v>
      </c>
      <c r="Q539" s="6">
        <f t="shared" si="46"/>
        <v>-2.2351674792629617E-2</v>
      </c>
      <c r="R539" s="5">
        <f t="shared" si="47"/>
        <v>31.649999999999977</v>
      </c>
      <c r="S539" s="6">
        <f t="shared" si="48"/>
        <v>4.0081048565820274E-2</v>
      </c>
      <c r="T539" s="6">
        <f t="shared" si="49"/>
        <v>-1.1657977391942074E-2</v>
      </c>
    </row>
    <row r="540" spans="1:20" hidden="1" x14ac:dyDescent="0.25">
      <c r="A540" s="4" t="s">
        <v>550</v>
      </c>
      <c r="B540" s="5" t="s">
        <v>28</v>
      </c>
      <c r="C540" s="5" t="s">
        <v>1823</v>
      </c>
      <c r="D540" s="5">
        <v>18.55</v>
      </c>
      <c r="E540" s="5">
        <v>17.649999999999999</v>
      </c>
      <c r="F540" s="5">
        <v>17.649999999999999</v>
      </c>
      <c r="G540" s="5">
        <v>17.649999999999999</v>
      </c>
      <c r="H540" s="5">
        <v>17.649999999999999</v>
      </c>
      <c r="I540" s="5">
        <v>17.649999999999999</v>
      </c>
      <c r="J540" s="5">
        <v>17.649999999999999</v>
      </c>
      <c r="K540" s="5">
        <v>12000</v>
      </c>
      <c r="L540" s="5">
        <v>2.12</v>
      </c>
      <c r="M540" s="5">
        <v>2</v>
      </c>
      <c r="N540" s="5">
        <v>12000</v>
      </c>
      <c r="O540" s="5">
        <v>100</v>
      </c>
      <c r="P540" s="5">
        <f t="shared" si="45"/>
        <v>-0.90000000000000213</v>
      </c>
      <c r="Q540" s="6">
        <f t="shared" si="46"/>
        <v>-4.8517520215633533E-2</v>
      </c>
      <c r="R540" s="5">
        <f t="shared" si="47"/>
        <v>0</v>
      </c>
      <c r="S540" s="6">
        <f t="shared" si="48"/>
        <v>0</v>
      </c>
      <c r="T540" s="6">
        <f t="shared" si="49"/>
        <v>0</v>
      </c>
    </row>
    <row r="541" spans="1:20" x14ac:dyDescent="0.25">
      <c r="A541" s="4" t="s">
        <v>378</v>
      </c>
      <c r="B541" s="5" t="s">
        <v>16</v>
      </c>
      <c r="C541" s="5" t="s">
        <v>1823</v>
      </c>
      <c r="D541" s="5">
        <v>412.55</v>
      </c>
      <c r="E541" s="5">
        <v>410.3</v>
      </c>
      <c r="F541" s="5">
        <v>424</v>
      </c>
      <c r="G541" s="5">
        <v>409.05</v>
      </c>
      <c r="H541" s="5">
        <v>416</v>
      </c>
      <c r="I541" s="5">
        <v>417.4</v>
      </c>
      <c r="J541" s="5">
        <v>417.46</v>
      </c>
      <c r="K541" s="5">
        <v>131924</v>
      </c>
      <c r="L541" s="5">
        <v>550.73</v>
      </c>
      <c r="M541" s="5">
        <v>6275</v>
      </c>
      <c r="N541" s="5">
        <v>44290</v>
      </c>
      <c r="O541" s="5">
        <v>33.57</v>
      </c>
      <c r="P541" s="5">
        <f t="shared" si="45"/>
        <v>4.8499999999999659</v>
      </c>
      <c r="Q541" s="6">
        <f t="shared" si="46"/>
        <v>1.1756150769603601E-2</v>
      </c>
      <c r="R541" s="5">
        <f t="shared" si="47"/>
        <v>14.949999999999989</v>
      </c>
      <c r="S541" s="6">
        <f t="shared" si="48"/>
        <v>3.6238031753726793E-2</v>
      </c>
      <c r="T541" s="6">
        <f t="shared" si="49"/>
        <v>-1.4451302122535546E-4</v>
      </c>
    </row>
    <row r="542" spans="1:20" hidden="1" x14ac:dyDescent="0.25">
      <c r="A542" s="4" t="s">
        <v>552</v>
      </c>
      <c r="B542" s="5" t="s">
        <v>16</v>
      </c>
      <c r="C542" s="5" t="s">
        <v>1823</v>
      </c>
      <c r="D542" s="5">
        <v>30.45</v>
      </c>
      <c r="E542" s="5">
        <v>29.75</v>
      </c>
      <c r="F542" s="5">
        <v>30</v>
      </c>
      <c r="G542" s="5">
        <v>29.1</v>
      </c>
      <c r="H542" s="5">
        <v>29.1</v>
      </c>
      <c r="I542" s="5">
        <v>29.1</v>
      </c>
      <c r="J542" s="5">
        <v>29.77</v>
      </c>
      <c r="K542" s="5">
        <v>405</v>
      </c>
      <c r="L542" s="5">
        <v>0.12</v>
      </c>
      <c r="M542" s="5">
        <v>108</v>
      </c>
      <c r="N542" s="5">
        <v>301</v>
      </c>
      <c r="O542" s="5">
        <v>74.319999999999993</v>
      </c>
      <c r="P542" s="5">
        <f t="shared" si="45"/>
        <v>-1.3499999999999979</v>
      </c>
      <c r="Q542" s="6">
        <f t="shared" si="46"/>
        <v>-4.433497536945806E-2</v>
      </c>
      <c r="R542" s="5">
        <f t="shared" si="47"/>
        <v>0.89999999999999858</v>
      </c>
      <c r="S542" s="6">
        <f t="shared" si="48"/>
        <v>2.9556650246305372E-2</v>
      </c>
      <c r="T542" s="6">
        <f t="shared" si="49"/>
        <v>-2.2721492157693878E-2</v>
      </c>
    </row>
    <row r="543" spans="1:20" hidden="1" x14ac:dyDescent="0.25">
      <c r="A543" s="4" t="s">
        <v>553</v>
      </c>
      <c r="B543" s="5" t="s">
        <v>16</v>
      </c>
      <c r="C543" s="5" t="s">
        <v>1823</v>
      </c>
      <c r="D543" s="5">
        <v>7184.15</v>
      </c>
      <c r="E543" s="5">
        <v>7198.95</v>
      </c>
      <c r="F543" s="5">
        <v>7198.95</v>
      </c>
      <c r="G543" s="5">
        <v>7100</v>
      </c>
      <c r="H543" s="5">
        <v>7106.35</v>
      </c>
      <c r="I543" s="5">
        <v>7126.85</v>
      </c>
      <c r="J543" s="5">
        <v>7152.89</v>
      </c>
      <c r="K543" s="5">
        <v>12416</v>
      </c>
      <c r="L543" s="5">
        <v>888.1</v>
      </c>
      <c r="M543" s="5">
        <v>917</v>
      </c>
      <c r="N543" s="5">
        <v>11412</v>
      </c>
      <c r="O543" s="5">
        <v>91.91</v>
      </c>
      <c r="P543" s="5">
        <f t="shared" si="45"/>
        <v>-57.299999999999272</v>
      </c>
      <c r="Q543" s="6">
        <f t="shared" si="46"/>
        <v>-7.9758913719784903E-3</v>
      </c>
      <c r="R543" s="5">
        <f t="shared" si="47"/>
        <v>98.949999999999818</v>
      </c>
      <c r="S543" s="6">
        <f t="shared" si="48"/>
        <v>1.37733761126925E-2</v>
      </c>
      <c r="T543" s="6">
        <f t="shared" si="49"/>
        <v>-3.6388090725683144E-3</v>
      </c>
    </row>
    <row r="544" spans="1:20" hidden="1" x14ac:dyDescent="0.25">
      <c r="A544" s="4" t="s">
        <v>554</v>
      </c>
      <c r="B544" s="5" t="s">
        <v>16</v>
      </c>
      <c r="C544" s="5" t="s">
        <v>1823</v>
      </c>
      <c r="D544" s="5">
        <v>9.9</v>
      </c>
      <c r="E544" s="5">
        <v>9.85</v>
      </c>
      <c r="F544" s="5">
        <v>10</v>
      </c>
      <c r="G544" s="5">
        <v>9.5</v>
      </c>
      <c r="H544" s="5">
        <v>9.65</v>
      </c>
      <c r="I544" s="5">
        <v>9.5500000000000007</v>
      </c>
      <c r="J544" s="5">
        <v>9.77</v>
      </c>
      <c r="K544" s="5">
        <v>36019</v>
      </c>
      <c r="L544" s="5">
        <v>3.52</v>
      </c>
      <c r="M544" s="5">
        <v>127</v>
      </c>
      <c r="N544" s="5">
        <v>22494</v>
      </c>
      <c r="O544" s="5">
        <v>62.45</v>
      </c>
      <c r="P544" s="5">
        <f t="shared" si="45"/>
        <v>-0.34999999999999964</v>
      </c>
      <c r="Q544" s="6">
        <f t="shared" si="46"/>
        <v>-3.5353535353535318E-2</v>
      </c>
      <c r="R544" s="5">
        <f t="shared" si="47"/>
        <v>0.5</v>
      </c>
      <c r="S544" s="6">
        <f t="shared" si="48"/>
        <v>5.0505050505050504E-2</v>
      </c>
      <c r="T544" s="6">
        <f t="shared" si="49"/>
        <v>-2.262210796915155E-2</v>
      </c>
    </row>
    <row r="545" spans="1:20" x14ac:dyDescent="0.25">
      <c r="A545" s="4" t="s">
        <v>1589</v>
      </c>
      <c r="B545" s="5" t="s">
        <v>16</v>
      </c>
      <c r="C545" s="5" t="s">
        <v>1823</v>
      </c>
      <c r="D545" s="5">
        <v>196.15</v>
      </c>
      <c r="E545" s="5">
        <v>194.3</v>
      </c>
      <c r="F545" s="5">
        <v>196.5</v>
      </c>
      <c r="G545" s="5">
        <v>184.65</v>
      </c>
      <c r="H545" s="5">
        <v>187.3</v>
      </c>
      <c r="I545" s="5">
        <v>187.1</v>
      </c>
      <c r="J545" s="5">
        <v>190.77</v>
      </c>
      <c r="K545" s="5">
        <v>105760</v>
      </c>
      <c r="L545" s="5">
        <v>201.76</v>
      </c>
      <c r="M545" s="5">
        <v>3545</v>
      </c>
      <c r="N545" s="5">
        <v>35537</v>
      </c>
      <c r="O545" s="5">
        <v>33.6</v>
      </c>
      <c r="P545" s="5">
        <f t="shared" si="45"/>
        <v>-9.0500000000000114</v>
      </c>
      <c r="Q545" s="6">
        <f t="shared" si="46"/>
        <v>-4.6138159571756363E-2</v>
      </c>
      <c r="R545" s="5">
        <f t="shared" si="47"/>
        <v>11.849999999999994</v>
      </c>
      <c r="S545" s="6">
        <f t="shared" si="48"/>
        <v>6.0412949273515135E-2</v>
      </c>
      <c r="T545" s="6">
        <f t="shared" si="49"/>
        <v>-1.9251196642843173E-2</v>
      </c>
    </row>
    <row r="546" spans="1:20" hidden="1" x14ac:dyDescent="0.25">
      <c r="A546" s="4" t="s">
        <v>556</v>
      </c>
      <c r="B546" s="5" t="s">
        <v>16</v>
      </c>
      <c r="C546" s="5" t="s">
        <v>1823</v>
      </c>
      <c r="D546" s="5">
        <v>743.35</v>
      </c>
      <c r="E546" s="5">
        <v>713.6</v>
      </c>
      <c r="F546" s="5">
        <v>738.95</v>
      </c>
      <c r="G546" s="5">
        <v>705.05</v>
      </c>
      <c r="H546" s="5">
        <v>720</v>
      </c>
      <c r="I546" s="5">
        <v>720.7</v>
      </c>
      <c r="J546" s="5">
        <v>721.45</v>
      </c>
      <c r="K546" s="5">
        <v>227</v>
      </c>
      <c r="L546" s="5">
        <v>1.64</v>
      </c>
      <c r="M546" s="5">
        <v>54</v>
      </c>
      <c r="N546" s="5">
        <v>131</v>
      </c>
      <c r="O546" s="5">
        <v>57.71</v>
      </c>
      <c r="P546" s="5">
        <f t="shared" si="45"/>
        <v>-22.649999999999977</v>
      </c>
      <c r="Q546" s="6">
        <f t="shared" si="46"/>
        <v>-3.0470168830295255E-2</v>
      </c>
      <c r="R546" s="5">
        <f t="shared" si="47"/>
        <v>33.900000000000091</v>
      </c>
      <c r="S546" s="6">
        <f t="shared" si="48"/>
        <v>4.5604358646667238E-2</v>
      </c>
      <c r="T546" s="6">
        <f t="shared" si="49"/>
        <v>-1.0422819025118994E-3</v>
      </c>
    </row>
    <row r="547" spans="1:20" hidden="1" x14ac:dyDescent="0.25">
      <c r="A547" s="4" t="s">
        <v>557</v>
      </c>
      <c r="B547" s="5" t="s">
        <v>16</v>
      </c>
      <c r="C547" s="5" t="s">
        <v>1823</v>
      </c>
      <c r="D547" s="5">
        <v>1466.1</v>
      </c>
      <c r="E547" s="5">
        <v>1458.5</v>
      </c>
      <c r="F547" s="5">
        <v>1466</v>
      </c>
      <c r="G547" s="5">
        <v>1430</v>
      </c>
      <c r="H547" s="5">
        <v>1432.9</v>
      </c>
      <c r="I547" s="5">
        <v>1436.1</v>
      </c>
      <c r="J547" s="5">
        <v>1440.82</v>
      </c>
      <c r="K547" s="5">
        <v>35070</v>
      </c>
      <c r="L547" s="5">
        <v>505.3</v>
      </c>
      <c r="M547" s="5">
        <v>2546</v>
      </c>
      <c r="N547" s="5">
        <v>24839</v>
      </c>
      <c r="O547" s="5">
        <v>70.83</v>
      </c>
      <c r="P547" s="5">
        <f t="shared" si="45"/>
        <v>-30</v>
      </c>
      <c r="Q547" s="6">
        <f t="shared" si="46"/>
        <v>-2.0462451401677923E-2</v>
      </c>
      <c r="R547" s="5">
        <f t="shared" si="47"/>
        <v>36</v>
      </c>
      <c r="S547" s="6">
        <f t="shared" si="48"/>
        <v>2.4554941682013508E-2</v>
      </c>
      <c r="T547" s="6">
        <f t="shared" si="49"/>
        <v>-3.2604566020792503E-3</v>
      </c>
    </row>
    <row r="548" spans="1:20" hidden="1" x14ac:dyDescent="0.25">
      <c r="A548" s="4" t="s">
        <v>558</v>
      </c>
      <c r="B548" s="5" t="s">
        <v>16</v>
      </c>
      <c r="C548" s="5" t="s">
        <v>1823</v>
      </c>
      <c r="D548" s="5">
        <v>348.9</v>
      </c>
      <c r="E548" s="5">
        <v>350.9</v>
      </c>
      <c r="F548" s="5">
        <v>351</v>
      </c>
      <c r="G548" s="5">
        <v>343</v>
      </c>
      <c r="H548" s="5">
        <v>345</v>
      </c>
      <c r="I548" s="5">
        <v>345.7</v>
      </c>
      <c r="J548" s="5">
        <v>346.6</v>
      </c>
      <c r="K548" s="5">
        <v>982888</v>
      </c>
      <c r="L548" s="5">
        <v>3406.73</v>
      </c>
      <c r="M548" s="5">
        <v>23584</v>
      </c>
      <c r="N548" s="5">
        <v>182496</v>
      </c>
      <c r="O548" s="5">
        <v>18.57</v>
      </c>
      <c r="P548" s="5">
        <f t="shared" si="45"/>
        <v>-3.1999999999999886</v>
      </c>
      <c r="Q548" s="6">
        <f t="shared" si="46"/>
        <v>-9.1716824304958113E-3</v>
      </c>
      <c r="R548" s="5">
        <f t="shared" si="47"/>
        <v>8</v>
      </c>
      <c r="S548" s="6">
        <f t="shared" si="48"/>
        <v>2.2929206076239612E-2</v>
      </c>
      <c r="T548" s="6">
        <f t="shared" si="49"/>
        <v>-2.5888105853589358E-3</v>
      </c>
    </row>
    <row r="549" spans="1:20" hidden="1" x14ac:dyDescent="0.25">
      <c r="A549" s="4" t="s">
        <v>1834</v>
      </c>
      <c r="B549" s="5" t="s">
        <v>28</v>
      </c>
      <c r="C549" s="5" t="s">
        <v>1823</v>
      </c>
      <c r="D549" s="5">
        <v>99.85</v>
      </c>
      <c r="E549" s="5">
        <v>101</v>
      </c>
      <c r="F549" s="5">
        <v>101</v>
      </c>
      <c r="G549" s="5">
        <v>101</v>
      </c>
      <c r="H549" s="5">
        <v>101</v>
      </c>
      <c r="I549" s="5">
        <v>101</v>
      </c>
      <c r="J549" s="5">
        <v>101</v>
      </c>
      <c r="K549" s="5">
        <v>1000</v>
      </c>
      <c r="L549" s="5">
        <v>1.01</v>
      </c>
      <c r="M549" s="5">
        <v>1</v>
      </c>
      <c r="N549" s="5">
        <v>1000</v>
      </c>
      <c r="O549" s="5">
        <v>100</v>
      </c>
      <c r="P549" s="5">
        <f t="shared" si="45"/>
        <v>1.1500000000000057</v>
      </c>
      <c r="Q549" s="6">
        <f t="shared" si="46"/>
        <v>1.1517275913870863E-2</v>
      </c>
      <c r="R549" s="5">
        <f t="shared" si="47"/>
        <v>0</v>
      </c>
      <c r="S549" s="6">
        <f t="shared" si="48"/>
        <v>0</v>
      </c>
      <c r="T549" s="6">
        <f t="shared" si="49"/>
        <v>0</v>
      </c>
    </row>
    <row r="550" spans="1:20" hidden="1" x14ac:dyDescent="0.25">
      <c r="A550" s="4" t="s">
        <v>559</v>
      </c>
      <c r="B550" s="5" t="s">
        <v>16</v>
      </c>
      <c r="C550" s="5" t="s">
        <v>1823</v>
      </c>
      <c r="D550" s="5">
        <v>62.65</v>
      </c>
      <c r="E550" s="5">
        <v>64.95</v>
      </c>
      <c r="F550" s="5">
        <v>65.400000000000006</v>
      </c>
      <c r="G550" s="5">
        <v>60.6</v>
      </c>
      <c r="H550" s="5">
        <v>61.75</v>
      </c>
      <c r="I550" s="5">
        <v>61.5</v>
      </c>
      <c r="J550" s="5">
        <v>61.84</v>
      </c>
      <c r="K550" s="5">
        <v>4667</v>
      </c>
      <c r="L550" s="5">
        <v>2.89</v>
      </c>
      <c r="M550" s="5">
        <v>167</v>
      </c>
      <c r="N550" s="5">
        <v>2456</v>
      </c>
      <c r="O550" s="5">
        <v>52.62</v>
      </c>
      <c r="P550" s="5">
        <f t="shared" si="45"/>
        <v>-1.1499999999999986</v>
      </c>
      <c r="Q550" s="6">
        <f t="shared" si="46"/>
        <v>-1.8355945730247385E-2</v>
      </c>
      <c r="R550" s="5">
        <f t="shared" si="47"/>
        <v>4.8000000000000043</v>
      </c>
      <c r="S550" s="6">
        <f t="shared" si="48"/>
        <v>7.6616121308858809E-2</v>
      </c>
      <c r="T550" s="6">
        <f t="shared" si="49"/>
        <v>-5.3872053872054413E-3</v>
      </c>
    </row>
    <row r="551" spans="1:20" hidden="1" x14ac:dyDescent="0.25">
      <c r="A551" s="4" t="s">
        <v>560</v>
      </c>
      <c r="B551" s="5" t="s">
        <v>39</v>
      </c>
      <c r="C551" s="5" t="s">
        <v>1823</v>
      </c>
      <c r="D551" s="5">
        <v>6.8</v>
      </c>
      <c r="E551" s="5">
        <v>7</v>
      </c>
      <c r="F551" s="5">
        <v>7</v>
      </c>
      <c r="G551" s="5">
        <v>6.5</v>
      </c>
      <c r="H551" s="5">
        <v>6.8</v>
      </c>
      <c r="I551" s="5">
        <v>6.5</v>
      </c>
      <c r="J551" s="5">
        <v>6.55</v>
      </c>
      <c r="K551" s="5">
        <v>12204</v>
      </c>
      <c r="L551" s="5">
        <v>0.8</v>
      </c>
      <c r="M551" s="5">
        <v>60</v>
      </c>
      <c r="N551" s="5" t="s">
        <v>25</v>
      </c>
      <c r="O551" s="5" t="s">
        <v>25</v>
      </c>
      <c r="P551" s="5">
        <f t="shared" si="45"/>
        <v>-0.29999999999999982</v>
      </c>
      <c r="Q551" s="6">
        <f t="shared" si="46"/>
        <v>-4.4117647058823505E-2</v>
      </c>
      <c r="R551" s="5">
        <f t="shared" si="47"/>
        <v>0.5</v>
      </c>
      <c r="S551" s="6">
        <f t="shared" si="48"/>
        <v>7.3529411764705885E-2</v>
      </c>
      <c r="T551" s="6">
        <f t="shared" si="49"/>
        <v>-7.4074074074073808E-3</v>
      </c>
    </row>
    <row r="552" spans="1:20" hidden="1" x14ac:dyDescent="0.25">
      <c r="A552" s="4" t="s">
        <v>561</v>
      </c>
      <c r="B552" s="5" t="s">
        <v>16</v>
      </c>
      <c r="C552" s="5" t="s">
        <v>1823</v>
      </c>
      <c r="D552" s="5">
        <v>139.80000000000001</v>
      </c>
      <c r="E552" s="5">
        <v>136.94999999999999</v>
      </c>
      <c r="F552" s="5">
        <v>140.75</v>
      </c>
      <c r="G552" s="5">
        <v>131.4</v>
      </c>
      <c r="H552" s="5">
        <v>132.80000000000001</v>
      </c>
      <c r="I552" s="5">
        <v>133.05000000000001</v>
      </c>
      <c r="J552" s="5">
        <v>135.56</v>
      </c>
      <c r="K552" s="5">
        <v>41001</v>
      </c>
      <c r="L552" s="5">
        <v>55.58</v>
      </c>
      <c r="M552" s="5">
        <v>874</v>
      </c>
      <c r="N552" s="5">
        <v>27779</v>
      </c>
      <c r="O552" s="5">
        <v>67.75</v>
      </c>
      <c r="P552" s="5">
        <f t="shared" si="45"/>
        <v>-6.75</v>
      </c>
      <c r="Q552" s="6">
        <f t="shared" si="46"/>
        <v>-4.8283261802575105E-2</v>
      </c>
      <c r="R552" s="5">
        <f t="shared" si="47"/>
        <v>9.3499999999999943</v>
      </c>
      <c r="S552" s="6">
        <f t="shared" si="48"/>
        <v>6.6881258941344737E-2</v>
      </c>
      <c r="T552" s="6">
        <f t="shared" si="49"/>
        <v>-1.8518860094069837E-2</v>
      </c>
    </row>
    <row r="553" spans="1:20" hidden="1" x14ac:dyDescent="0.25">
      <c r="A553" s="4" t="s">
        <v>562</v>
      </c>
      <c r="B553" s="5" t="s">
        <v>16</v>
      </c>
      <c r="C553" s="5" t="s">
        <v>1823</v>
      </c>
      <c r="D553" s="5">
        <v>382.85</v>
      </c>
      <c r="E553" s="5">
        <v>386</v>
      </c>
      <c r="F553" s="5">
        <v>387.95</v>
      </c>
      <c r="G553" s="5">
        <v>369</v>
      </c>
      <c r="H553" s="5">
        <v>371</v>
      </c>
      <c r="I553" s="5">
        <v>370.55</v>
      </c>
      <c r="J553" s="5">
        <v>376.71</v>
      </c>
      <c r="K553" s="5">
        <v>28951</v>
      </c>
      <c r="L553" s="5">
        <v>109.06</v>
      </c>
      <c r="M553" s="5">
        <v>908</v>
      </c>
      <c r="N553" s="5">
        <v>15760</v>
      </c>
      <c r="O553" s="5">
        <v>54.44</v>
      </c>
      <c r="P553" s="5">
        <f t="shared" si="45"/>
        <v>-12.300000000000011</v>
      </c>
      <c r="Q553" s="6">
        <f t="shared" si="46"/>
        <v>-3.2127465064646754E-2</v>
      </c>
      <c r="R553" s="5">
        <f t="shared" si="47"/>
        <v>18.949999999999989</v>
      </c>
      <c r="S553" s="6">
        <f t="shared" si="48"/>
        <v>4.9497192111793098E-2</v>
      </c>
      <c r="T553" s="6">
        <f t="shared" si="49"/>
        <v>-1.6280145358440617E-2</v>
      </c>
    </row>
    <row r="554" spans="1:20" x14ac:dyDescent="0.25">
      <c r="A554" s="4" t="s">
        <v>116</v>
      </c>
      <c r="B554" s="5" t="s">
        <v>16</v>
      </c>
      <c r="C554" s="5" t="s">
        <v>1823</v>
      </c>
      <c r="D554" s="5">
        <v>208.25</v>
      </c>
      <c r="E554" s="5">
        <v>212</v>
      </c>
      <c r="F554" s="5">
        <v>233.2</v>
      </c>
      <c r="G554" s="5">
        <v>207.15</v>
      </c>
      <c r="H554" s="5">
        <v>209.5</v>
      </c>
      <c r="I554" s="5">
        <v>209.55</v>
      </c>
      <c r="J554" s="5">
        <v>219.64</v>
      </c>
      <c r="K554" s="5">
        <v>567088</v>
      </c>
      <c r="L554" s="5">
        <v>1245.55</v>
      </c>
      <c r="M554" s="5">
        <v>12444</v>
      </c>
      <c r="N554" s="5">
        <v>193076</v>
      </c>
      <c r="O554" s="5">
        <v>34.049999999999997</v>
      </c>
      <c r="P554" s="5">
        <f t="shared" si="45"/>
        <v>1.3000000000000114</v>
      </c>
      <c r="Q554" s="6">
        <f t="shared" si="46"/>
        <v>6.2424969987995745E-3</v>
      </c>
      <c r="R554" s="5">
        <f t="shared" si="47"/>
        <v>26.049999999999983</v>
      </c>
      <c r="S554" s="6">
        <f t="shared" si="48"/>
        <v>0.12509003601440569</v>
      </c>
      <c r="T554" s="6">
        <f t="shared" si="49"/>
        <v>-4.6826778048497386E-2</v>
      </c>
    </row>
    <row r="555" spans="1:20" hidden="1" x14ac:dyDescent="0.25">
      <c r="A555" s="4" t="s">
        <v>564</v>
      </c>
      <c r="B555" s="5" t="s">
        <v>16</v>
      </c>
      <c r="C555" s="5" t="s">
        <v>1823</v>
      </c>
      <c r="D555" s="5">
        <v>1505.15</v>
      </c>
      <c r="E555" s="5">
        <v>1518.95</v>
      </c>
      <c r="F555" s="5">
        <v>1518.95</v>
      </c>
      <c r="G555" s="5">
        <v>1476.1</v>
      </c>
      <c r="H555" s="5">
        <v>1500</v>
      </c>
      <c r="I555" s="5">
        <v>1498.75</v>
      </c>
      <c r="J555" s="5">
        <v>1496.45</v>
      </c>
      <c r="K555" s="5">
        <v>2897</v>
      </c>
      <c r="L555" s="5">
        <v>43.35</v>
      </c>
      <c r="M555" s="5">
        <v>468</v>
      </c>
      <c r="N555" s="5">
        <v>1795</v>
      </c>
      <c r="O555" s="5">
        <v>61.96</v>
      </c>
      <c r="P555" s="5">
        <f t="shared" si="45"/>
        <v>-6.4000000000000909</v>
      </c>
      <c r="Q555" s="6">
        <f t="shared" si="46"/>
        <v>-4.252067900209342E-3</v>
      </c>
      <c r="R555" s="5">
        <f t="shared" si="47"/>
        <v>42.850000000000136</v>
      </c>
      <c r="S555" s="6">
        <f t="shared" si="48"/>
        <v>2.8468923363120045E-2</v>
      </c>
      <c r="T555" s="6">
        <f t="shared" si="49"/>
        <v>1.5300819092760912E-3</v>
      </c>
    </row>
    <row r="556" spans="1:20" x14ac:dyDescent="0.25">
      <c r="A556" s="4" t="s">
        <v>791</v>
      </c>
      <c r="B556" s="5" t="s">
        <v>16</v>
      </c>
      <c r="C556" s="5" t="s">
        <v>1823</v>
      </c>
      <c r="D556" s="5">
        <v>185.35</v>
      </c>
      <c r="E556" s="5">
        <v>185.05</v>
      </c>
      <c r="F556" s="5">
        <v>187.75</v>
      </c>
      <c r="G556" s="5">
        <v>178.75</v>
      </c>
      <c r="H556" s="5">
        <v>182.65</v>
      </c>
      <c r="I556" s="5">
        <v>182.7</v>
      </c>
      <c r="J556" s="5">
        <v>182.99</v>
      </c>
      <c r="K556" s="5">
        <v>176597</v>
      </c>
      <c r="L556" s="5">
        <v>323.16000000000003</v>
      </c>
      <c r="M556" s="5">
        <v>2780</v>
      </c>
      <c r="N556" s="5">
        <v>60225</v>
      </c>
      <c r="O556" s="5">
        <v>34.1</v>
      </c>
      <c r="P556" s="5">
        <f t="shared" si="45"/>
        <v>-2.6500000000000057</v>
      </c>
      <c r="Q556" s="6">
        <f t="shared" si="46"/>
        <v>-1.4297275424871895E-2</v>
      </c>
      <c r="R556" s="5">
        <f t="shared" si="47"/>
        <v>9</v>
      </c>
      <c r="S556" s="6">
        <f t="shared" si="48"/>
        <v>4.8556784461828977E-2</v>
      </c>
      <c r="T556" s="6">
        <f t="shared" si="49"/>
        <v>-1.579843377596298E-3</v>
      </c>
    </row>
    <row r="557" spans="1:20" hidden="1" x14ac:dyDescent="0.25">
      <c r="A557" s="4" t="s">
        <v>566</v>
      </c>
      <c r="B557" s="5" t="s">
        <v>16</v>
      </c>
      <c r="C557" s="5" t="s">
        <v>1823</v>
      </c>
      <c r="D557" s="5">
        <v>268.25</v>
      </c>
      <c r="E557" s="5">
        <v>267.95</v>
      </c>
      <c r="F557" s="5">
        <v>270.75</v>
      </c>
      <c r="G557" s="5">
        <v>261</v>
      </c>
      <c r="H557" s="5">
        <v>263</v>
      </c>
      <c r="I557" s="5">
        <v>263.7</v>
      </c>
      <c r="J557" s="5">
        <v>264.74</v>
      </c>
      <c r="K557" s="5">
        <v>16103</v>
      </c>
      <c r="L557" s="5">
        <v>42.63</v>
      </c>
      <c r="M557" s="5">
        <v>750</v>
      </c>
      <c r="N557" s="5">
        <v>10118</v>
      </c>
      <c r="O557" s="5">
        <v>62.83</v>
      </c>
      <c r="P557" s="5">
        <f t="shared" si="45"/>
        <v>-4.5500000000000114</v>
      </c>
      <c r="Q557" s="6">
        <f t="shared" si="46"/>
        <v>-1.6961789375582521E-2</v>
      </c>
      <c r="R557" s="5">
        <f t="shared" si="47"/>
        <v>9.75</v>
      </c>
      <c r="S557" s="6">
        <f t="shared" si="48"/>
        <v>3.6346691519105315E-2</v>
      </c>
      <c r="T557" s="6">
        <f t="shared" si="49"/>
        <v>-3.9119804400978763E-3</v>
      </c>
    </row>
    <row r="558" spans="1:20" x14ac:dyDescent="0.25">
      <c r="A558" s="4" t="s">
        <v>1727</v>
      </c>
      <c r="B558" s="5" t="s">
        <v>16</v>
      </c>
      <c r="C558" s="5" t="s">
        <v>1823</v>
      </c>
      <c r="D558" s="5">
        <v>161.65</v>
      </c>
      <c r="E558" s="5">
        <v>161.05000000000001</v>
      </c>
      <c r="F558" s="5">
        <v>163.05000000000001</v>
      </c>
      <c r="G558" s="5">
        <v>152</v>
      </c>
      <c r="H558" s="5">
        <v>154</v>
      </c>
      <c r="I558" s="5">
        <v>154.19999999999999</v>
      </c>
      <c r="J558" s="5">
        <v>156.06</v>
      </c>
      <c r="K558" s="5">
        <v>127845</v>
      </c>
      <c r="L558" s="5">
        <v>199.52</v>
      </c>
      <c r="M558" s="5">
        <v>3063</v>
      </c>
      <c r="N558" s="5">
        <v>43786</v>
      </c>
      <c r="O558" s="5">
        <v>34.25</v>
      </c>
      <c r="P558" s="5">
        <f t="shared" si="45"/>
        <v>-7.4500000000000171</v>
      </c>
      <c r="Q558" s="6">
        <f t="shared" si="46"/>
        <v>-4.6087225487163729E-2</v>
      </c>
      <c r="R558" s="5">
        <f t="shared" si="47"/>
        <v>11.050000000000011</v>
      </c>
      <c r="S558" s="6">
        <f t="shared" si="48"/>
        <v>6.8357562635323291E-2</v>
      </c>
      <c r="T558" s="6">
        <f t="shared" si="49"/>
        <v>-1.180390290337943E-2</v>
      </c>
    </row>
    <row r="559" spans="1:20" x14ac:dyDescent="0.25">
      <c r="A559" s="4" t="s">
        <v>1026</v>
      </c>
      <c r="B559" s="5" t="s">
        <v>16</v>
      </c>
      <c r="C559" s="5" t="s">
        <v>1823</v>
      </c>
      <c r="D559" s="5">
        <v>34.5</v>
      </c>
      <c r="E559" s="5">
        <v>34.15</v>
      </c>
      <c r="F559" s="5">
        <v>36.200000000000003</v>
      </c>
      <c r="G559" s="5">
        <v>34.049999999999997</v>
      </c>
      <c r="H559" s="5">
        <v>35.5</v>
      </c>
      <c r="I559" s="5">
        <v>35.4</v>
      </c>
      <c r="J559" s="5">
        <v>35.340000000000003</v>
      </c>
      <c r="K559" s="5">
        <v>232349</v>
      </c>
      <c r="L559" s="5">
        <v>82.12</v>
      </c>
      <c r="M559" s="5">
        <v>1502</v>
      </c>
      <c r="N559" s="5">
        <v>80206</v>
      </c>
      <c r="O559" s="5">
        <v>34.520000000000003</v>
      </c>
      <c r="P559" s="5">
        <f t="shared" si="45"/>
        <v>0.89999999999999858</v>
      </c>
      <c r="Q559" s="6">
        <f t="shared" si="46"/>
        <v>2.6086956521739091E-2</v>
      </c>
      <c r="R559" s="5">
        <f t="shared" si="47"/>
        <v>2.1500000000000057</v>
      </c>
      <c r="S559" s="6">
        <f t="shared" si="48"/>
        <v>6.2318840579710308E-2</v>
      </c>
      <c r="T559" s="6">
        <f t="shared" si="49"/>
        <v>1.7167381974247547E-3</v>
      </c>
    </row>
    <row r="560" spans="1:20" hidden="1" x14ac:dyDescent="0.25">
      <c r="A560" s="4" t="s">
        <v>569</v>
      </c>
      <c r="B560" s="5" t="s">
        <v>16</v>
      </c>
      <c r="C560" s="5" t="s">
        <v>1823</v>
      </c>
      <c r="D560" s="5">
        <v>317.39999999999998</v>
      </c>
      <c r="E560" s="5">
        <v>322</v>
      </c>
      <c r="F560" s="5">
        <v>331</v>
      </c>
      <c r="G560" s="5">
        <v>312.25</v>
      </c>
      <c r="H560" s="5">
        <v>313.05</v>
      </c>
      <c r="I560" s="5">
        <v>314.3</v>
      </c>
      <c r="J560" s="5">
        <v>323.91000000000003</v>
      </c>
      <c r="K560" s="5">
        <v>31729</v>
      </c>
      <c r="L560" s="5">
        <v>102.77</v>
      </c>
      <c r="M560" s="5">
        <v>1163</v>
      </c>
      <c r="N560" s="5">
        <v>17905</v>
      </c>
      <c r="O560" s="5">
        <v>56.43</v>
      </c>
      <c r="P560" s="5">
        <f t="shared" si="45"/>
        <v>-3.0999999999999659</v>
      </c>
      <c r="Q560" s="6">
        <f t="shared" si="46"/>
        <v>-9.7668557025833835E-3</v>
      </c>
      <c r="R560" s="5">
        <f t="shared" si="47"/>
        <v>18.75</v>
      </c>
      <c r="S560" s="6">
        <f t="shared" si="48"/>
        <v>5.9073724007561439E-2</v>
      </c>
      <c r="T560" s="6">
        <f t="shared" si="49"/>
        <v>-3.0041811574381662E-2</v>
      </c>
    </row>
    <row r="561" spans="1:20" hidden="1" x14ac:dyDescent="0.25">
      <c r="A561" s="4" t="s">
        <v>570</v>
      </c>
      <c r="B561" s="5" t="s">
        <v>16</v>
      </c>
      <c r="C561" s="5" t="s">
        <v>1823</v>
      </c>
      <c r="D561" s="5">
        <v>987.45</v>
      </c>
      <c r="E561" s="5">
        <v>992.25</v>
      </c>
      <c r="F561" s="5">
        <v>997</v>
      </c>
      <c r="G561" s="5">
        <v>971</v>
      </c>
      <c r="H561" s="5">
        <v>971.5</v>
      </c>
      <c r="I561" s="5">
        <v>977.65</v>
      </c>
      <c r="J561" s="5">
        <v>981.6</v>
      </c>
      <c r="K561" s="5">
        <v>58296</v>
      </c>
      <c r="L561" s="5">
        <v>572.23</v>
      </c>
      <c r="M561" s="5">
        <v>5395</v>
      </c>
      <c r="N561" s="5">
        <v>17673</v>
      </c>
      <c r="O561" s="5">
        <v>30.32</v>
      </c>
      <c r="P561" s="5">
        <f t="shared" si="45"/>
        <v>-9.8000000000000682</v>
      </c>
      <c r="Q561" s="6">
        <f t="shared" si="46"/>
        <v>-9.9245531419313061E-3</v>
      </c>
      <c r="R561" s="5">
        <f t="shared" si="47"/>
        <v>26</v>
      </c>
      <c r="S561" s="6">
        <f t="shared" si="48"/>
        <v>2.6330447111246137E-2</v>
      </c>
      <c r="T561" s="6">
        <f t="shared" si="49"/>
        <v>-4.0122908149013894E-3</v>
      </c>
    </row>
    <row r="562" spans="1:20" hidden="1" x14ac:dyDescent="0.25">
      <c r="A562" s="4" t="s">
        <v>571</v>
      </c>
      <c r="B562" s="5" t="s">
        <v>16</v>
      </c>
      <c r="C562" s="5" t="s">
        <v>1823</v>
      </c>
      <c r="D562" s="5">
        <v>488.25</v>
      </c>
      <c r="E562" s="5">
        <v>492.5</v>
      </c>
      <c r="F562" s="5">
        <v>492.85</v>
      </c>
      <c r="G562" s="5">
        <v>483</v>
      </c>
      <c r="H562" s="5">
        <v>485.5</v>
      </c>
      <c r="I562" s="5">
        <v>486.65</v>
      </c>
      <c r="J562" s="5">
        <v>486</v>
      </c>
      <c r="K562" s="5">
        <v>28429</v>
      </c>
      <c r="L562" s="5">
        <v>138.16</v>
      </c>
      <c r="M562" s="5">
        <v>1573</v>
      </c>
      <c r="N562" s="5">
        <v>18188</v>
      </c>
      <c r="O562" s="5">
        <v>63.98</v>
      </c>
      <c r="P562" s="5">
        <f t="shared" si="45"/>
        <v>-1.6000000000000227</v>
      </c>
      <c r="Q562" s="6">
        <f t="shared" si="46"/>
        <v>-3.2770097286226782E-3</v>
      </c>
      <c r="R562" s="5">
        <f t="shared" si="47"/>
        <v>9.8500000000000227</v>
      </c>
      <c r="S562" s="6">
        <f t="shared" si="48"/>
        <v>2.0174091141833123E-2</v>
      </c>
      <c r="T562" s="6">
        <f t="shared" si="49"/>
        <v>1.3299232736572425E-3</v>
      </c>
    </row>
    <row r="563" spans="1:20" x14ac:dyDescent="0.25">
      <c r="A563" s="4" t="s">
        <v>124</v>
      </c>
      <c r="B563" s="5" t="s">
        <v>16</v>
      </c>
      <c r="C563" s="5" t="s">
        <v>1823</v>
      </c>
      <c r="D563" s="5">
        <v>157</v>
      </c>
      <c r="E563" s="5">
        <v>156.9</v>
      </c>
      <c r="F563" s="5">
        <v>157</v>
      </c>
      <c r="G563" s="5">
        <v>148</v>
      </c>
      <c r="H563" s="5">
        <v>150</v>
      </c>
      <c r="I563" s="5">
        <v>150.5</v>
      </c>
      <c r="J563" s="5">
        <v>151.22999999999999</v>
      </c>
      <c r="K563" s="5">
        <v>195088</v>
      </c>
      <c r="L563" s="5">
        <v>295.02999999999997</v>
      </c>
      <c r="M563" s="5">
        <v>3434</v>
      </c>
      <c r="N563" s="5">
        <v>67464</v>
      </c>
      <c r="O563" s="5">
        <v>34.58</v>
      </c>
      <c r="P563" s="5">
        <f t="shared" si="45"/>
        <v>-6.5</v>
      </c>
      <c r="Q563" s="6">
        <f t="shared" si="46"/>
        <v>-4.1401273885350316E-2</v>
      </c>
      <c r="R563" s="5">
        <f t="shared" si="47"/>
        <v>9</v>
      </c>
      <c r="S563" s="6">
        <f t="shared" si="48"/>
        <v>5.7324840764331211E-2</v>
      </c>
      <c r="T563" s="6">
        <f t="shared" si="49"/>
        <v>-4.7681254082298482E-3</v>
      </c>
    </row>
    <row r="564" spans="1:20" hidden="1" x14ac:dyDescent="0.25">
      <c r="A564" s="4" t="s">
        <v>573</v>
      </c>
      <c r="B564" s="5" t="s">
        <v>16</v>
      </c>
      <c r="C564" s="5" t="s">
        <v>1823</v>
      </c>
      <c r="D564" s="5">
        <v>423.2</v>
      </c>
      <c r="E564" s="5">
        <v>423</v>
      </c>
      <c r="F564" s="5">
        <v>427.7</v>
      </c>
      <c r="G564" s="5">
        <v>416</v>
      </c>
      <c r="H564" s="5">
        <v>417.5</v>
      </c>
      <c r="I564" s="5">
        <v>417.4</v>
      </c>
      <c r="J564" s="5">
        <v>419.6</v>
      </c>
      <c r="K564" s="5">
        <v>61108</v>
      </c>
      <c r="L564" s="5">
        <v>256.41000000000003</v>
      </c>
      <c r="M564" s="5">
        <v>3621</v>
      </c>
      <c r="N564" s="5">
        <v>25932</v>
      </c>
      <c r="O564" s="5">
        <v>42.44</v>
      </c>
      <c r="P564" s="5">
        <f t="shared" si="45"/>
        <v>-5.8000000000000114</v>
      </c>
      <c r="Q564" s="6">
        <f t="shared" si="46"/>
        <v>-1.370510396975428E-2</v>
      </c>
      <c r="R564" s="5">
        <f t="shared" si="47"/>
        <v>11.699999999999989</v>
      </c>
      <c r="S564" s="6">
        <f t="shared" si="48"/>
        <v>2.7646502835538725E-2</v>
      </c>
      <c r="T564" s="6">
        <f t="shared" si="49"/>
        <v>-5.2253429131287827E-3</v>
      </c>
    </row>
    <row r="565" spans="1:20" x14ac:dyDescent="0.25">
      <c r="A565" s="4" t="s">
        <v>340</v>
      </c>
      <c r="B565" s="5" t="s">
        <v>16</v>
      </c>
      <c r="C565" s="5" t="s">
        <v>1823</v>
      </c>
      <c r="D565" s="5">
        <v>581.1</v>
      </c>
      <c r="E565" s="5">
        <v>579.95000000000005</v>
      </c>
      <c r="F565" s="5">
        <v>617.5</v>
      </c>
      <c r="G565" s="5">
        <v>557.04999999999995</v>
      </c>
      <c r="H565" s="5">
        <v>598.54999999999995</v>
      </c>
      <c r="I565" s="5">
        <v>600.20000000000005</v>
      </c>
      <c r="J565" s="5">
        <v>595.27</v>
      </c>
      <c r="K565" s="5">
        <v>4015631</v>
      </c>
      <c r="L565" s="5">
        <v>23903.77</v>
      </c>
      <c r="M565" s="5">
        <v>105875</v>
      </c>
      <c r="N565" s="5">
        <v>1390113</v>
      </c>
      <c r="O565" s="5">
        <v>34.619999999999997</v>
      </c>
      <c r="P565" s="5">
        <f t="shared" si="45"/>
        <v>19.100000000000023</v>
      </c>
      <c r="Q565" s="6">
        <f t="shared" si="46"/>
        <v>3.2868697298227535E-2</v>
      </c>
      <c r="R565" s="5">
        <f t="shared" si="47"/>
        <v>60.450000000000045</v>
      </c>
      <c r="S565" s="6">
        <f t="shared" si="48"/>
        <v>0.10402684563758396</v>
      </c>
      <c r="T565" s="6">
        <f t="shared" si="49"/>
        <v>8.37473988193836E-3</v>
      </c>
    </row>
    <row r="566" spans="1:20" hidden="1" x14ac:dyDescent="0.25">
      <c r="A566" s="4" t="s">
        <v>575</v>
      </c>
      <c r="B566" s="5" t="s">
        <v>24</v>
      </c>
      <c r="C566" s="5" t="s">
        <v>1823</v>
      </c>
      <c r="D566" s="5">
        <v>0.3</v>
      </c>
      <c r="E566" s="5">
        <v>0.3</v>
      </c>
      <c r="F566" s="5">
        <v>0.3</v>
      </c>
      <c r="G566" s="5">
        <v>0.25</v>
      </c>
      <c r="H566" s="5">
        <v>0.3</v>
      </c>
      <c r="I566" s="5">
        <v>0.25</v>
      </c>
      <c r="J566" s="5">
        <v>0.28999999999999998</v>
      </c>
      <c r="K566" s="5">
        <v>6901</v>
      </c>
      <c r="L566" s="5">
        <v>0.02</v>
      </c>
      <c r="M566" s="5">
        <v>12</v>
      </c>
      <c r="N566" s="5" t="s">
        <v>25</v>
      </c>
      <c r="O566" s="5" t="s">
        <v>25</v>
      </c>
      <c r="P566" s="5">
        <f t="shared" si="45"/>
        <v>-4.9999999999999989E-2</v>
      </c>
      <c r="Q566" s="6">
        <f t="shared" si="46"/>
        <v>-0.16666666666666663</v>
      </c>
      <c r="R566" s="5">
        <f t="shared" si="47"/>
        <v>4.9999999999999989E-2</v>
      </c>
      <c r="S566" s="6">
        <f t="shared" si="48"/>
        <v>0.16666666666666663</v>
      </c>
      <c r="T566" s="6">
        <f t="shared" si="49"/>
        <v>-0.14545454545454536</v>
      </c>
    </row>
    <row r="567" spans="1:20" hidden="1" x14ac:dyDescent="0.25">
      <c r="A567" s="4" t="s">
        <v>576</v>
      </c>
      <c r="B567" s="5" t="s">
        <v>16</v>
      </c>
      <c r="C567" s="5" t="s">
        <v>1823</v>
      </c>
      <c r="D567" s="5">
        <v>93.75</v>
      </c>
      <c r="E567" s="5">
        <v>93.1</v>
      </c>
      <c r="F567" s="5">
        <v>93.2</v>
      </c>
      <c r="G567" s="5">
        <v>91.15</v>
      </c>
      <c r="H567" s="5">
        <v>91.25</v>
      </c>
      <c r="I567" s="5">
        <v>91.35</v>
      </c>
      <c r="J567" s="5">
        <v>91.68</v>
      </c>
      <c r="K567" s="5">
        <v>26918</v>
      </c>
      <c r="L567" s="5">
        <v>24.68</v>
      </c>
      <c r="M567" s="5">
        <v>486</v>
      </c>
      <c r="N567" s="5">
        <v>20083</v>
      </c>
      <c r="O567" s="5">
        <v>74.61</v>
      </c>
      <c r="P567" s="5">
        <f t="shared" si="45"/>
        <v>-2.4000000000000057</v>
      </c>
      <c r="Q567" s="6">
        <f t="shared" si="46"/>
        <v>-2.560000000000006E-2</v>
      </c>
      <c r="R567" s="5">
        <f t="shared" si="47"/>
        <v>2.0499999999999972</v>
      </c>
      <c r="S567" s="6">
        <f t="shared" si="48"/>
        <v>2.1866666666666635E-2</v>
      </c>
      <c r="T567" s="6">
        <f t="shared" si="49"/>
        <v>-3.5791757049892891E-3</v>
      </c>
    </row>
    <row r="568" spans="1:20" hidden="1" x14ac:dyDescent="0.25">
      <c r="A568" s="4" t="s">
        <v>577</v>
      </c>
      <c r="B568" s="5" t="s">
        <v>16</v>
      </c>
      <c r="C568" s="5" t="s">
        <v>1823</v>
      </c>
      <c r="D568" s="5">
        <v>16.850000000000001</v>
      </c>
      <c r="E568" s="5">
        <v>16.850000000000001</v>
      </c>
      <c r="F568" s="5">
        <v>16.95</v>
      </c>
      <c r="G568" s="5">
        <v>16.149999999999999</v>
      </c>
      <c r="H568" s="5">
        <v>16.75</v>
      </c>
      <c r="I568" s="5">
        <v>16.25</v>
      </c>
      <c r="J568" s="5">
        <v>16.55</v>
      </c>
      <c r="K568" s="5">
        <v>9305</v>
      </c>
      <c r="L568" s="5">
        <v>1.54</v>
      </c>
      <c r="M568" s="5">
        <v>69</v>
      </c>
      <c r="N568" s="5">
        <v>4192</v>
      </c>
      <c r="O568" s="5">
        <v>45.05</v>
      </c>
      <c r="P568" s="5">
        <f t="shared" si="45"/>
        <v>-0.60000000000000142</v>
      </c>
      <c r="Q568" s="6">
        <f t="shared" si="46"/>
        <v>-3.5608308605341331E-2</v>
      </c>
      <c r="R568" s="5">
        <f t="shared" si="47"/>
        <v>0.80000000000000071</v>
      </c>
      <c r="S568" s="6">
        <f t="shared" si="48"/>
        <v>4.7477744807121698E-2</v>
      </c>
      <c r="T568" s="6">
        <f t="shared" si="49"/>
        <v>-1.8126888217522705E-2</v>
      </c>
    </row>
    <row r="569" spans="1:20" hidden="1" x14ac:dyDescent="0.25">
      <c r="A569" s="4" t="s">
        <v>578</v>
      </c>
      <c r="B569" s="5" t="s">
        <v>16</v>
      </c>
      <c r="C569" s="5" t="s">
        <v>1823</v>
      </c>
      <c r="D569" s="5">
        <v>17.5</v>
      </c>
      <c r="E569" s="5">
        <v>17.45</v>
      </c>
      <c r="F569" s="5">
        <v>17.5</v>
      </c>
      <c r="G569" s="5">
        <v>16.649999999999999</v>
      </c>
      <c r="H569" s="5">
        <v>16.649999999999999</v>
      </c>
      <c r="I569" s="5">
        <v>16.850000000000001</v>
      </c>
      <c r="J569" s="5">
        <v>16.98</v>
      </c>
      <c r="K569" s="5">
        <v>29438</v>
      </c>
      <c r="L569" s="5">
        <v>5</v>
      </c>
      <c r="M569" s="5">
        <v>84</v>
      </c>
      <c r="N569" s="5">
        <v>17272</v>
      </c>
      <c r="O569" s="5">
        <v>58.67</v>
      </c>
      <c r="P569" s="5">
        <f t="shared" si="45"/>
        <v>-0.64999999999999858</v>
      </c>
      <c r="Q569" s="6">
        <f t="shared" si="46"/>
        <v>-3.7142857142857061E-2</v>
      </c>
      <c r="R569" s="5">
        <f t="shared" si="47"/>
        <v>0.85000000000000142</v>
      </c>
      <c r="S569" s="6">
        <f t="shared" si="48"/>
        <v>4.8571428571428654E-2</v>
      </c>
      <c r="T569" s="6">
        <f t="shared" si="49"/>
        <v>-7.5967859751642948E-3</v>
      </c>
    </row>
    <row r="570" spans="1:20" hidden="1" x14ac:dyDescent="0.25">
      <c r="A570" s="4" t="s">
        <v>579</v>
      </c>
      <c r="B570" s="5" t="s">
        <v>16</v>
      </c>
      <c r="C570" s="5" t="s">
        <v>1823</v>
      </c>
      <c r="D570" s="5">
        <v>3308.65</v>
      </c>
      <c r="E570" s="5">
        <v>3325</v>
      </c>
      <c r="F570" s="5">
        <v>3342</v>
      </c>
      <c r="G570" s="5">
        <v>3299.95</v>
      </c>
      <c r="H570" s="5">
        <v>3334.3</v>
      </c>
      <c r="I570" s="5">
        <v>3334.5</v>
      </c>
      <c r="J570" s="5">
        <v>3330.64</v>
      </c>
      <c r="K570" s="5">
        <v>28453</v>
      </c>
      <c r="L570" s="5">
        <v>947.67</v>
      </c>
      <c r="M570" s="5">
        <v>1802</v>
      </c>
      <c r="N570" s="5">
        <v>16782</v>
      </c>
      <c r="O570" s="5">
        <v>58.98</v>
      </c>
      <c r="P570" s="5">
        <f t="shared" si="45"/>
        <v>25.849999999999909</v>
      </c>
      <c r="Q570" s="6">
        <f t="shared" si="46"/>
        <v>7.8128541852416876E-3</v>
      </c>
      <c r="R570" s="5">
        <f t="shared" si="47"/>
        <v>42.050000000000182</v>
      </c>
      <c r="S570" s="6">
        <f t="shared" si="48"/>
        <v>1.270911096670853E-2</v>
      </c>
      <c r="T570" s="6">
        <f t="shared" si="49"/>
        <v>1.1607757049043907E-3</v>
      </c>
    </row>
    <row r="571" spans="1:20" hidden="1" x14ac:dyDescent="0.25">
      <c r="A571" s="4" t="s">
        <v>580</v>
      </c>
      <c r="B571" s="5" t="s">
        <v>16</v>
      </c>
      <c r="C571" s="5" t="s">
        <v>1823</v>
      </c>
      <c r="D571" s="5">
        <v>31</v>
      </c>
      <c r="E571" s="5">
        <v>31</v>
      </c>
      <c r="F571" s="5">
        <v>31</v>
      </c>
      <c r="G571" s="5">
        <v>29.45</v>
      </c>
      <c r="H571" s="5">
        <v>29.55</v>
      </c>
      <c r="I571" s="5">
        <v>29.55</v>
      </c>
      <c r="J571" s="5">
        <v>30.24</v>
      </c>
      <c r="K571" s="5">
        <v>790</v>
      </c>
      <c r="L571" s="5">
        <v>0.24</v>
      </c>
      <c r="M571" s="5">
        <v>25</v>
      </c>
      <c r="N571" s="5">
        <v>577</v>
      </c>
      <c r="O571" s="5">
        <v>73.040000000000006</v>
      </c>
      <c r="P571" s="5">
        <f t="shared" si="45"/>
        <v>-1.4499999999999993</v>
      </c>
      <c r="Q571" s="6">
        <f t="shared" si="46"/>
        <v>-4.677419354838707E-2</v>
      </c>
      <c r="R571" s="5">
        <f t="shared" si="47"/>
        <v>1.5500000000000007</v>
      </c>
      <c r="S571" s="6">
        <f t="shared" si="48"/>
        <v>5.0000000000000024E-2</v>
      </c>
      <c r="T571" s="6">
        <f t="shared" si="49"/>
        <v>-2.2809917355371825E-2</v>
      </c>
    </row>
    <row r="572" spans="1:20" x14ac:dyDescent="0.25">
      <c r="A572" s="4" t="s">
        <v>49</v>
      </c>
      <c r="B572" s="5" t="s">
        <v>16</v>
      </c>
      <c r="C572" s="5" t="s">
        <v>1823</v>
      </c>
      <c r="D572" s="5">
        <v>52.7</v>
      </c>
      <c r="E572" s="5">
        <v>52.6</v>
      </c>
      <c r="F572" s="5">
        <v>53.85</v>
      </c>
      <c r="G572" s="5">
        <v>51.4</v>
      </c>
      <c r="H572" s="5">
        <v>52.55</v>
      </c>
      <c r="I572" s="5">
        <v>52.55</v>
      </c>
      <c r="J572" s="5">
        <v>52.73</v>
      </c>
      <c r="K572" s="5">
        <v>910875</v>
      </c>
      <c r="L572" s="5">
        <v>480.29</v>
      </c>
      <c r="M572" s="5">
        <v>3638</v>
      </c>
      <c r="N572" s="5">
        <v>316109</v>
      </c>
      <c r="O572" s="5">
        <v>34.700000000000003</v>
      </c>
      <c r="P572" s="5">
        <f t="shared" si="45"/>
        <v>-0.15000000000000568</v>
      </c>
      <c r="Q572" s="6">
        <f t="shared" si="46"/>
        <v>-2.8462998102467868E-3</v>
      </c>
      <c r="R572" s="5">
        <f t="shared" si="47"/>
        <v>2.4500000000000028</v>
      </c>
      <c r="S572" s="6">
        <f t="shared" si="48"/>
        <v>4.6489563567362481E-2</v>
      </c>
      <c r="T572" s="6">
        <f t="shared" si="49"/>
        <v>-3.4220532319391584E-3</v>
      </c>
    </row>
    <row r="573" spans="1:20" hidden="1" x14ac:dyDescent="0.25">
      <c r="A573" s="4" t="s">
        <v>582</v>
      </c>
      <c r="B573" s="5" t="s">
        <v>16</v>
      </c>
      <c r="C573" s="5" t="s">
        <v>1823</v>
      </c>
      <c r="D573" s="5">
        <v>3349.6</v>
      </c>
      <c r="E573" s="5">
        <v>3360.15</v>
      </c>
      <c r="F573" s="5">
        <v>3399.5</v>
      </c>
      <c r="G573" s="5">
        <v>3360.15</v>
      </c>
      <c r="H573" s="5">
        <v>3386</v>
      </c>
      <c r="I573" s="5">
        <v>3389.65</v>
      </c>
      <c r="J573" s="5">
        <v>3380.92</v>
      </c>
      <c r="K573" s="5">
        <v>1120</v>
      </c>
      <c r="L573" s="5">
        <v>37.869999999999997</v>
      </c>
      <c r="M573" s="5">
        <v>158</v>
      </c>
      <c r="N573" s="5">
        <v>694</v>
      </c>
      <c r="O573" s="5">
        <v>61.96</v>
      </c>
      <c r="P573" s="5">
        <f t="shared" si="45"/>
        <v>40.050000000000182</v>
      </c>
      <c r="Q573" s="6">
        <f t="shared" si="46"/>
        <v>1.1956651540482499E-2</v>
      </c>
      <c r="R573" s="5">
        <f t="shared" si="47"/>
        <v>39.349999999999909</v>
      </c>
      <c r="S573" s="6">
        <f t="shared" si="48"/>
        <v>1.1747671363744898E-2</v>
      </c>
      <c r="T573" s="6">
        <f t="shared" si="49"/>
        <v>2.584857266580066E-3</v>
      </c>
    </row>
    <row r="574" spans="1:20" hidden="1" x14ac:dyDescent="0.25">
      <c r="A574" s="4" t="s">
        <v>583</v>
      </c>
      <c r="B574" s="5" t="s">
        <v>16</v>
      </c>
      <c r="C574" s="5" t="s">
        <v>1823</v>
      </c>
      <c r="D574" s="5">
        <v>10.35</v>
      </c>
      <c r="E574" s="5">
        <v>10.15</v>
      </c>
      <c r="F574" s="5">
        <v>10.75</v>
      </c>
      <c r="G574" s="5">
        <v>10.15</v>
      </c>
      <c r="H574" s="5">
        <v>10.5</v>
      </c>
      <c r="I574" s="5">
        <v>10.5</v>
      </c>
      <c r="J574" s="5">
        <v>10.5</v>
      </c>
      <c r="K574" s="5">
        <v>7699</v>
      </c>
      <c r="L574" s="5">
        <v>0.81</v>
      </c>
      <c r="M574" s="5">
        <v>69</v>
      </c>
      <c r="N574" s="5">
        <v>5203</v>
      </c>
      <c r="O574" s="5">
        <v>67.58</v>
      </c>
      <c r="P574" s="5">
        <f t="shared" si="45"/>
        <v>0.15000000000000036</v>
      </c>
      <c r="Q574" s="6">
        <f t="shared" si="46"/>
        <v>1.4492753623188441E-2</v>
      </c>
      <c r="R574" s="5">
        <f t="shared" si="47"/>
        <v>0.59999999999999964</v>
      </c>
      <c r="S574" s="6">
        <f t="shared" si="48"/>
        <v>5.7971014492753589E-2</v>
      </c>
      <c r="T574" s="6">
        <f t="shared" si="49"/>
        <v>0</v>
      </c>
    </row>
    <row r="575" spans="1:20" hidden="1" x14ac:dyDescent="0.25">
      <c r="A575" s="4" t="s">
        <v>584</v>
      </c>
      <c r="B575" s="5" t="s">
        <v>16</v>
      </c>
      <c r="C575" s="5" t="s">
        <v>1823</v>
      </c>
      <c r="D575" s="5">
        <v>58.6</v>
      </c>
      <c r="E575" s="5">
        <v>58.55</v>
      </c>
      <c r="F575" s="5">
        <v>59.8</v>
      </c>
      <c r="G575" s="5">
        <v>54.5</v>
      </c>
      <c r="H575" s="5">
        <v>56</v>
      </c>
      <c r="I575" s="5">
        <v>56.75</v>
      </c>
      <c r="J575" s="5">
        <v>57.06</v>
      </c>
      <c r="K575" s="5">
        <v>31844</v>
      </c>
      <c r="L575" s="5">
        <v>18.170000000000002</v>
      </c>
      <c r="M575" s="5">
        <v>274</v>
      </c>
      <c r="N575" s="5">
        <v>25672</v>
      </c>
      <c r="O575" s="5">
        <v>80.62</v>
      </c>
      <c r="P575" s="5">
        <f t="shared" si="45"/>
        <v>-1.8500000000000014</v>
      </c>
      <c r="Q575" s="6">
        <f t="shared" si="46"/>
        <v>-3.1569965870307193E-2</v>
      </c>
      <c r="R575" s="5">
        <f t="shared" si="47"/>
        <v>5.2999999999999972</v>
      </c>
      <c r="S575" s="6">
        <f t="shared" si="48"/>
        <v>9.0443686006825882E-2</v>
      </c>
      <c r="T575" s="6">
        <f t="shared" si="49"/>
        <v>-5.4006968641115384E-3</v>
      </c>
    </row>
    <row r="576" spans="1:20" hidden="1" x14ac:dyDescent="0.25">
      <c r="A576" s="4" t="s">
        <v>585</v>
      </c>
      <c r="B576" s="5" t="s">
        <v>16</v>
      </c>
      <c r="C576" s="5" t="s">
        <v>1823</v>
      </c>
      <c r="D576" s="5">
        <v>159.55000000000001</v>
      </c>
      <c r="E576" s="5">
        <v>157</v>
      </c>
      <c r="F576" s="5">
        <v>160</v>
      </c>
      <c r="G576" s="5">
        <v>153.5</v>
      </c>
      <c r="H576" s="5">
        <v>156.35</v>
      </c>
      <c r="I576" s="5">
        <v>154.75</v>
      </c>
      <c r="J576" s="5">
        <v>156.61000000000001</v>
      </c>
      <c r="K576" s="5">
        <v>40692</v>
      </c>
      <c r="L576" s="5">
        <v>63.73</v>
      </c>
      <c r="M576" s="5">
        <v>577</v>
      </c>
      <c r="N576" s="5">
        <v>30385</v>
      </c>
      <c r="O576" s="5">
        <v>74.67</v>
      </c>
      <c r="P576" s="5">
        <f t="shared" si="45"/>
        <v>-4.8000000000000114</v>
      </c>
      <c r="Q576" s="6">
        <f t="shared" si="46"/>
        <v>-3.0084612973989414E-2</v>
      </c>
      <c r="R576" s="5">
        <f t="shared" si="47"/>
        <v>6.5</v>
      </c>
      <c r="S576" s="6">
        <f t="shared" si="48"/>
        <v>4.0739580068943904E-2</v>
      </c>
      <c r="T576" s="6">
        <f t="shared" si="49"/>
        <v>-1.1899240303878535E-2</v>
      </c>
    </row>
    <row r="577" spans="1:20" hidden="1" x14ac:dyDescent="0.25">
      <c r="A577" s="4" t="s">
        <v>586</v>
      </c>
      <c r="B577" s="5" t="s">
        <v>16</v>
      </c>
      <c r="C577" s="5" t="s">
        <v>1823</v>
      </c>
      <c r="D577" s="5">
        <v>88.5</v>
      </c>
      <c r="E577" s="5">
        <v>89.1</v>
      </c>
      <c r="F577" s="5">
        <v>89.1</v>
      </c>
      <c r="G577" s="5">
        <v>84.7</v>
      </c>
      <c r="H577" s="5">
        <v>84.7</v>
      </c>
      <c r="I577" s="5">
        <v>85.15</v>
      </c>
      <c r="J577" s="5">
        <v>85.79</v>
      </c>
      <c r="K577" s="5">
        <v>75322</v>
      </c>
      <c r="L577" s="5">
        <v>64.62</v>
      </c>
      <c r="M577" s="5">
        <v>1787</v>
      </c>
      <c r="N577" s="5">
        <v>46861</v>
      </c>
      <c r="O577" s="5">
        <v>62.21</v>
      </c>
      <c r="P577" s="5">
        <f t="shared" si="45"/>
        <v>-3.3499999999999943</v>
      </c>
      <c r="Q577" s="6">
        <f t="shared" si="46"/>
        <v>-3.7853107344632701E-2</v>
      </c>
      <c r="R577" s="5">
        <f t="shared" si="47"/>
        <v>4.3999999999999915</v>
      </c>
      <c r="S577" s="6">
        <f t="shared" si="48"/>
        <v>4.9717514124293691E-2</v>
      </c>
      <c r="T577" s="6">
        <f t="shared" si="49"/>
        <v>-7.3552650481252769E-3</v>
      </c>
    </row>
    <row r="578" spans="1:20" hidden="1" x14ac:dyDescent="0.25">
      <c r="A578" s="4" t="s">
        <v>587</v>
      </c>
      <c r="B578" s="5" t="s">
        <v>16</v>
      </c>
      <c r="C578" s="5" t="s">
        <v>1823</v>
      </c>
      <c r="D578" s="5">
        <v>40.1</v>
      </c>
      <c r="E578" s="5">
        <v>42.5</v>
      </c>
      <c r="F578" s="5">
        <v>42.5</v>
      </c>
      <c r="G578" s="5">
        <v>38.299999999999997</v>
      </c>
      <c r="H578" s="5">
        <v>40.799999999999997</v>
      </c>
      <c r="I578" s="5">
        <v>39</v>
      </c>
      <c r="J578" s="5">
        <v>38.94</v>
      </c>
      <c r="K578" s="5">
        <v>963</v>
      </c>
      <c r="L578" s="5">
        <v>0.37</v>
      </c>
      <c r="M578" s="5">
        <v>23</v>
      </c>
      <c r="N578" s="5">
        <v>646</v>
      </c>
      <c r="O578" s="5">
        <v>67.08</v>
      </c>
      <c r="P578" s="5">
        <f t="shared" si="45"/>
        <v>-1.1000000000000014</v>
      </c>
      <c r="Q578" s="6">
        <f t="shared" si="46"/>
        <v>-2.7431421446384073E-2</v>
      </c>
      <c r="R578" s="5">
        <f t="shared" si="47"/>
        <v>4.2000000000000028</v>
      </c>
      <c r="S578" s="6">
        <f t="shared" si="48"/>
        <v>0.1047381546134664</v>
      </c>
      <c r="T578" s="6">
        <f t="shared" si="49"/>
        <v>1.4787430683919228E-3</v>
      </c>
    </row>
    <row r="579" spans="1:20" x14ac:dyDescent="0.25">
      <c r="A579" s="4" t="s">
        <v>285</v>
      </c>
      <c r="B579" s="5" t="s">
        <v>16</v>
      </c>
      <c r="C579" s="5" t="s">
        <v>1823</v>
      </c>
      <c r="D579" s="5">
        <v>415.75</v>
      </c>
      <c r="E579" s="5">
        <v>417.45</v>
      </c>
      <c r="F579" s="5">
        <v>424.7</v>
      </c>
      <c r="G579" s="5">
        <v>410</v>
      </c>
      <c r="H579" s="5">
        <v>410.1</v>
      </c>
      <c r="I579" s="5">
        <v>412.1</v>
      </c>
      <c r="J579" s="5">
        <v>417.46</v>
      </c>
      <c r="K579" s="5">
        <v>411168</v>
      </c>
      <c r="L579" s="5">
        <v>1716.47</v>
      </c>
      <c r="M579" s="5">
        <v>7480</v>
      </c>
      <c r="N579" s="5">
        <v>143595</v>
      </c>
      <c r="O579" s="5">
        <v>34.92</v>
      </c>
      <c r="P579" s="5">
        <f t="shared" si="45"/>
        <v>-3.6499999999999773</v>
      </c>
      <c r="Q579" s="6">
        <f t="shared" si="46"/>
        <v>-8.7793144918820853E-3</v>
      </c>
      <c r="R579" s="5">
        <f t="shared" si="47"/>
        <v>14.699999999999989</v>
      </c>
      <c r="S579" s="6">
        <f t="shared" si="48"/>
        <v>3.5357787131689689E-2</v>
      </c>
      <c r="T579" s="6">
        <f t="shared" si="49"/>
        <v>-1.2882679885834357E-2</v>
      </c>
    </row>
    <row r="580" spans="1:20" x14ac:dyDescent="0.25">
      <c r="A580" s="4" t="s">
        <v>384</v>
      </c>
      <c r="B580" s="5" t="s">
        <v>16</v>
      </c>
      <c r="C580" s="5" t="s">
        <v>1823</v>
      </c>
      <c r="D580" s="5">
        <v>197.7</v>
      </c>
      <c r="E580" s="5">
        <v>196</v>
      </c>
      <c r="F580" s="5">
        <v>197.8</v>
      </c>
      <c r="G580" s="5">
        <v>188</v>
      </c>
      <c r="H580" s="5">
        <v>188.35</v>
      </c>
      <c r="I580" s="5">
        <v>189.8</v>
      </c>
      <c r="J580" s="5">
        <v>192.2</v>
      </c>
      <c r="K580" s="5">
        <v>731702</v>
      </c>
      <c r="L580" s="5">
        <v>1406.31</v>
      </c>
      <c r="M580" s="5">
        <v>11242</v>
      </c>
      <c r="N580" s="5">
        <v>255942</v>
      </c>
      <c r="O580" s="5">
        <v>34.979999999999997</v>
      </c>
      <c r="P580" s="5">
        <f t="shared" si="45"/>
        <v>-7.8999999999999773</v>
      </c>
      <c r="Q580" s="6">
        <f t="shared" si="46"/>
        <v>-3.9959534648457147E-2</v>
      </c>
      <c r="R580" s="5">
        <f t="shared" si="47"/>
        <v>9.8000000000000114</v>
      </c>
      <c r="S580" s="6">
        <f t="shared" si="48"/>
        <v>4.9570055639858432E-2</v>
      </c>
      <c r="T580" s="6">
        <f t="shared" si="49"/>
        <v>-1.2441679626749495E-2</v>
      </c>
    </row>
    <row r="581" spans="1:20" x14ac:dyDescent="0.25">
      <c r="A581" s="4" t="s">
        <v>661</v>
      </c>
      <c r="B581" s="5" t="s">
        <v>16</v>
      </c>
      <c r="C581" s="5" t="s">
        <v>1823</v>
      </c>
      <c r="D581" s="5">
        <v>37.75</v>
      </c>
      <c r="E581" s="5">
        <v>37.549999999999997</v>
      </c>
      <c r="F581" s="5">
        <v>38</v>
      </c>
      <c r="G581" s="5">
        <v>36.4</v>
      </c>
      <c r="H581" s="5">
        <v>36.549999999999997</v>
      </c>
      <c r="I581" s="5">
        <v>36.700000000000003</v>
      </c>
      <c r="J581" s="5">
        <v>36.94</v>
      </c>
      <c r="K581" s="5">
        <v>557783</v>
      </c>
      <c r="L581" s="5">
        <v>206.04</v>
      </c>
      <c r="M581" s="5">
        <v>3523</v>
      </c>
      <c r="N581" s="5">
        <v>195922</v>
      </c>
      <c r="O581" s="5">
        <v>35.130000000000003</v>
      </c>
      <c r="P581" s="5">
        <f t="shared" si="45"/>
        <v>-1.0499999999999972</v>
      </c>
      <c r="Q581" s="6">
        <f t="shared" si="46"/>
        <v>-2.7814569536423767E-2</v>
      </c>
      <c r="R581" s="5">
        <f t="shared" si="47"/>
        <v>1.6000000000000014</v>
      </c>
      <c r="S581" s="6">
        <f t="shared" si="48"/>
        <v>4.2384105960264935E-2</v>
      </c>
      <c r="T581" s="6">
        <f t="shared" si="49"/>
        <v>-6.4581231079716087E-3</v>
      </c>
    </row>
    <row r="582" spans="1:20" hidden="1" x14ac:dyDescent="0.25">
      <c r="A582" s="4" t="s">
        <v>591</v>
      </c>
      <c r="B582" s="5" t="s">
        <v>16</v>
      </c>
      <c r="C582" s="5" t="s">
        <v>1823</v>
      </c>
      <c r="D582" s="5">
        <v>46.35</v>
      </c>
      <c r="E582" s="5">
        <v>46.5</v>
      </c>
      <c r="F582" s="5">
        <v>47.7</v>
      </c>
      <c r="G582" s="5">
        <v>45.35</v>
      </c>
      <c r="H582" s="5">
        <v>46.9</v>
      </c>
      <c r="I582" s="5">
        <v>46.7</v>
      </c>
      <c r="J582" s="5">
        <v>46.63</v>
      </c>
      <c r="K582" s="5">
        <v>22795</v>
      </c>
      <c r="L582" s="5">
        <v>10.63</v>
      </c>
      <c r="M582" s="5">
        <v>304</v>
      </c>
      <c r="N582" s="5">
        <v>12160</v>
      </c>
      <c r="O582" s="5">
        <v>53.35</v>
      </c>
      <c r="P582" s="5">
        <f t="shared" si="45"/>
        <v>0.35000000000000142</v>
      </c>
      <c r="Q582" s="6">
        <f t="shared" si="46"/>
        <v>7.5512405609493294E-3</v>
      </c>
      <c r="R582" s="5">
        <f t="shared" si="47"/>
        <v>2.3500000000000014</v>
      </c>
      <c r="S582" s="6">
        <f t="shared" si="48"/>
        <v>5.0701186623516747E-2</v>
      </c>
      <c r="T582" s="6">
        <f t="shared" si="49"/>
        <v>1.5033557046979927E-3</v>
      </c>
    </row>
    <row r="583" spans="1:20" x14ac:dyDescent="0.25">
      <c r="A583" s="4" t="s">
        <v>173</v>
      </c>
      <c r="B583" s="5" t="s">
        <v>16</v>
      </c>
      <c r="C583" s="5" t="s">
        <v>1823</v>
      </c>
      <c r="D583" s="5">
        <v>378.3</v>
      </c>
      <c r="E583" s="5">
        <v>382.9</v>
      </c>
      <c r="F583" s="5">
        <v>386.55</v>
      </c>
      <c r="G583" s="5">
        <v>362</v>
      </c>
      <c r="H583" s="5">
        <v>378.6</v>
      </c>
      <c r="I583" s="5">
        <v>377</v>
      </c>
      <c r="J583" s="5">
        <v>373.38</v>
      </c>
      <c r="K583" s="5">
        <v>514959</v>
      </c>
      <c r="L583" s="5">
        <v>1922.74</v>
      </c>
      <c r="M583" s="5">
        <v>19244</v>
      </c>
      <c r="N583" s="5">
        <v>181279</v>
      </c>
      <c r="O583" s="5">
        <v>35.200000000000003</v>
      </c>
      <c r="P583" s="5">
        <f t="shared" si="45"/>
        <v>-1.3000000000000114</v>
      </c>
      <c r="Q583" s="6">
        <f t="shared" si="46"/>
        <v>-3.4364261168385178E-3</v>
      </c>
      <c r="R583" s="5">
        <f t="shared" si="47"/>
        <v>24.550000000000011</v>
      </c>
      <c r="S583" s="6">
        <f t="shared" si="48"/>
        <v>6.4895585514142248E-2</v>
      </c>
      <c r="T583" s="6">
        <f t="shared" si="49"/>
        <v>9.5992575159932498E-3</v>
      </c>
    </row>
    <row r="584" spans="1:20" hidden="1" x14ac:dyDescent="0.25">
      <c r="A584" s="4" t="s">
        <v>593</v>
      </c>
      <c r="B584" s="5" t="s">
        <v>16</v>
      </c>
      <c r="C584" s="5" t="s">
        <v>1823</v>
      </c>
      <c r="D584" s="5">
        <v>850.3</v>
      </c>
      <c r="E584" s="5">
        <v>874.95</v>
      </c>
      <c r="F584" s="5">
        <v>874.95</v>
      </c>
      <c r="G584" s="5">
        <v>817.45</v>
      </c>
      <c r="H584" s="5">
        <v>870</v>
      </c>
      <c r="I584" s="5">
        <v>863.5</v>
      </c>
      <c r="J584" s="5">
        <v>863.26</v>
      </c>
      <c r="K584" s="5">
        <v>3055</v>
      </c>
      <c r="L584" s="5">
        <v>26.37</v>
      </c>
      <c r="M584" s="5">
        <v>180</v>
      </c>
      <c r="N584" s="5">
        <v>1561</v>
      </c>
      <c r="O584" s="5">
        <v>51.1</v>
      </c>
      <c r="P584" s="5">
        <f t="shared" si="45"/>
        <v>13.200000000000045</v>
      </c>
      <c r="Q584" s="6">
        <f t="shared" si="46"/>
        <v>1.5523932729624892E-2</v>
      </c>
      <c r="R584" s="5">
        <f t="shared" si="47"/>
        <v>57.5</v>
      </c>
      <c r="S584" s="6">
        <f t="shared" si="48"/>
        <v>6.7623191814653649E-2</v>
      </c>
      <c r="T584" s="6">
        <f t="shared" si="49"/>
        <v>2.7981404025242615E-4</v>
      </c>
    </row>
    <row r="585" spans="1:20" x14ac:dyDescent="0.25">
      <c r="A585" s="4" t="s">
        <v>806</v>
      </c>
      <c r="B585" s="5" t="s">
        <v>16</v>
      </c>
      <c r="C585" s="5" t="s">
        <v>1823</v>
      </c>
      <c r="D585" s="5">
        <v>83.45</v>
      </c>
      <c r="E585" s="5">
        <v>83.4</v>
      </c>
      <c r="F585" s="5">
        <v>83.4</v>
      </c>
      <c r="G585" s="5">
        <v>80.25</v>
      </c>
      <c r="H585" s="5">
        <v>80.5</v>
      </c>
      <c r="I585" s="5">
        <v>80.7</v>
      </c>
      <c r="J585" s="5">
        <v>81.510000000000005</v>
      </c>
      <c r="K585" s="5">
        <v>351564</v>
      </c>
      <c r="L585" s="5">
        <v>286.57</v>
      </c>
      <c r="M585" s="5">
        <v>3354</v>
      </c>
      <c r="N585" s="5">
        <v>124354</v>
      </c>
      <c r="O585" s="5">
        <v>35.369999999999997</v>
      </c>
      <c r="P585" s="5">
        <f t="shared" si="45"/>
        <v>-2.75</v>
      </c>
      <c r="Q585" s="6">
        <f t="shared" si="46"/>
        <v>-3.2953864589574597E-2</v>
      </c>
      <c r="R585" s="5">
        <f t="shared" si="47"/>
        <v>3.1500000000000057</v>
      </c>
      <c r="S585" s="6">
        <f t="shared" si="48"/>
        <v>3.7747153984421876E-2</v>
      </c>
      <c r="T585" s="6">
        <f t="shared" si="49"/>
        <v>-9.8855835240274879E-3</v>
      </c>
    </row>
    <row r="586" spans="1:20" hidden="1" x14ac:dyDescent="0.25">
      <c r="A586" s="4" t="s">
        <v>595</v>
      </c>
      <c r="B586" s="5" t="s">
        <v>16</v>
      </c>
      <c r="C586" s="5" t="s">
        <v>1823</v>
      </c>
      <c r="D586" s="5">
        <v>2.5</v>
      </c>
      <c r="E586" s="5">
        <v>2.5499999999999998</v>
      </c>
      <c r="F586" s="5">
        <v>2.5499999999999998</v>
      </c>
      <c r="G586" s="5">
        <v>2.4</v>
      </c>
      <c r="H586" s="5">
        <v>2.4</v>
      </c>
      <c r="I586" s="5">
        <v>2.4</v>
      </c>
      <c r="J586" s="5">
        <v>2.4300000000000002</v>
      </c>
      <c r="K586" s="5">
        <v>134286</v>
      </c>
      <c r="L586" s="5">
        <v>3.26</v>
      </c>
      <c r="M586" s="5">
        <v>74</v>
      </c>
      <c r="N586" s="5">
        <v>102105</v>
      </c>
      <c r="O586" s="5">
        <v>76.040000000000006</v>
      </c>
      <c r="P586" s="5">
        <f t="shared" si="45"/>
        <v>-0.10000000000000009</v>
      </c>
      <c r="Q586" s="6">
        <f t="shared" si="46"/>
        <v>-4.0000000000000036E-2</v>
      </c>
      <c r="R586" s="5">
        <f t="shared" si="47"/>
        <v>0.14999999999999991</v>
      </c>
      <c r="S586" s="6">
        <f t="shared" si="48"/>
        <v>5.9999999999999963E-2</v>
      </c>
      <c r="T586" s="6">
        <f t="shared" si="49"/>
        <v>-1.2121212121212222E-2</v>
      </c>
    </row>
    <row r="587" spans="1:20" hidden="1" x14ac:dyDescent="0.25">
      <c r="A587" s="4" t="s">
        <v>596</v>
      </c>
      <c r="B587" s="5" t="s">
        <v>16</v>
      </c>
      <c r="C587" s="5" t="s">
        <v>1823</v>
      </c>
      <c r="D587" s="5">
        <v>631.79999999999995</v>
      </c>
      <c r="E587" s="5">
        <v>636.75</v>
      </c>
      <c r="F587" s="5">
        <v>636.75</v>
      </c>
      <c r="G587" s="5">
        <v>605</v>
      </c>
      <c r="H587" s="5">
        <v>606.1</v>
      </c>
      <c r="I587" s="5">
        <v>607.54999999999995</v>
      </c>
      <c r="J587" s="5">
        <v>614.75</v>
      </c>
      <c r="K587" s="5">
        <v>18062</v>
      </c>
      <c r="L587" s="5">
        <v>111.04</v>
      </c>
      <c r="M587" s="5">
        <v>1010</v>
      </c>
      <c r="N587" s="5">
        <v>10330</v>
      </c>
      <c r="O587" s="5">
        <v>57.19</v>
      </c>
      <c r="P587" s="5">
        <f t="shared" si="45"/>
        <v>-24.25</v>
      </c>
      <c r="Q587" s="6">
        <f t="shared" si="46"/>
        <v>-3.8382399493510605E-2</v>
      </c>
      <c r="R587" s="5">
        <f t="shared" si="47"/>
        <v>31.75</v>
      </c>
      <c r="S587" s="6">
        <f t="shared" si="48"/>
        <v>5.0253244697689145E-2</v>
      </c>
      <c r="T587" s="6">
        <f t="shared" si="49"/>
        <v>-1.1584642304056708E-2</v>
      </c>
    </row>
    <row r="588" spans="1:20" hidden="1" x14ac:dyDescent="0.25">
      <c r="A588" s="4" t="s">
        <v>597</v>
      </c>
      <c r="B588" s="5" t="s">
        <v>16</v>
      </c>
      <c r="C588" s="5" t="s">
        <v>1823</v>
      </c>
      <c r="D588" s="5">
        <v>310</v>
      </c>
      <c r="E588" s="5">
        <v>303</v>
      </c>
      <c r="F588" s="5">
        <v>312</v>
      </c>
      <c r="G588" s="5">
        <v>282</v>
      </c>
      <c r="H588" s="5">
        <v>282</v>
      </c>
      <c r="I588" s="5">
        <v>296.60000000000002</v>
      </c>
      <c r="J588" s="5">
        <v>298.52999999999997</v>
      </c>
      <c r="K588" s="5">
        <v>236</v>
      </c>
      <c r="L588" s="5">
        <v>0.7</v>
      </c>
      <c r="M588" s="5">
        <v>22</v>
      </c>
      <c r="N588" s="5">
        <v>161</v>
      </c>
      <c r="O588" s="5">
        <v>68.22</v>
      </c>
      <c r="P588" s="5">
        <f t="shared" ref="P588:P651" si="50">I588-D588</f>
        <v>-13.399999999999977</v>
      </c>
      <c r="Q588" s="6">
        <f t="shared" ref="Q588:Q651" si="51">P588/D588</f>
        <v>-4.3225806451612829E-2</v>
      </c>
      <c r="R588" s="5">
        <f t="shared" ref="R588:R651" si="52">ABS(F588-G588)</f>
        <v>30</v>
      </c>
      <c r="S588" s="6">
        <f t="shared" ref="S588:S651" si="53">R588/D588</f>
        <v>9.6774193548387094E-2</v>
      </c>
      <c r="T588" s="6">
        <f t="shared" ref="T588:T651" si="54">(I588-J588)/AVERAGE(E588:G588,I588)</f>
        <v>-6.4678284182303957E-3</v>
      </c>
    </row>
    <row r="589" spans="1:20" hidden="1" x14ac:dyDescent="0.25">
      <c r="A589" s="4" t="s">
        <v>598</v>
      </c>
      <c r="B589" s="5" t="s">
        <v>16</v>
      </c>
      <c r="C589" s="5" t="s">
        <v>1823</v>
      </c>
      <c r="D589" s="5">
        <v>932.45</v>
      </c>
      <c r="E589" s="5">
        <v>890.05</v>
      </c>
      <c r="F589" s="5">
        <v>950</v>
      </c>
      <c r="G589" s="5">
        <v>890.05</v>
      </c>
      <c r="H589" s="5">
        <v>938.1</v>
      </c>
      <c r="I589" s="5">
        <v>945.6</v>
      </c>
      <c r="J589" s="5">
        <v>940.47</v>
      </c>
      <c r="K589" s="5">
        <v>126</v>
      </c>
      <c r="L589" s="5">
        <v>1.18</v>
      </c>
      <c r="M589" s="5">
        <v>50</v>
      </c>
      <c r="N589" s="5">
        <v>74</v>
      </c>
      <c r="O589" s="5">
        <v>58.73</v>
      </c>
      <c r="P589" s="5">
        <f t="shared" si="50"/>
        <v>13.149999999999977</v>
      </c>
      <c r="Q589" s="6">
        <f t="shared" si="51"/>
        <v>1.4102632848946299E-2</v>
      </c>
      <c r="R589" s="5">
        <f t="shared" si="52"/>
        <v>59.950000000000045</v>
      </c>
      <c r="S589" s="6">
        <f t="shared" si="53"/>
        <v>6.4292991581318085E-2</v>
      </c>
      <c r="T589" s="6">
        <f t="shared" si="54"/>
        <v>5.5826101150801164E-3</v>
      </c>
    </row>
    <row r="590" spans="1:20" x14ac:dyDescent="0.25">
      <c r="A590" s="4" t="s">
        <v>626</v>
      </c>
      <c r="B590" s="5" t="s">
        <v>16</v>
      </c>
      <c r="C590" s="5" t="s">
        <v>1823</v>
      </c>
      <c r="D590" s="5">
        <v>757</v>
      </c>
      <c r="E590" s="5">
        <v>751</v>
      </c>
      <c r="F590" s="5">
        <v>751.05</v>
      </c>
      <c r="G590" s="5">
        <v>726.1</v>
      </c>
      <c r="H590" s="5">
        <v>735</v>
      </c>
      <c r="I590" s="5">
        <v>730.4</v>
      </c>
      <c r="J590" s="5">
        <v>737.85</v>
      </c>
      <c r="K590" s="5">
        <v>1311185</v>
      </c>
      <c r="L590" s="5">
        <v>9674.61</v>
      </c>
      <c r="M590" s="5">
        <v>47046</v>
      </c>
      <c r="N590" s="5">
        <v>476265</v>
      </c>
      <c r="O590" s="5">
        <v>36.32</v>
      </c>
      <c r="P590" s="5">
        <f t="shared" si="50"/>
        <v>-26.600000000000023</v>
      </c>
      <c r="Q590" s="6">
        <f t="shared" si="51"/>
        <v>-3.513870541611628E-2</v>
      </c>
      <c r="R590" s="5">
        <f t="shared" si="52"/>
        <v>24.949999999999932</v>
      </c>
      <c r="S590" s="6">
        <f t="shared" si="53"/>
        <v>3.2959048877146541E-2</v>
      </c>
      <c r="T590" s="6">
        <f t="shared" si="54"/>
        <v>-1.0072501732267557E-2</v>
      </c>
    </row>
    <row r="591" spans="1:20" x14ac:dyDescent="0.25">
      <c r="A591" s="4" t="s">
        <v>1056</v>
      </c>
      <c r="B591" s="5" t="s">
        <v>16</v>
      </c>
      <c r="C591" s="5" t="s">
        <v>1823</v>
      </c>
      <c r="D591" s="5">
        <v>718.35</v>
      </c>
      <c r="E591" s="5">
        <v>720.7</v>
      </c>
      <c r="F591" s="5">
        <v>724.7</v>
      </c>
      <c r="G591" s="5">
        <v>696.55</v>
      </c>
      <c r="H591" s="5">
        <v>699</v>
      </c>
      <c r="I591" s="5">
        <v>700.4</v>
      </c>
      <c r="J591" s="5">
        <v>706.69</v>
      </c>
      <c r="K591" s="5">
        <v>553413</v>
      </c>
      <c r="L591" s="5">
        <v>3910.91</v>
      </c>
      <c r="M591" s="5">
        <v>20294</v>
      </c>
      <c r="N591" s="5">
        <v>202410</v>
      </c>
      <c r="O591" s="5">
        <v>36.57</v>
      </c>
      <c r="P591" s="5">
        <f t="shared" si="50"/>
        <v>-17.950000000000045</v>
      </c>
      <c r="Q591" s="6">
        <f t="shared" si="51"/>
        <v>-2.4987819308136764E-2</v>
      </c>
      <c r="R591" s="5">
        <f t="shared" si="52"/>
        <v>28.150000000000091</v>
      </c>
      <c r="S591" s="6">
        <f t="shared" si="53"/>
        <v>3.9187025823066879E-2</v>
      </c>
      <c r="T591" s="6">
        <f t="shared" si="54"/>
        <v>-8.8518303516457539E-3</v>
      </c>
    </row>
    <row r="592" spans="1:20" hidden="1" x14ac:dyDescent="0.25">
      <c r="A592" s="4" t="s">
        <v>601</v>
      </c>
      <c r="B592" s="5" t="s">
        <v>16</v>
      </c>
      <c r="C592" s="5" t="s">
        <v>1823</v>
      </c>
      <c r="D592" s="5">
        <v>18.55</v>
      </c>
      <c r="E592" s="5">
        <v>18.05</v>
      </c>
      <c r="F592" s="5">
        <v>18.45</v>
      </c>
      <c r="G592" s="5">
        <v>18.05</v>
      </c>
      <c r="H592" s="5">
        <v>18.3</v>
      </c>
      <c r="I592" s="5">
        <v>18.25</v>
      </c>
      <c r="J592" s="5">
        <v>18.22</v>
      </c>
      <c r="K592" s="5">
        <v>2400</v>
      </c>
      <c r="L592" s="5">
        <v>0.44</v>
      </c>
      <c r="M592" s="5">
        <v>50</v>
      </c>
      <c r="N592" s="5">
        <v>2052</v>
      </c>
      <c r="O592" s="5">
        <v>85.5</v>
      </c>
      <c r="P592" s="5">
        <f t="shared" si="50"/>
        <v>-0.30000000000000071</v>
      </c>
      <c r="Q592" s="6">
        <f t="shared" si="51"/>
        <v>-1.6172506738544513E-2</v>
      </c>
      <c r="R592" s="5">
        <f t="shared" si="52"/>
        <v>0.39999999999999858</v>
      </c>
      <c r="S592" s="6">
        <f t="shared" si="53"/>
        <v>2.1563342318059221E-2</v>
      </c>
      <c r="T592" s="6">
        <f t="shared" si="54"/>
        <v>1.6483516483517108E-3</v>
      </c>
    </row>
    <row r="593" spans="1:20" x14ac:dyDescent="0.25">
      <c r="A593" s="4" t="s">
        <v>474</v>
      </c>
      <c r="B593" s="5" t="s">
        <v>16</v>
      </c>
      <c r="C593" s="5" t="s">
        <v>1823</v>
      </c>
      <c r="D593" s="5">
        <v>112.2</v>
      </c>
      <c r="E593" s="5">
        <v>111</v>
      </c>
      <c r="F593" s="5">
        <v>114.3</v>
      </c>
      <c r="G593" s="5">
        <v>108.4</v>
      </c>
      <c r="H593" s="5">
        <v>109.5</v>
      </c>
      <c r="I593" s="5">
        <v>109.9</v>
      </c>
      <c r="J593" s="5">
        <v>111.41</v>
      </c>
      <c r="K593" s="5">
        <v>2512329</v>
      </c>
      <c r="L593" s="5">
        <v>2799.03</v>
      </c>
      <c r="M593" s="5">
        <v>16041</v>
      </c>
      <c r="N593" s="5">
        <v>919369</v>
      </c>
      <c r="O593" s="5">
        <v>36.590000000000003</v>
      </c>
      <c r="P593" s="5">
        <f t="shared" si="50"/>
        <v>-2.2999999999999972</v>
      </c>
      <c r="Q593" s="6">
        <f t="shared" si="51"/>
        <v>-2.0499108734402825E-2</v>
      </c>
      <c r="R593" s="5">
        <f t="shared" si="52"/>
        <v>5.8999999999999915</v>
      </c>
      <c r="S593" s="6">
        <f t="shared" si="53"/>
        <v>5.2584670231728976E-2</v>
      </c>
      <c r="T593" s="6">
        <f t="shared" si="54"/>
        <v>-1.361587015329117E-2</v>
      </c>
    </row>
    <row r="594" spans="1:20" hidden="1" x14ac:dyDescent="0.25">
      <c r="A594" s="4" t="s">
        <v>603</v>
      </c>
      <c r="B594" s="5" t="s">
        <v>16</v>
      </c>
      <c r="C594" s="5" t="s">
        <v>1823</v>
      </c>
      <c r="D594" s="5">
        <v>8799.4500000000007</v>
      </c>
      <c r="E594" s="5">
        <v>8760.5</v>
      </c>
      <c r="F594" s="5">
        <v>8830</v>
      </c>
      <c r="G594" s="5">
        <v>8631.0499999999993</v>
      </c>
      <c r="H594" s="5">
        <v>8809.9</v>
      </c>
      <c r="I594" s="5">
        <v>8780.75</v>
      </c>
      <c r="J594" s="5">
        <v>8715.01</v>
      </c>
      <c r="K594" s="5">
        <v>6796</v>
      </c>
      <c r="L594" s="5">
        <v>592.27</v>
      </c>
      <c r="M594" s="5">
        <v>2324</v>
      </c>
      <c r="N594" s="5">
        <v>3065</v>
      </c>
      <c r="O594" s="5">
        <v>45.1</v>
      </c>
      <c r="P594" s="5">
        <f t="shared" si="50"/>
        <v>-18.700000000000728</v>
      </c>
      <c r="Q594" s="6">
        <f t="shared" si="51"/>
        <v>-2.1251328208013827E-3</v>
      </c>
      <c r="R594" s="5">
        <f t="shared" si="52"/>
        <v>198.95000000000073</v>
      </c>
      <c r="S594" s="6">
        <f t="shared" si="53"/>
        <v>2.2609367630931559E-2</v>
      </c>
      <c r="T594" s="6">
        <f t="shared" si="54"/>
        <v>7.512649168768884E-3</v>
      </c>
    </row>
    <row r="595" spans="1:20" hidden="1" x14ac:dyDescent="0.25">
      <c r="A595" s="4" t="s">
        <v>604</v>
      </c>
      <c r="B595" s="5" t="s">
        <v>16</v>
      </c>
      <c r="C595" s="5" t="s">
        <v>1823</v>
      </c>
      <c r="D595" s="5">
        <v>219.75</v>
      </c>
      <c r="E595" s="5">
        <v>221</v>
      </c>
      <c r="F595" s="5">
        <v>221</v>
      </c>
      <c r="G595" s="5">
        <v>215.15</v>
      </c>
      <c r="H595" s="5">
        <v>218.05</v>
      </c>
      <c r="I595" s="5">
        <v>217.4</v>
      </c>
      <c r="J595" s="5">
        <v>216.51</v>
      </c>
      <c r="K595" s="5">
        <v>1342813</v>
      </c>
      <c r="L595" s="5">
        <v>2907.36</v>
      </c>
      <c r="M595" s="5">
        <v>9807</v>
      </c>
      <c r="N595" s="5">
        <v>1254621</v>
      </c>
      <c r="O595" s="5">
        <v>93.43</v>
      </c>
      <c r="P595" s="5">
        <f t="shared" si="50"/>
        <v>-2.3499999999999943</v>
      </c>
      <c r="Q595" s="6">
        <f t="shared" si="51"/>
        <v>-1.0693970420932852E-2</v>
      </c>
      <c r="R595" s="5">
        <f t="shared" si="52"/>
        <v>5.8499999999999943</v>
      </c>
      <c r="S595" s="6">
        <f t="shared" si="53"/>
        <v>2.662116040955629E-2</v>
      </c>
      <c r="T595" s="6">
        <f t="shared" si="54"/>
        <v>4.0706649133840939E-3</v>
      </c>
    </row>
    <row r="596" spans="1:20" hidden="1" x14ac:dyDescent="0.25">
      <c r="A596" s="4" t="s">
        <v>605</v>
      </c>
      <c r="B596" s="5" t="s">
        <v>16</v>
      </c>
      <c r="C596" s="5" t="s">
        <v>1823</v>
      </c>
      <c r="D596" s="5">
        <v>35.799999999999997</v>
      </c>
      <c r="E596" s="5">
        <v>35.25</v>
      </c>
      <c r="F596" s="5">
        <v>36.549999999999997</v>
      </c>
      <c r="G596" s="5">
        <v>34.049999999999997</v>
      </c>
      <c r="H596" s="5">
        <v>35.1</v>
      </c>
      <c r="I596" s="5">
        <v>34.65</v>
      </c>
      <c r="J596" s="5">
        <v>35.51</v>
      </c>
      <c r="K596" s="5">
        <v>23932</v>
      </c>
      <c r="L596" s="5">
        <v>8.5</v>
      </c>
      <c r="M596" s="5">
        <v>232</v>
      </c>
      <c r="N596" s="5">
        <v>12076</v>
      </c>
      <c r="O596" s="5">
        <v>50.46</v>
      </c>
      <c r="P596" s="5">
        <f t="shared" si="50"/>
        <v>-1.1499999999999986</v>
      </c>
      <c r="Q596" s="6">
        <f t="shared" si="51"/>
        <v>-3.2122905027932927E-2</v>
      </c>
      <c r="R596" s="5">
        <f t="shared" si="52"/>
        <v>2.5</v>
      </c>
      <c r="S596" s="6">
        <f t="shared" si="53"/>
        <v>6.9832402234636881E-2</v>
      </c>
      <c r="T596" s="6">
        <f t="shared" si="54"/>
        <v>-2.448398576512454E-2</v>
      </c>
    </row>
    <row r="597" spans="1:20" hidden="1" x14ac:dyDescent="0.25">
      <c r="A597" s="4" t="s">
        <v>606</v>
      </c>
      <c r="B597" s="5" t="s">
        <v>16</v>
      </c>
      <c r="C597" s="5" t="s">
        <v>1823</v>
      </c>
      <c r="D597" s="5">
        <v>2.5499999999999998</v>
      </c>
      <c r="E597" s="5">
        <v>2.5499999999999998</v>
      </c>
      <c r="F597" s="5">
        <v>2.5499999999999998</v>
      </c>
      <c r="G597" s="5">
        <v>2.4500000000000002</v>
      </c>
      <c r="H597" s="5">
        <v>2.4500000000000002</v>
      </c>
      <c r="I597" s="5">
        <v>2.4500000000000002</v>
      </c>
      <c r="J597" s="5">
        <v>2.46</v>
      </c>
      <c r="K597" s="5">
        <v>11583</v>
      </c>
      <c r="L597" s="5">
        <v>0.28000000000000003</v>
      </c>
      <c r="M597" s="5">
        <v>65</v>
      </c>
      <c r="N597" s="5">
        <v>11384</v>
      </c>
      <c r="O597" s="5">
        <v>98.28</v>
      </c>
      <c r="P597" s="5">
        <f t="shared" si="50"/>
        <v>-9.9999999999999645E-2</v>
      </c>
      <c r="Q597" s="6">
        <f t="shared" si="51"/>
        <v>-3.9215686274509665E-2</v>
      </c>
      <c r="R597" s="5">
        <f t="shared" si="52"/>
        <v>9.9999999999999645E-2</v>
      </c>
      <c r="S597" s="6">
        <f t="shared" si="53"/>
        <v>3.9215686274509665E-2</v>
      </c>
      <c r="T597" s="6">
        <f t="shared" si="54"/>
        <v>-3.9999999999999151E-3</v>
      </c>
    </row>
    <row r="598" spans="1:20" hidden="1" x14ac:dyDescent="0.25">
      <c r="A598" s="4" t="s">
        <v>607</v>
      </c>
      <c r="B598" s="5" t="s">
        <v>16</v>
      </c>
      <c r="C598" s="5" t="s">
        <v>1823</v>
      </c>
      <c r="D598" s="5">
        <v>0.65</v>
      </c>
      <c r="E598" s="5">
        <v>0.65</v>
      </c>
      <c r="F598" s="5">
        <v>0.7</v>
      </c>
      <c r="G598" s="5">
        <v>0.6</v>
      </c>
      <c r="H598" s="5">
        <v>0.7</v>
      </c>
      <c r="I598" s="5">
        <v>0.7</v>
      </c>
      <c r="J598" s="5">
        <v>0.67</v>
      </c>
      <c r="K598" s="5">
        <v>760521</v>
      </c>
      <c r="L598" s="5">
        <v>5.0599999999999996</v>
      </c>
      <c r="M598" s="5">
        <v>263</v>
      </c>
      <c r="N598" s="5">
        <v>667281</v>
      </c>
      <c r="O598" s="5">
        <v>87.74</v>
      </c>
      <c r="P598" s="5">
        <f t="shared" si="50"/>
        <v>4.9999999999999933E-2</v>
      </c>
      <c r="Q598" s="6">
        <f t="shared" si="51"/>
        <v>7.6923076923076816E-2</v>
      </c>
      <c r="R598" s="5">
        <f t="shared" si="52"/>
        <v>9.9999999999999978E-2</v>
      </c>
      <c r="S598" s="6">
        <f t="shared" si="53"/>
        <v>0.1538461538461538</v>
      </c>
      <c r="T598" s="6">
        <f t="shared" si="54"/>
        <v>4.5283018867924393E-2</v>
      </c>
    </row>
    <row r="599" spans="1:20" hidden="1" x14ac:dyDescent="0.25">
      <c r="A599" s="4" t="s">
        <v>608</v>
      </c>
      <c r="B599" s="5" t="s">
        <v>16</v>
      </c>
      <c r="C599" s="5" t="s">
        <v>1823</v>
      </c>
      <c r="D599" s="5">
        <v>7.8</v>
      </c>
      <c r="E599" s="5">
        <v>7.8</v>
      </c>
      <c r="F599" s="5">
        <v>8.15</v>
      </c>
      <c r="G599" s="5">
        <v>7.5</v>
      </c>
      <c r="H599" s="5">
        <v>8.0500000000000007</v>
      </c>
      <c r="I599" s="5">
        <v>7.75</v>
      </c>
      <c r="J599" s="5">
        <v>7.88</v>
      </c>
      <c r="K599" s="5">
        <v>543</v>
      </c>
      <c r="L599" s="5">
        <v>0.04</v>
      </c>
      <c r="M599" s="5">
        <v>17</v>
      </c>
      <c r="N599" s="5">
        <v>307</v>
      </c>
      <c r="O599" s="5">
        <v>56.54</v>
      </c>
      <c r="P599" s="5">
        <f t="shared" si="50"/>
        <v>-4.9999999999999822E-2</v>
      </c>
      <c r="Q599" s="6">
        <f t="shared" si="51"/>
        <v>-6.4102564102563875E-3</v>
      </c>
      <c r="R599" s="5">
        <f t="shared" si="52"/>
        <v>0.65000000000000036</v>
      </c>
      <c r="S599" s="6">
        <f t="shared" si="53"/>
        <v>8.3333333333333384E-2</v>
      </c>
      <c r="T599" s="6">
        <f t="shared" si="54"/>
        <v>-1.6666666666666653E-2</v>
      </c>
    </row>
    <row r="600" spans="1:20" hidden="1" x14ac:dyDescent="0.25">
      <c r="A600" s="4" t="s">
        <v>609</v>
      </c>
      <c r="B600" s="5" t="s">
        <v>16</v>
      </c>
      <c r="C600" s="5" t="s">
        <v>1823</v>
      </c>
      <c r="D600" s="5">
        <v>8.35</v>
      </c>
      <c r="E600" s="5">
        <v>8</v>
      </c>
      <c r="F600" s="5">
        <v>8.25</v>
      </c>
      <c r="G600" s="5">
        <v>7.95</v>
      </c>
      <c r="H600" s="5">
        <v>8.25</v>
      </c>
      <c r="I600" s="5">
        <v>8</v>
      </c>
      <c r="J600" s="5">
        <v>8.02</v>
      </c>
      <c r="K600" s="5">
        <v>70</v>
      </c>
      <c r="L600" s="5">
        <v>0.01</v>
      </c>
      <c r="M600" s="5">
        <v>4</v>
      </c>
      <c r="N600" s="5">
        <v>50</v>
      </c>
      <c r="O600" s="5">
        <v>71.430000000000007</v>
      </c>
      <c r="P600" s="5">
        <f t="shared" si="50"/>
        <v>-0.34999999999999964</v>
      </c>
      <c r="Q600" s="6">
        <f t="shared" si="51"/>
        <v>-4.1916167664670621E-2</v>
      </c>
      <c r="R600" s="5">
        <f t="shared" si="52"/>
        <v>0.29999999999999982</v>
      </c>
      <c r="S600" s="6">
        <f t="shared" si="53"/>
        <v>3.5928143712574828E-2</v>
      </c>
      <c r="T600" s="6">
        <f t="shared" si="54"/>
        <v>-2.4844720496893877E-3</v>
      </c>
    </row>
    <row r="601" spans="1:20" hidden="1" x14ac:dyDescent="0.25">
      <c r="A601" s="4" t="s">
        <v>610</v>
      </c>
      <c r="B601" s="5" t="s">
        <v>16</v>
      </c>
      <c r="C601" s="5" t="s">
        <v>1823</v>
      </c>
      <c r="D601" s="5">
        <v>71.7</v>
      </c>
      <c r="E601" s="5">
        <v>71.5</v>
      </c>
      <c r="F601" s="5">
        <v>71.5</v>
      </c>
      <c r="G601" s="5">
        <v>70</v>
      </c>
      <c r="H601" s="5">
        <v>70</v>
      </c>
      <c r="I601" s="5">
        <v>70.3</v>
      </c>
      <c r="J601" s="5">
        <v>70.56</v>
      </c>
      <c r="K601" s="5">
        <v>11026</v>
      </c>
      <c r="L601" s="5">
        <v>7.78</v>
      </c>
      <c r="M601" s="5">
        <v>257</v>
      </c>
      <c r="N601" s="5">
        <v>7276</v>
      </c>
      <c r="O601" s="5">
        <v>65.989999999999995</v>
      </c>
      <c r="P601" s="5">
        <f t="shared" si="50"/>
        <v>-1.4000000000000057</v>
      </c>
      <c r="Q601" s="6">
        <f t="shared" si="51"/>
        <v>-1.9525801952580274E-2</v>
      </c>
      <c r="R601" s="5">
        <f t="shared" si="52"/>
        <v>1.5</v>
      </c>
      <c r="S601" s="6">
        <f t="shared" si="53"/>
        <v>2.0920502092050208E-2</v>
      </c>
      <c r="T601" s="6">
        <f t="shared" si="54"/>
        <v>-3.6710201200141914E-3</v>
      </c>
    </row>
    <row r="602" spans="1:20" hidden="1" x14ac:dyDescent="0.25">
      <c r="A602" s="4" t="s">
        <v>611</v>
      </c>
      <c r="B602" s="5" t="s">
        <v>16</v>
      </c>
      <c r="C602" s="5" t="s">
        <v>1823</v>
      </c>
      <c r="D602" s="5">
        <v>72</v>
      </c>
      <c r="E602" s="5">
        <v>74</v>
      </c>
      <c r="F602" s="5">
        <v>74</v>
      </c>
      <c r="G602" s="5">
        <v>70.8</v>
      </c>
      <c r="H602" s="5">
        <v>72</v>
      </c>
      <c r="I602" s="5">
        <v>72</v>
      </c>
      <c r="J602" s="5">
        <v>71.94</v>
      </c>
      <c r="K602" s="5">
        <v>23774</v>
      </c>
      <c r="L602" s="5">
        <v>17.100000000000001</v>
      </c>
      <c r="M602" s="5">
        <v>534</v>
      </c>
      <c r="N602" s="5">
        <v>17339</v>
      </c>
      <c r="O602" s="5">
        <v>72.930000000000007</v>
      </c>
      <c r="P602" s="5">
        <f t="shared" si="50"/>
        <v>0</v>
      </c>
      <c r="Q602" s="6">
        <f t="shared" si="51"/>
        <v>0</v>
      </c>
      <c r="R602" s="5">
        <f t="shared" si="52"/>
        <v>3.2000000000000028</v>
      </c>
      <c r="S602" s="6">
        <f t="shared" si="53"/>
        <v>4.4444444444444481E-2</v>
      </c>
      <c r="T602" s="6">
        <f t="shared" si="54"/>
        <v>8.2530949105917844E-4</v>
      </c>
    </row>
    <row r="603" spans="1:20" hidden="1" x14ac:dyDescent="0.25">
      <c r="A603" s="4" t="s">
        <v>612</v>
      </c>
      <c r="B603" s="5" t="s">
        <v>16</v>
      </c>
      <c r="C603" s="5" t="s">
        <v>1823</v>
      </c>
      <c r="D603" s="5">
        <v>481.75</v>
      </c>
      <c r="E603" s="5">
        <v>480</v>
      </c>
      <c r="F603" s="5">
        <v>480</v>
      </c>
      <c r="G603" s="5">
        <v>466.1</v>
      </c>
      <c r="H603" s="5">
        <v>470</v>
      </c>
      <c r="I603" s="5">
        <v>468.65</v>
      </c>
      <c r="J603" s="5">
        <v>471.82</v>
      </c>
      <c r="K603" s="5">
        <v>39408</v>
      </c>
      <c r="L603" s="5">
        <v>185.94</v>
      </c>
      <c r="M603" s="5">
        <v>3053</v>
      </c>
      <c r="N603" s="5">
        <v>23912</v>
      </c>
      <c r="O603" s="5">
        <v>60.68</v>
      </c>
      <c r="P603" s="5">
        <f t="shared" si="50"/>
        <v>-13.100000000000023</v>
      </c>
      <c r="Q603" s="6">
        <f t="shared" si="51"/>
        <v>-2.7192527244421429E-2</v>
      </c>
      <c r="R603" s="5">
        <f t="shared" si="52"/>
        <v>13.899999999999977</v>
      </c>
      <c r="S603" s="6">
        <f t="shared" si="53"/>
        <v>2.8853139595225692E-2</v>
      </c>
      <c r="T603" s="6">
        <f t="shared" si="54"/>
        <v>-6.6921757487795556E-3</v>
      </c>
    </row>
    <row r="604" spans="1:20" hidden="1" x14ac:dyDescent="0.25">
      <c r="A604" s="4" t="s">
        <v>613</v>
      </c>
      <c r="B604" s="5" t="s">
        <v>16</v>
      </c>
      <c r="C604" s="5" t="s">
        <v>1823</v>
      </c>
      <c r="D604" s="5">
        <v>151.80000000000001</v>
      </c>
      <c r="E604" s="5">
        <v>154.85</v>
      </c>
      <c r="F604" s="5">
        <v>157.05000000000001</v>
      </c>
      <c r="G604" s="5">
        <v>145.9</v>
      </c>
      <c r="H604" s="5">
        <v>146</v>
      </c>
      <c r="I604" s="5">
        <v>146</v>
      </c>
      <c r="J604" s="5">
        <v>149.63999999999999</v>
      </c>
      <c r="K604" s="5">
        <v>1096</v>
      </c>
      <c r="L604" s="5">
        <v>1.64</v>
      </c>
      <c r="M604" s="5">
        <v>118</v>
      </c>
      <c r="N604" s="5">
        <v>882</v>
      </c>
      <c r="O604" s="5">
        <v>80.47</v>
      </c>
      <c r="P604" s="5">
        <f t="shared" si="50"/>
        <v>-5.8000000000000114</v>
      </c>
      <c r="Q604" s="6">
        <f t="shared" si="51"/>
        <v>-3.8208168642951325E-2</v>
      </c>
      <c r="R604" s="5">
        <f t="shared" si="52"/>
        <v>11.150000000000006</v>
      </c>
      <c r="S604" s="6">
        <f t="shared" si="53"/>
        <v>7.3451910408432186E-2</v>
      </c>
      <c r="T604" s="6">
        <f t="shared" si="54"/>
        <v>-2.4113945014905509E-2</v>
      </c>
    </row>
    <row r="605" spans="1:20" x14ac:dyDescent="0.25">
      <c r="A605" s="4" t="s">
        <v>1758</v>
      </c>
      <c r="B605" s="5" t="s">
        <v>16</v>
      </c>
      <c r="C605" s="5" t="s">
        <v>1823</v>
      </c>
      <c r="D605" s="5">
        <v>498.1</v>
      </c>
      <c r="E605" s="5">
        <v>496.45</v>
      </c>
      <c r="F605" s="5">
        <v>499</v>
      </c>
      <c r="G605" s="5">
        <v>470.35</v>
      </c>
      <c r="H605" s="5">
        <v>472</v>
      </c>
      <c r="I605" s="5">
        <v>472.75</v>
      </c>
      <c r="J605" s="5">
        <v>483.42</v>
      </c>
      <c r="K605" s="5">
        <v>255746</v>
      </c>
      <c r="L605" s="5">
        <v>1236.3399999999999</v>
      </c>
      <c r="M605" s="5">
        <v>11720</v>
      </c>
      <c r="N605" s="5">
        <v>93568</v>
      </c>
      <c r="O605" s="5">
        <v>36.590000000000003</v>
      </c>
      <c r="P605" s="5">
        <f t="shared" si="50"/>
        <v>-25.350000000000023</v>
      </c>
      <c r="Q605" s="6">
        <f t="shared" si="51"/>
        <v>-5.0893394900622412E-2</v>
      </c>
      <c r="R605" s="5">
        <f t="shared" si="52"/>
        <v>28.649999999999977</v>
      </c>
      <c r="S605" s="6">
        <f t="shared" si="53"/>
        <v>5.7518570568158955E-2</v>
      </c>
      <c r="T605" s="6">
        <f t="shared" si="54"/>
        <v>-2.2016455598256459E-2</v>
      </c>
    </row>
    <row r="606" spans="1:20" hidden="1" x14ac:dyDescent="0.25">
      <c r="A606" s="4" t="s">
        <v>615</v>
      </c>
      <c r="B606" s="5" t="s">
        <v>39</v>
      </c>
      <c r="C606" s="5" t="s">
        <v>1823</v>
      </c>
      <c r="D606" s="5">
        <v>8.6999999999999993</v>
      </c>
      <c r="E606" s="5">
        <v>8.5</v>
      </c>
      <c r="F606" s="5">
        <v>8.5</v>
      </c>
      <c r="G606" s="5">
        <v>8.5</v>
      </c>
      <c r="H606" s="5">
        <v>8.5</v>
      </c>
      <c r="I606" s="5">
        <v>8.5</v>
      </c>
      <c r="J606" s="5">
        <v>8.5</v>
      </c>
      <c r="K606" s="5">
        <v>20</v>
      </c>
      <c r="L606" s="5">
        <v>0</v>
      </c>
      <c r="M606" s="5">
        <v>1</v>
      </c>
      <c r="N606" s="5" t="s">
        <v>25</v>
      </c>
      <c r="O606" s="5" t="s">
        <v>25</v>
      </c>
      <c r="P606" s="5">
        <f t="shared" si="50"/>
        <v>-0.19999999999999929</v>
      </c>
      <c r="Q606" s="6">
        <f t="shared" si="51"/>
        <v>-2.2988505747126357E-2</v>
      </c>
      <c r="R606" s="5">
        <f t="shared" si="52"/>
        <v>0</v>
      </c>
      <c r="S606" s="6">
        <f t="shared" si="53"/>
        <v>0</v>
      </c>
      <c r="T606" s="6">
        <f t="shared" si="54"/>
        <v>0</v>
      </c>
    </row>
    <row r="607" spans="1:20" hidden="1" x14ac:dyDescent="0.25">
      <c r="A607" s="4" t="s">
        <v>616</v>
      </c>
      <c r="B607" s="5" t="s">
        <v>16</v>
      </c>
      <c r="C607" s="5" t="s">
        <v>1823</v>
      </c>
      <c r="D607" s="5">
        <v>873.85</v>
      </c>
      <c r="E607" s="5">
        <v>865.05</v>
      </c>
      <c r="F607" s="5">
        <v>874.5</v>
      </c>
      <c r="G607" s="5">
        <v>862</v>
      </c>
      <c r="H607" s="5">
        <v>863</v>
      </c>
      <c r="I607" s="5">
        <v>867.95</v>
      </c>
      <c r="J607" s="5">
        <v>869.02</v>
      </c>
      <c r="K607" s="5">
        <v>2568</v>
      </c>
      <c r="L607" s="5">
        <v>22.32</v>
      </c>
      <c r="M607" s="5">
        <v>500</v>
      </c>
      <c r="N607" s="5">
        <v>1866</v>
      </c>
      <c r="O607" s="5">
        <v>72.66</v>
      </c>
      <c r="P607" s="5">
        <f t="shared" si="50"/>
        <v>-5.8999999999999773</v>
      </c>
      <c r="Q607" s="6">
        <f t="shared" si="51"/>
        <v>-6.7517308462550522E-3</v>
      </c>
      <c r="R607" s="5">
        <f t="shared" si="52"/>
        <v>12.5</v>
      </c>
      <c r="S607" s="6">
        <f t="shared" si="53"/>
        <v>1.4304514504777708E-2</v>
      </c>
      <c r="T607" s="6">
        <f t="shared" si="54"/>
        <v>-1.2336071480039618E-3</v>
      </c>
    </row>
    <row r="608" spans="1:20" hidden="1" x14ac:dyDescent="0.25">
      <c r="A608" s="4" t="s">
        <v>617</v>
      </c>
      <c r="B608" s="5" t="s">
        <v>16</v>
      </c>
      <c r="C608" s="5" t="s">
        <v>1823</v>
      </c>
      <c r="D608" s="5">
        <v>41.6</v>
      </c>
      <c r="E608" s="5">
        <v>41.05</v>
      </c>
      <c r="F608" s="5">
        <v>41.85</v>
      </c>
      <c r="G608" s="5">
        <v>37.5</v>
      </c>
      <c r="H608" s="5">
        <v>38</v>
      </c>
      <c r="I608" s="5">
        <v>38.1</v>
      </c>
      <c r="J608" s="5">
        <v>39.04</v>
      </c>
      <c r="K608" s="5">
        <v>24335</v>
      </c>
      <c r="L608" s="5">
        <v>9.5</v>
      </c>
      <c r="M608" s="5">
        <v>301</v>
      </c>
      <c r="N608" s="5">
        <v>17697</v>
      </c>
      <c r="O608" s="5">
        <v>72.72</v>
      </c>
      <c r="P608" s="5">
        <f t="shared" si="50"/>
        <v>-3.5</v>
      </c>
      <c r="Q608" s="6">
        <f t="shared" si="51"/>
        <v>-8.4134615384615377E-2</v>
      </c>
      <c r="R608" s="5">
        <f t="shared" si="52"/>
        <v>4.3500000000000014</v>
      </c>
      <c r="S608" s="6">
        <f t="shared" si="53"/>
        <v>0.10456730769230772</v>
      </c>
      <c r="T608" s="6">
        <f t="shared" si="54"/>
        <v>-2.3722397476340636E-2</v>
      </c>
    </row>
    <row r="609" spans="1:20" hidden="1" x14ac:dyDescent="0.25">
      <c r="A609" s="4" t="s">
        <v>618</v>
      </c>
      <c r="B609" s="5" t="s">
        <v>39</v>
      </c>
      <c r="C609" s="5" t="s">
        <v>1823</v>
      </c>
      <c r="D609" s="5">
        <v>48.95</v>
      </c>
      <c r="E609" s="5">
        <v>50.7</v>
      </c>
      <c r="F609" s="5">
        <v>50.7</v>
      </c>
      <c r="G609" s="5">
        <v>48</v>
      </c>
      <c r="H609" s="5">
        <v>49</v>
      </c>
      <c r="I609" s="5">
        <v>49</v>
      </c>
      <c r="J609" s="5">
        <v>49.08</v>
      </c>
      <c r="K609" s="5">
        <v>2309</v>
      </c>
      <c r="L609" s="5">
        <v>1.1299999999999999</v>
      </c>
      <c r="M609" s="5">
        <v>15</v>
      </c>
      <c r="N609" s="5" t="s">
        <v>25</v>
      </c>
      <c r="O609" s="5" t="s">
        <v>25</v>
      </c>
      <c r="P609" s="5">
        <f t="shared" si="50"/>
        <v>4.9999999999997158E-2</v>
      </c>
      <c r="Q609" s="6">
        <f t="shared" si="51"/>
        <v>1.0214504596526488E-3</v>
      </c>
      <c r="R609" s="5">
        <f t="shared" si="52"/>
        <v>2.7000000000000028</v>
      </c>
      <c r="S609" s="6">
        <f t="shared" si="53"/>
        <v>5.5158324821246225E-2</v>
      </c>
      <c r="T609" s="6">
        <f t="shared" si="54"/>
        <v>-1.6129032258064171E-3</v>
      </c>
    </row>
    <row r="610" spans="1:20" hidden="1" x14ac:dyDescent="0.25">
      <c r="A610" s="4" t="s">
        <v>619</v>
      </c>
      <c r="B610" s="5" t="s">
        <v>16</v>
      </c>
      <c r="C610" s="5" t="s">
        <v>1823</v>
      </c>
      <c r="D610" s="5">
        <v>4.25</v>
      </c>
      <c r="E610" s="5">
        <v>4.3</v>
      </c>
      <c r="F610" s="5">
        <v>4.45</v>
      </c>
      <c r="G610" s="5">
        <v>4.25</v>
      </c>
      <c r="H610" s="5">
        <v>4.3499999999999996</v>
      </c>
      <c r="I610" s="5">
        <v>4.3</v>
      </c>
      <c r="J610" s="5">
        <v>4.37</v>
      </c>
      <c r="K610" s="5">
        <v>1533441</v>
      </c>
      <c r="L610" s="5">
        <v>67.010000000000005</v>
      </c>
      <c r="M610" s="5">
        <v>1091</v>
      </c>
      <c r="N610" s="5">
        <v>1017143</v>
      </c>
      <c r="O610" s="5">
        <v>66.33</v>
      </c>
      <c r="P610" s="5">
        <f t="shared" si="50"/>
        <v>4.9999999999999822E-2</v>
      </c>
      <c r="Q610" s="6">
        <f t="shared" si="51"/>
        <v>1.1764705882352899E-2</v>
      </c>
      <c r="R610" s="5">
        <f t="shared" si="52"/>
        <v>0.20000000000000018</v>
      </c>
      <c r="S610" s="6">
        <f t="shared" si="53"/>
        <v>4.7058823529411806E-2</v>
      </c>
      <c r="T610" s="6">
        <f t="shared" si="54"/>
        <v>-1.6184971098265961E-2</v>
      </c>
    </row>
    <row r="611" spans="1:20" hidden="1" x14ac:dyDescent="0.25">
      <c r="A611" s="4" t="s">
        <v>620</v>
      </c>
      <c r="B611" s="5" t="s">
        <v>16</v>
      </c>
      <c r="C611" s="5" t="s">
        <v>1823</v>
      </c>
      <c r="D611" s="5">
        <v>743.9</v>
      </c>
      <c r="E611" s="5">
        <v>743.9</v>
      </c>
      <c r="F611" s="5">
        <v>748.7</v>
      </c>
      <c r="G611" s="5">
        <v>743.55</v>
      </c>
      <c r="H611" s="5">
        <v>746</v>
      </c>
      <c r="I611" s="5">
        <v>745.95</v>
      </c>
      <c r="J611" s="5">
        <v>746.12</v>
      </c>
      <c r="K611" s="5">
        <v>10167</v>
      </c>
      <c r="L611" s="5">
        <v>75.86</v>
      </c>
      <c r="M611" s="5">
        <v>877</v>
      </c>
      <c r="N611" s="5">
        <v>7890</v>
      </c>
      <c r="O611" s="5">
        <v>77.599999999999994</v>
      </c>
      <c r="P611" s="5">
        <f t="shared" si="50"/>
        <v>2.0500000000000682</v>
      </c>
      <c r="Q611" s="6">
        <f t="shared" si="51"/>
        <v>2.7557467401533382E-3</v>
      </c>
      <c r="R611" s="5">
        <f t="shared" si="52"/>
        <v>5.1500000000000909</v>
      </c>
      <c r="S611" s="6">
        <f t="shared" si="53"/>
        <v>6.9229735179460825E-3</v>
      </c>
      <c r="T611" s="6">
        <f t="shared" si="54"/>
        <v>-2.2802722913377701E-4</v>
      </c>
    </row>
    <row r="612" spans="1:20" hidden="1" x14ac:dyDescent="0.25">
      <c r="A612" s="4" t="s">
        <v>621</v>
      </c>
      <c r="B612" s="5" t="s">
        <v>16</v>
      </c>
      <c r="C612" s="5" t="s">
        <v>1823</v>
      </c>
      <c r="D612" s="5">
        <v>432.25</v>
      </c>
      <c r="E612" s="5">
        <v>421.1</v>
      </c>
      <c r="F612" s="5">
        <v>432.6</v>
      </c>
      <c r="G612" s="5">
        <v>415.55</v>
      </c>
      <c r="H612" s="5">
        <v>424</v>
      </c>
      <c r="I612" s="5">
        <v>419.85</v>
      </c>
      <c r="J612" s="5">
        <v>426.72</v>
      </c>
      <c r="K612" s="5">
        <v>1565</v>
      </c>
      <c r="L612" s="5">
        <v>6.68</v>
      </c>
      <c r="M612" s="5">
        <v>131</v>
      </c>
      <c r="N612" s="5">
        <v>1246</v>
      </c>
      <c r="O612" s="5">
        <v>79.62</v>
      </c>
      <c r="P612" s="5">
        <f t="shared" si="50"/>
        <v>-12.399999999999977</v>
      </c>
      <c r="Q612" s="6">
        <f t="shared" si="51"/>
        <v>-2.8687102371312844E-2</v>
      </c>
      <c r="R612" s="5">
        <f t="shared" si="52"/>
        <v>17.050000000000011</v>
      </c>
      <c r="S612" s="6">
        <f t="shared" si="53"/>
        <v>3.9444765760555257E-2</v>
      </c>
      <c r="T612" s="6">
        <f t="shared" si="54"/>
        <v>-1.6269019004203432E-2</v>
      </c>
    </row>
    <row r="613" spans="1:20" hidden="1" x14ac:dyDescent="0.25">
      <c r="A613" s="4" t="s">
        <v>622</v>
      </c>
      <c r="B613" s="5" t="s">
        <v>16</v>
      </c>
      <c r="C613" s="5" t="s">
        <v>1823</v>
      </c>
      <c r="D613" s="5">
        <v>58.35</v>
      </c>
      <c r="E613" s="5">
        <v>58.4</v>
      </c>
      <c r="F613" s="5">
        <v>59.6</v>
      </c>
      <c r="G613" s="5">
        <v>55.1</v>
      </c>
      <c r="H613" s="5">
        <v>55.4</v>
      </c>
      <c r="I613" s="5">
        <v>55.65</v>
      </c>
      <c r="J613" s="5">
        <v>57.11</v>
      </c>
      <c r="K613" s="5">
        <v>77251</v>
      </c>
      <c r="L613" s="5">
        <v>44.12</v>
      </c>
      <c r="M613" s="5">
        <v>1350</v>
      </c>
      <c r="N613" s="5">
        <v>27547</v>
      </c>
      <c r="O613" s="5">
        <v>35.659999999999997</v>
      </c>
      <c r="P613" s="5">
        <f t="shared" si="50"/>
        <v>-2.7000000000000028</v>
      </c>
      <c r="Q613" s="6">
        <f t="shared" si="51"/>
        <v>-4.6272493573264829E-2</v>
      </c>
      <c r="R613" s="5">
        <f t="shared" si="52"/>
        <v>4.5</v>
      </c>
      <c r="S613" s="6">
        <f t="shared" si="53"/>
        <v>7.7120822622107968E-2</v>
      </c>
      <c r="T613" s="6">
        <f t="shared" si="54"/>
        <v>-2.5530054644808758E-2</v>
      </c>
    </row>
    <row r="614" spans="1:20" x14ac:dyDescent="0.25">
      <c r="A614" s="4" t="s">
        <v>888</v>
      </c>
      <c r="B614" s="5" t="s">
        <v>16</v>
      </c>
      <c r="C614" s="5" t="s">
        <v>1823</v>
      </c>
      <c r="D614" s="5">
        <v>22.05</v>
      </c>
      <c r="E614" s="5">
        <v>22.45</v>
      </c>
      <c r="F614" s="5">
        <v>23.15</v>
      </c>
      <c r="G614" s="5">
        <v>22.4</v>
      </c>
      <c r="H614" s="5">
        <v>23.15</v>
      </c>
      <c r="I614" s="5">
        <v>23.05</v>
      </c>
      <c r="J614" s="5">
        <v>23.07</v>
      </c>
      <c r="K614" s="5">
        <v>633170</v>
      </c>
      <c r="L614" s="5">
        <v>146.08000000000001</v>
      </c>
      <c r="M614" s="5">
        <v>868</v>
      </c>
      <c r="N614" s="5">
        <v>232209</v>
      </c>
      <c r="O614" s="5">
        <v>36.67</v>
      </c>
      <c r="P614" s="5">
        <f t="shared" si="50"/>
        <v>1</v>
      </c>
      <c r="Q614" s="6">
        <f t="shared" si="51"/>
        <v>4.5351473922902494E-2</v>
      </c>
      <c r="R614" s="5">
        <f t="shared" si="52"/>
        <v>0.75</v>
      </c>
      <c r="S614" s="6">
        <f t="shared" si="53"/>
        <v>3.4013605442176867E-2</v>
      </c>
      <c r="T614" s="6">
        <f t="shared" si="54"/>
        <v>-8.7863811092804285E-4</v>
      </c>
    </row>
    <row r="615" spans="1:20" hidden="1" x14ac:dyDescent="0.25">
      <c r="A615" s="4" t="s">
        <v>624</v>
      </c>
      <c r="B615" s="5" t="s">
        <v>625</v>
      </c>
      <c r="C615" s="5" t="s">
        <v>1823</v>
      </c>
      <c r="D615" s="5">
        <v>447</v>
      </c>
      <c r="E615" s="5">
        <v>448</v>
      </c>
      <c r="F615" s="5">
        <v>452.15</v>
      </c>
      <c r="G615" s="5">
        <v>448</v>
      </c>
      <c r="H615" s="5">
        <v>452.15</v>
      </c>
      <c r="I615" s="5">
        <v>452.15</v>
      </c>
      <c r="J615" s="5">
        <v>451.07</v>
      </c>
      <c r="K615" s="5">
        <v>135</v>
      </c>
      <c r="L615" s="5">
        <v>0.61</v>
      </c>
      <c r="M615" s="5">
        <v>7</v>
      </c>
      <c r="N615" s="5">
        <v>135</v>
      </c>
      <c r="O615" s="5">
        <v>100</v>
      </c>
      <c r="P615" s="5">
        <f t="shared" si="50"/>
        <v>5.1499999999999773</v>
      </c>
      <c r="Q615" s="6">
        <f t="shared" si="51"/>
        <v>1.1521252796420531E-2</v>
      </c>
      <c r="R615" s="5">
        <f t="shared" si="52"/>
        <v>4.1499999999999773</v>
      </c>
      <c r="S615" s="6">
        <f t="shared" si="53"/>
        <v>9.2841163310961455E-3</v>
      </c>
      <c r="T615" s="6">
        <f t="shared" si="54"/>
        <v>2.3996000666555218E-3</v>
      </c>
    </row>
    <row r="616" spans="1:20" hidden="1" x14ac:dyDescent="0.25">
      <c r="A616" s="4" t="s">
        <v>624</v>
      </c>
      <c r="B616" s="5" t="s">
        <v>16</v>
      </c>
      <c r="C616" s="5" t="s">
        <v>1823</v>
      </c>
      <c r="D616" s="5">
        <v>624.95000000000005</v>
      </c>
      <c r="E616" s="5">
        <v>643.95000000000005</v>
      </c>
      <c r="F616" s="5">
        <v>643.95000000000005</v>
      </c>
      <c r="G616" s="5">
        <v>620</v>
      </c>
      <c r="H616" s="5">
        <v>635</v>
      </c>
      <c r="I616" s="5">
        <v>631.54999999999995</v>
      </c>
      <c r="J616" s="5">
        <v>630.66</v>
      </c>
      <c r="K616" s="5">
        <v>1943</v>
      </c>
      <c r="L616" s="5">
        <v>12.25</v>
      </c>
      <c r="M616" s="5">
        <v>175</v>
      </c>
      <c r="N616" s="5">
        <v>1602</v>
      </c>
      <c r="O616" s="5">
        <v>82.45</v>
      </c>
      <c r="P616" s="5">
        <f t="shared" si="50"/>
        <v>6.5999999999999091</v>
      </c>
      <c r="Q616" s="6">
        <f t="shared" si="51"/>
        <v>1.0560844867589261E-2</v>
      </c>
      <c r="R616" s="5">
        <f t="shared" si="52"/>
        <v>23.950000000000045</v>
      </c>
      <c r="S616" s="6">
        <f t="shared" si="53"/>
        <v>3.8323065845267693E-2</v>
      </c>
      <c r="T616" s="6">
        <f t="shared" si="54"/>
        <v>1.4018783594872692E-3</v>
      </c>
    </row>
    <row r="617" spans="1:20" x14ac:dyDescent="0.25">
      <c r="A617" s="4" t="s">
        <v>1324</v>
      </c>
      <c r="B617" s="5" t="s">
        <v>16</v>
      </c>
      <c r="C617" s="5" t="s">
        <v>1823</v>
      </c>
      <c r="D617" s="5">
        <v>61.4</v>
      </c>
      <c r="E617" s="5">
        <v>62.7</v>
      </c>
      <c r="F617" s="5">
        <v>64.45</v>
      </c>
      <c r="G617" s="5">
        <v>58.35</v>
      </c>
      <c r="H617" s="5">
        <v>64.45</v>
      </c>
      <c r="I617" s="5">
        <v>64.45</v>
      </c>
      <c r="J617" s="5">
        <v>61.63</v>
      </c>
      <c r="K617" s="5">
        <v>298014</v>
      </c>
      <c r="L617" s="5">
        <v>183.67</v>
      </c>
      <c r="M617" s="5">
        <v>2225</v>
      </c>
      <c r="N617" s="5">
        <v>109660</v>
      </c>
      <c r="O617" s="5">
        <v>36.799999999999997</v>
      </c>
      <c r="P617" s="5">
        <f t="shared" si="50"/>
        <v>3.0500000000000043</v>
      </c>
      <c r="Q617" s="6">
        <f t="shared" si="51"/>
        <v>4.9674267100977269E-2</v>
      </c>
      <c r="R617" s="5">
        <f t="shared" si="52"/>
        <v>6.1000000000000014</v>
      </c>
      <c r="S617" s="6">
        <f t="shared" si="53"/>
        <v>9.9348534201954428E-2</v>
      </c>
      <c r="T617" s="6">
        <f t="shared" si="54"/>
        <v>4.5129025805161038E-2</v>
      </c>
    </row>
    <row r="618" spans="1:20" hidden="1" x14ac:dyDescent="0.25">
      <c r="A618" s="4" t="s">
        <v>627</v>
      </c>
      <c r="B618" s="5" t="s">
        <v>39</v>
      </c>
      <c r="C618" s="5" t="s">
        <v>1823</v>
      </c>
      <c r="D618" s="5">
        <v>0.6</v>
      </c>
      <c r="E618" s="5">
        <v>0.65</v>
      </c>
      <c r="F618" s="5">
        <v>0.65</v>
      </c>
      <c r="G618" s="5">
        <v>0.6</v>
      </c>
      <c r="H618" s="5">
        <v>0.6</v>
      </c>
      <c r="I618" s="5">
        <v>0.6</v>
      </c>
      <c r="J618" s="5">
        <v>0.6</v>
      </c>
      <c r="K618" s="5">
        <v>7649</v>
      </c>
      <c r="L618" s="5">
        <v>0.05</v>
      </c>
      <c r="M618" s="5">
        <v>11</v>
      </c>
      <c r="N618" s="5" t="s">
        <v>25</v>
      </c>
      <c r="O618" s="5" t="s">
        <v>25</v>
      </c>
      <c r="P618" s="5">
        <f t="shared" si="50"/>
        <v>0</v>
      </c>
      <c r="Q618" s="6">
        <f t="shared" si="51"/>
        <v>0</v>
      </c>
      <c r="R618" s="5">
        <f t="shared" si="52"/>
        <v>5.0000000000000044E-2</v>
      </c>
      <c r="S618" s="6">
        <f t="shared" si="53"/>
        <v>8.3333333333333412E-2</v>
      </c>
      <c r="T618" s="6">
        <f t="shared" si="54"/>
        <v>0</v>
      </c>
    </row>
    <row r="619" spans="1:20" x14ac:dyDescent="0.25">
      <c r="A619" s="4" t="s">
        <v>1515</v>
      </c>
      <c r="B619" s="5" t="s">
        <v>16</v>
      </c>
      <c r="C619" s="5" t="s">
        <v>1823</v>
      </c>
      <c r="D619" s="5">
        <v>132.69999999999999</v>
      </c>
      <c r="E619" s="5">
        <v>126.1</v>
      </c>
      <c r="F619" s="5">
        <v>139.30000000000001</v>
      </c>
      <c r="G619" s="5">
        <v>126.1</v>
      </c>
      <c r="H619" s="5">
        <v>139.30000000000001</v>
      </c>
      <c r="I619" s="5">
        <v>139.30000000000001</v>
      </c>
      <c r="J619" s="5">
        <v>135.09</v>
      </c>
      <c r="K619" s="5">
        <v>158948</v>
      </c>
      <c r="L619" s="5">
        <v>214.72</v>
      </c>
      <c r="M619" s="5">
        <v>2367</v>
      </c>
      <c r="N619" s="5">
        <v>58680</v>
      </c>
      <c r="O619" s="5">
        <v>36.92</v>
      </c>
      <c r="P619" s="5">
        <f t="shared" si="50"/>
        <v>6.6000000000000227</v>
      </c>
      <c r="Q619" s="6">
        <f t="shared" si="51"/>
        <v>4.9736247174077042E-2</v>
      </c>
      <c r="R619" s="5">
        <f t="shared" si="52"/>
        <v>13.200000000000017</v>
      </c>
      <c r="S619" s="6">
        <f t="shared" si="53"/>
        <v>9.9472494348153861E-2</v>
      </c>
      <c r="T619" s="6">
        <f t="shared" si="54"/>
        <v>3.1725697061040004E-2</v>
      </c>
    </row>
    <row r="620" spans="1:20" hidden="1" x14ac:dyDescent="0.25">
      <c r="A620" s="4" t="s">
        <v>629</v>
      </c>
      <c r="B620" s="5" t="s">
        <v>16</v>
      </c>
      <c r="C620" s="5" t="s">
        <v>1823</v>
      </c>
      <c r="D620" s="5">
        <v>9.3000000000000007</v>
      </c>
      <c r="E620" s="5">
        <v>9.15</v>
      </c>
      <c r="F620" s="5">
        <v>9.25</v>
      </c>
      <c r="G620" s="5">
        <v>8.9</v>
      </c>
      <c r="H620" s="5">
        <v>8.9</v>
      </c>
      <c r="I620" s="5">
        <v>9</v>
      </c>
      <c r="J620" s="5">
        <v>9.06</v>
      </c>
      <c r="K620" s="5">
        <v>543485</v>
      </c>
      <c r="L620" s="5">
        <v>49.23</v>
      </c>
      <c r="M620" s="5">
        <v>953</v>
      </c>
      <c r="N620" s="5">
        <v>262374</v>
      </c>
      <c r="O620" s="5">
        <v>48.28</v>
      </c>
      <c r="P620" s="5">
        <f t="shared" si="50"/>
        <v>-0.30000000000000071</v>
      </c>
      <c r="Q620" s="6">
        <f t="shared" si="51"/>
        <v>-3.2258064516129108E-2</v>
      </c>
      <c r="R620" s="5">
        <f t="shared" si="52"/>
        <v>0.34999999999999964</v>
      </c>
      <c r="S620" s="6">
        <f t="shared" si="53"/>
        <v>3.7634408602150497E-2</v>
      </c>
      <c r="T620" s="6">
        <f t="shared" si="54"/>
        <v>-6.6115702479339396E-3</v>
      </c>
    </row>
    <row r="621" spans="1:20" hidden="1" x14ac:dyDescent="0.25">
      <c r="A621" s="4" t="s">
        <v>630</v>
      </c>
      <c r="B621" s="5" t="s">
        <v>16</v>
      </c>
      <c r="C621" s="5" t="s">
        <v>1823</v>
      </c>
      <c r="D621" s="5">
        <v>113.1</v>
      </c>
      <c r="E621" s="5">
        <v>115</v>
      </c>
      <c r="F621" s="5">
        <v>115.85</v>
      </c>
      <c r="G621" s="5">
        <v>108</v>
      </c>
      <c r="H621" s="5">
        <v>108</v>
      </c>
      <c r="I621" s="5">
        <v>110</v>
      </c>
      <c r="J621" s="5">
        <v>111.65</v>
      </c>
      <c r="K621" s="5">
        <v>3760</v>
      </c>
      <c r="L621" s="5">
        <v>4.2</v>
      </c>
      <c r="M621" s="5">
        <v>188</v>
      </c>
      <c r="N621" s="5">
        <v>2613</v>
      </c>
      <c r="O621" s="5">
        <v>69.489999999999995</v>
      </c>
      <c r="P621" s="5">
        <f t="shared" si="50"/>
        <v>-3.0999999999999943</v>
      </c>
      <c r="Q621" s="6">
        <f t="shared" si="51"/>
        <v>-2.7409372236958395E-2</v>
      </c>
      <c r="R621" s="5">
        <f t="shared" si="52"/>
        <v>7.8499999999999943</v>
      </c>
      <c r="S621" s="6">
        <f t="shared" si="53"/>
        <v>6.9407603890362463E-2</v>
      </c>
      <c r="T621" s="6">
        <f t="shared" si="54"/>
        <v>-1.4704244179570062E-2</v>
      </c>
    </row>
    <row r="622" spans="1:20" hidden="1" x14ac:dyDescent="0.25">
      <c r="A622" s="4" t="s">
        <v>631</v>
      </c>
      <c r="B622" s="5" t="s">
        <v>16</v>
      </c>
      <c r="C622" s="5" t="s">
        <v>1823</v>
      </c>
      <c r="D622" s="5">
        <v>8.5500000000000007</v>
      </c>
      <c r="E622" s="5">
        <v>8.5500000000000007</v>
      </c>
      <c r="F622" s="5">
        <v>8.5500000000000007</v>
      </c>
      <c r="G622" s="5">
        <v>8.0500000000000007</v>
      </c>
      <c r="H622" s="5">
        <v>8.25</v>
      </c>
      <c r="I622" s="5">
        <v>8.15</v>
      </c>
      <c r="J622" s="5">
        <v>8.27</v>
      </c>
      <c r="K622" s="5">
        <v>626148</v>
      </c>
      <c r="L622" s="5">
        <v>51.76</v>
      </c>
      <c r="M622" s="5">
        <v>1509</v>
      </c>
      <c r="N622" s="5">
        <v>266468</v>
      </c>
      <c r="O622" s="5">
        <v>42.56</v>
      </c>
      <c r="P622" s="5">
        <f t="shared" si="50"/>
        <v>-0.40000000000000036</v>
      </c>
      <c r="Q622" s="6">
        <f t="shared" si="51"/>
        <v>-4.6783625730994191E-2</v>
      </c>
      <c r="R622" s="5">
        <f t="shared" si="52"/>
        <v>0.5</v>
      </c>
      <c r="S622" s="6">
        <f t="shared" si="53"/>
        <v>5.8479532163742687E-2</v>
      </c>
      <c r="T622" s="6">
        <f t="shared" si="54"/>
        <v>-1.4414414414414319E-2</v>
      </c>
    </row>
    <row r="623" spans="1:20" hidden="1" x14ac:dyDescent="0.25">
      <c r="A623" s="4" t="s">
        <v>632</v>
      </c>
      <c r="B623" s="5" t="s">
        <v>16</v>
      </c>
      <c r="C623" s="5" t="s">
        <v>1823</v>
      </c>
      <c r="D623" s="5">
        <v>1047.4000000000001</v>
      </c>
      <c r="E623" s="5">
        <v>1049.5</v>
      </c>
      <c r="F623" s="5">
        <v>1062</v>
      </c>
      <c r="G623" s="5">
        <v>1044.2</v>
      </c>
      <c r="H623" s="5">
        <v>1054.95</v>
      </c>
      <c r="I623" s="5">
        <v>1053.8499999999999</v>
      </c>
      <c r="J623" s="5">
        <v>1055.1500000000001</v>
      </c>
      <c r="K623" s="5">
        <v>2156410</v>
      </c>
      <c r="L623" s="5">
        <v>22753.360000000001</v>
      </c>
      <c r="M623" s="5">
        <v>78837</v>
      </c>
      <c r="N623" s="5">
        <v>1537886</v>
      </c>
      <c r="O623" s="5">
        <v>71.319999999999993</v>
      </c>
      <c r="P623" s="5">
        <f t="shared" si="50"/>
        <v>6.4499999999998181</v>
      </c>
      <c r="Q623" s="6">
        <f t="shared" si="51"/>
        <v>6.1581057857550293E-3</v>
      </c>
      <c r="R623" s="5">
        <f t="shared" si="52"/>
        <v>17.799999999999955</v>
      </c>
      <c r="S623" s="6">
        <f t="shared" si="53"/>
        <v>1.6994462478518192E-2</v>
      </c>
      <c r="T623" s="6">
        <f t="shared" si="54"/>
        <v>-1.2352864320416027E-3</v>
      </c>
    </row>
    <row r="624" spans="1:20" x14ac:dyDescent="0.25">
      <c r="A624" s="4" t="s">
        <v>811</v>
      </c>
      <c r="B624" s="5" t="s">
        <v>16</v>
      </c>
      <c r="C624" s="5" t="s">
        <v>1823</v>
      </c>
      <c r="D624" s="5">
        <v>34.5</v>
      </c>
      <c r="E624" s="5">
        <v>34.950000000000003</v>
      </c>
      <c r="F624" s="5">
        <v>39</v>
      </c>
      <c r="G624" s="5">
        <v>34.200000000000003</v>
      </c>
      <c r="H624" s="5">
        <v>35.1</v>
      </c>
      <c r="I624" s="5">
        <v>35.35</v>
      </c>
      <c r="J624" s="5">
        <v>36.18</v>
      </c>
      <c r="K624" s="5">
        <v>3621244</v>
      </c>
      <c r="L624" s="5">
        <v>1310.07</v>
      </c>
      <c r="M624" s="5">
        <v>17248</v>
      </c>
      <c r="N624" s="5">
        <v>1354828</v>
      </c>
      <c r="O624" s="5">
        <v>37.409999999999997</v>
      </c>
      <c r="P624" s="5">
        <f t="shared" si="50"/>
        <v>0.85000000000000142</v>
      </c>
      <c r="Q624" s="6">
        <f t="shared" si="51"/>
        <v>2.4637681159420333E-2</v>
      </c>
      <c r="R624" s="5">
        <f t="shared" si="52"/>
        <v>4.7999999999999972</v>
      </c>
      <c r="S624" s="6">
        <f t="shared" si="53"/>
        <v>0.13913043478260861</v>
      </c>
      <c r="T624" s="6">
        <f t="shared" si="54"/>
        <v>-2.3135888501742113E-2</v>
      </c>
    </row>
    <row r="625" spans="1:20" hidden="1" x14ac:dyDescent="0.25">
      <c r="A625" s="4" t="s">
        <v>634</v>
      </c>
      <c r="B625" s="5" t="s">
        <v>16</v>
      </c>
      <c r="C625" s="5" t="s">
        <v>1823</v>
      </c>
      <c r="D625" s="5">
        <v>2929.95</v>
      </c>
      <c r="E625" s="5">
        <v>2922</v>
      </c>
      <c r="F625" s="5">
        <v>2922</v>
      </c>
      <c r="G625" s="5">
        <v>2850</v>
      </c>
      <c r="H625" s="5">
        <v>2859</v>
      </c>
      <c r="I625" s="5">
        <v>2866</v>
      </c>
      <c r="J625" s="5">
        <v>2870.41</v>
      </c>
      <c r="K625" s="5">
        <v>188914</v>
      </c>
      <c r="L625" s="5">
        <v>5422.61</v>
      </c>
      <c r="M625" s="5">
        <v>25910</v>
      </c>
      <c r="N625" s="5">
        <v>81215</v>
      </c>
      <c r="O625" s="5">
        <v>42.99</v>
      </c>
      <c r="P625" s="5">
        <f t="shared" si="50"/>
        <v>-63.949999999999818</v>
      </c>
      <c r="Q625" s="6">
        <f t="shared" si="51"/>
        <v>-2.1826311029198391E-2</v>
      </c>
      <c r="R625" s="5">
        <f t="shared" si="52"/>
        <v>72</v>
      </c>
      <c r="S625" s="6">
        <f t="shared" si="53"/>
        <v>2.4573798187682384E-2</v>
      </c>
      <c r="T625" s="6">
        <f t="shared" si="54"/>
        <v>-1.5259515570933753E-3</v>
      </c>
    </row>
    <row r="626" spans="1:20" hidden="1" x14ac:dyDescent="0.25">
      <c r="A626" s="4" t="s">
        <v>635</v>
      </c>
      <c r="B626" s="5" t="s">
        <v>16</v>
      </c>
      <c r="C626" s="5" t="s">
        <v>1823</v>
      </c>
      <c r="D626" s="5">
        <v>1253.8</v>
      </c>
      <c r="E626" s="5">
        <v>1249.9000000000001</v>
      </c>
      <c r="F626" s="5">
        <v>1249.9000000000001</v>
      </c>
      <c r="G626" s="5">
        <v>1230.0999999999999</v>
      </c>
      <c r="H626" s="5">
        <v>1240</v>
      </c>
      <c r="I626" s="5">
        <v>1239.7</v>
      </c>
      <c r="J626" s="5">
        <v>1238.04</v>
      </c>
      <c r="K626" s="5">
        <v>7804488</v>
      </c>
      <c r="L626" s="5">
        <v>96622.49</v>
      </c>
      <c r="M626" s="5">
        <v>188354</v>
      </c>
      <c r="N626" s="5">
        <v>4384523</v>
      </c>
      <c r="O626" s="5">
        <v>56.18</v>
      </c>
      <c r="P626" s="5">
        <f t="shared" si="50"/>
        <v>-14.099999999999909</v>
      </c>
      <c r="Q626" s="6">
        <f t="shared" si="51"/>
        <v>-1.1245812729302846E-2</v>
      </c>
      <c r="R626" s="5">
        <f t="shared" si="52"/>
        <v>19.800000000000182</v>
      </c>
      <c r="S626" s="6">
        <f t="shared" si="53"/>
        <v>1.5791992343276585E-2</v>
      </c>
      <c r="T626" s="6">
        <f t="shared" si="54"/>
        <v>1.3361236316806839E-3</v>
      </c>
    </row>
    <row r="627" spans="1:20" hidden="1" x14ac:dyDescent="0.25">
      <c r="A627" s="4" t="s">
        <v>636</v>
      </c>
      <c r="B627" s="5" t="s">
        <v>16</v>
      </c>
      <c r="C627" s="5" t="s">
        <v>1823</v>
      </c>
      <c r="D627" s="5">
        <v>551.04999999999995</v>
      </c>
      <c r="E627" s="5">
        <v>551.79999999999995</v>
      </c>
      <c r="F627" s="5">
        <v>562.70000000000005</v>
      </c>
      <c r="G627" s="5">
        <v>550.1</v>
      </c>
      <c r="H627" s="5">
        <v>556.4</v>
      </c>
      <c r="I627" s="5">
        <v>557.85</v>
      </c>
      <c r="J627" s="5">
        <v>557.61</v>
      </c>
      <c r="K627" s="5">
        <v>3790845</v>
      </c>
      <c r="L627" s="5">
        <v>21138.03</v>
      </c>
      <c r="M627" s="5">
        <v>60029</v>
      </c>
      <c r="N627" s="5">
        <v>1914175</v>
      </c>
      <c r="O627" s="5">
        <v>50.49</v>
      </c>
      <c r="P627" s="5">
        <f t="shared" si="50"/>
        <v>6.8000000000000682</v>
      </c>
      <c r="Q627" s="6">
        <f t="shared" si="51"/>
        <v>1.2340078032846509E-2</v>
      </c>
      <c r="R627" s="5">
        <f t="shared" si="52"/>
        <v>12.600000000000023</v>
      </c>
      <c r="S627" s="6">
        <f t="shared" si="53"/>
        <v>2.2865438707921286E-2</v>
      </c>
      <c r="T627" s="6">
        <f t="shared" si="54"/>
        <v>4.3195572453825126E-4</v>
      </c>
    </row>
    <row r="628" spans="1:20" hidden="1" x14ac:dyDescent="0.25">
      <c r="A628" s="4" t="s">
        <v>637</v>
      </c>
      <c r="B628" s="5" t="s">
        <v>16</v>
      </c>
      <c r="C628" s="5" t="s">
        <v>1823</v>
      </c>
      <c r="D628" s="5">
        <v>3408.05</v>
      </c>
      <c r="E628" s="5">
        <v>3430</v>
      </c>
      <c r="F628" s="5">
        <v>3446.7</v>
      </c>
      <c r="G628" s="5">
        <v>3422.05</v>
      </c>
      <c r="H628" s="5">
        <v>3435.95</v>
      </c>
      <c r="I628" s="5">
        <v>3435.2</v>
      </c>
      <c r="J628" s="5">
        <v>3432.36</v>
      </c>
      <c r="K628" s="5">
        <v>1177</v>
      </c>
      <c r="L628" s="5">
        <v>40.4</v>
      </c>
      <c r="M628" s="5">
        <v>173</v>
      </c>
      <c r="N628" s="5">
        <v>748</v>
      </c>
      <c r="O628" s="5">
        <v>63.55</v>
      </c>
      <c r="P628" s="5">
        <f t="shared" si="50"/>
        <v>27.149999999999636</v>
      </c>
      <c r="Q628" s="6">
        <f t="shared" si="51"/>
        <v>7.9664324173646609E-3</v>
      </c>
      <c r="R628" s="5">
        <f t="shared" si="52"/>
        <v>24.649999999999636</v>
      </c>
      <c r="S628" s="6">
        <f t="shared" si="53"/>
        <v>7.23287510453181E-3</v>
      </c>
      <c r="T628" s="6">
        <f t="shared" si="54"/>
        <v>8.2714732469528159E-4</v>
      </c>
    </row>
    <row r="629" spans="1:20" hidden="1" x14ac:dyDescent="0.25">
      <c r="A629" s="4" t="s">
        <v>638</v>
      </c>
      <c r="B629" s="5" t="s">
        <v>16</v>
      </c>
      <c r="C629" s="5" t="s">
        <v>1823</v>
      </c>
      <c r="D629" s="5">
        <v>1212.3900000000001</v>
      </c>
      <c r="E629" s="5">
        <v>1205</v>
      </c>
      <c r="F629" s="5">
        <v>1207.93</v>
      </c>
      <c r="G629" s="5">
        <v>1196</v>
      </c>
      <c r="H629" s="5">
        <v>1197</v>
      </c>
      <c r="I629" s="5">
        <v>1199.76</v>
      </c>
      <c r="J629" s="5">
        <v>1203.8</v>
      </c>
      <c r="K629" s="5">
        <v>762</v>
      </c>
      <c r="L629" s="5">
        <v>9.17</v>
      </c>
      <c r="M629" s="5">
        <v>48</v>
      </c>
      <c r="N629" s="5">
        <v>717</v>
      </c>
      <c r="O629" s="5">
        <v>94.09</v>
      </c>
      <c r="P629" s="5">
        <f t="shared" si="50"/>
        <v>-12.630000000000109</v>
      </c>
      <c r="Q629" s="6">
        <f t="shared" si="51"/>
        <v>-1.0417439932695014E-2</v>
      </c>
      <c r="R629" s="5">
        <f t="shared" si="52"/>
        <v>11.930000000000064</v>
      </c>
      <c r="S629" s="6">
        <f t="shared" si="53"/>
        <v>9.8400679649288288E-3</v>
      </c>
      <c r="T629" s="6">
        <f t="shared" si="54"/>
        <v>-3.3605826118963487E-3</v>
      </c>
    </row>
    <row r="630" spans="1:20" hidden="1" x14ac:dyDescent="0.25">
      <c r="A630" s="4" t="s">
        <v>639</v>
      </c>
      <c r="B630" s="5" t="s">
        <v>16</v>
      </c>
      <c r="C630" s="5" t="s">
        <v>1823</v>
      </c>
      <c r="D630" s="5">
        <v>4071</v>
      </c>
      <c r="E630" s="5">
        <v>4025</v>
      </c>
      <c r="F630" s="5">
        <v>4074.77</v>
      </c>
      <c r="G630" s="5">
        <v>4025</v>
      </c>
      <c r="H630" s="5">
        <v>4074</v>
      </c>
      <c r="I630" s="5">
        <v>4074</v>
      </c>
      <c r="J630" s="5">
        <v>4053.72</v>
      </c>
      <c r="K630" s="5">
        <v>44</v>
      </c>
      <c r="L630" s="5">
        <v>1.78</v>
      </c>
      <c r="M630" s="5">
        <v>11</v>
      </c>
      <c r="N630" s="5">
        <v>37</v>
      </c>
      <c r="O630" s="5">
        <v>84.09</v>
      </c>
      <c r="P630" s="5">
        <f t="shared" si="50"/>
        <v>3</v>
      </c>
      <c r="Q630" s="6">
        <f t="shared" si="51"/>
        <v>7.3691967575534268E-4</v>
      </c>
      <c r="R630" s="5">
        <f t="shared" si="52"/>
        <v>49.769999999999982</v>
      </c>
      <c r="S630" s="6">
        <f t="shared" si="53"/>
        <v>1.2225497420781131E-2</v>
      </c>
      <c r="T630" s="6">
        <f t="shared" si="54"/>
        <v>5.0077876283199773E-3</v>
      </c>
    </row>
    <row r="631" spans="1:20" hidden="1" x14ac:dyDescent="0.25">
      <c r="A631" s="4" t="s">
        <v>640</v>
      </c>
      <c r="B631" s="5" t="s">
        <v>16</v>
      </c>
      <c r="C631" s="5" t="s">
        <v>1823</v>
      </c>
      <c r="D631" s="5">
        <v>4.8</v>
      </c>
      <c r="E631" s="5">
        <v>4.5999999999999996</v>
      </c>
      <c r="F631" s="5">
        <v>4.7</v>
      </c>
      <c r="G631" s="5">
        <v>4.5999999999999996</v>
      </c>
      <c r="H631" s="5">
        <v>4.5999999999999996</v>
      </c>
      <c r="I631" s="5">
        <v>4.5999999999999996</v>
      </c>
      <c r="J631" s="5">
        <v>4.5999999999999996</v>
      </c>
      <c r="K631" s="5">
        <v>893617</v>
      </c>
      <c r="L631" s="5">
        <v>41.12</v>
      </c>
      <c r="M631" s="5">
        <v>751</v>
      </c>
      <c r="N631" s="5">
        <v>688505</v>
      </c>
      <c r="O631" s="5">
        <v>77.05</v>
      </c>
      <c r="P631" s="5">
        <f t="shared" si="50"/>
        <v>-0.20000000000000018</v>
      </c>
      <c r="Q631" s="6">
        <f t="shared" si="51"/>
        <v>-4.1666666666666706E-2</v>
      </c>
      <c r="R631" s="5">
        <f t="shared" si="52"/>
        <v>0.10000000000000053</v>
      </c>
      <c r="S631" s="6">
        <f t="shared" si="53"/>
        <v>2.0833333333333447E-2</v>
      </c>
      <c r="T631" s="6">
        <f t="shared" si="54"/>
        <v>0</v>
      </c>
    </row>
    <row r="632" spans="1:20" x14ac:dyDescent="0.25">
      <c r="A632" s="4" t="s">
        <v>1157</v>
      </c>
      <c r="B632" s="5" t="s">
        <v>16</v>
      </c>
      <c r="C632" s="5" t="s">
        <v>1823</v>
      </c>
      <c r="D632" s="5">
        <v>117.1</v>
      </c>
      <c r="E632" s="5">
        <v>117.9</v>
      </c>
      <c r="F632" s="5">
        <v>117.9</v>
      </c>
      <c r="G632" s="5">
        <v>113</v>
      </c>
      <c r="H632" s="5">
        <v>113.2</v>
      </c>
      <c r="I632" s="5">
        <v>113.7</v>
      </c>
      <c r="J632" s="5">
        <v>114.82</v>
      </c>
      <c r="K632" s="5">
        <v>877649</v>
      </c>
      <c r="L632" s="5">
        <v>1007.71</v>
      </c>
      <c r="M632" s="5">
        <v>7432</v>
      </c>
      <c r="N632" s="5">
        <v>329390</v>
      </c>
      <c r="O632" s="5">
        <v>37.53</v>
      </c>
      <c r="P632" s="5">
        <f t="shared" si="50"/>
        <v>-3.3999999999999915</v>
      </c>
      <c r="Q632" s="6">
        <f t="shared" si="51"/>
        <v>-2.9035012809564404E-2</v>
      </c>
      <c r="R632" s="5">
        <f t="shared" si="52"/>
        <v>4.9000000000000057</v>
      </c>
      <c r="S632" s="6">
        <f t="shared" si="53"/>
        <v>4.1844577284372381E-2</v>
      </c>
      <c r="T632" s="6">
        <f t="shared" si="54"/>
        <v>-9.6864864864864026E-3</v>
      </c>
    </row>
    <row r="633" spans="1:20" x14ac:dyDescent="0.25">
      <c r="A633" s="4" t="s">
        <v>659</v>
      </c>
      <c r="B633" s="5" t="s">
        <v>16</v>
      </c>
      <c r="C633" s="5" t="s">
        <v>1823</v>
      </c>
      <c r="D633" s="5">
        <v>197.8</v>
      </c>
      <c r="E633" s="5">
        <v>196.1</v>
      </c>
      <c r="F633" s="5">
        <v>196.6</v>
      </c>
      <c r="G633" s="5">
        <v>188.9</v>
      </c>
      <c r="H633" s="5">
        <v>189.4</v>
      </c>
      <c r="I633" s="5">
        <v>189.9</v>
      </c>
      <c r="J633" s="5">
        <v>191.7</v>
      </c>
      <c r="K633" s="5">
        <v>7163444</v>
      </c>
      <c r="L633" s="5">
        <v>13732.13</v>
      </c>
      <c r="M633" s="5">
        <v>67225</v>
      </c>
      <c r="N633" s="5">
        <v>2689344</v>
      </c>
      <c r="O633" s="5">
        <v>37.54</v>
      </c>
      <c r="P633" s="5">
        <f t="shared" si="50"/>
        <v>-7.9000000000000057</v>
      </c>
      <c r="Q633" s="6">
        <f t="shared" si="51"/>
        <v>-3.9939332659251793E-2</v>
      </c>
      <c r="R633" s="5">
        <f t="shared" si="52"/>
        <v>7.6999999999999886</v>
      </c>
      <c r="S633" s="6">
        <f t="shared" si="53"/>
        <v>3.892821031344787E-2</v>
      </c>
      <c r="T633" s="6">
        <f t="shared" si="54"/>
        <v>-9.3324692158132626E-3</v>
      </c>
    </row>
    <row r="634" spans="1:20" hidden="1" x14ac:dyDescent="0.25">
      <c r="A634" s="4" t="s">
        <v>643</v>
      </c>
      <c r="B634" s="5" t="s">
        <v>42</v>
      </c>
      <c r="C634" s="5" t="s">
        <v>1823</v>
      </c>
      <c r="D634" s="5">
        <v>9.5</v>
      </c>
      <c r="E634" s="5">
        <v>9.4499999999999993</v>
      </c>
      <c r="F634" s="5">
        <v>9.4499999999999993</v>
      </c>
      <c r="G634" s="5">
        <v>9.35</v>
      </c>
      <c r="H634" s="5">
        <v>9.35</v>
      </c>
      <c r="I634" s="5">
        <v>9.35</v>
      </c>
      <c r="J634" s="5">
        <v>9.41</v>
      </c>
      <c r="K634" s="5">
        <v>6708</v>
      </c>
      <c r="L634" s="5">
        <v>0.63</v>
      </c>
      <c r="M634" s="5">
        <v>5</v>
      </c>
      <c r="N634" s="5">
        <v>6708</v>
      </c>
      <c r="O634" s="5">
        <v>100</v>
      </c>
      <c r="P634" s="5">
        <f t="shared" si="50"/>
        <v>-0.15000000000000036</v>
      </c>
      <c r="Q634" s="6">
        <f t="shared" si="51"/>
        <v>-1.5789473684210565E-2</v>
      </c>
      <c r="R634" s="5">
        <f t="shared" si="52"/>
        <v>9.9999999999999645E-2</v>
      </c>
      <c r="S634" s="6">
        <f t="shared" si="53"/>
        <v>1.0526315789473648E-2</v>
      </c>
      <c r="T634" s="6">
        <f t="shared" si="54"/>
        <v>-6.3829787234043079E-3</v>
      </c>
    </row>
    <row r="635" spans="1:20" hidden="1" x14ac:dyDescent="0.25">
      <c r="A635" s="4" t="s">
        <v>644</v>
      </c>
      <c r="B635" s="5" t="s">
        <v>16</v>
      </c>
      <c r="C635" s="5" t="s">
        <v>1823</v>
      </c>
      <c r="D635" s="5">
        <v>91.65</v>
      </c>
      <c r="E635" s="5">
        <v>91.8</v>
      </c>
      <c r="F635" s="5">
        <v>92.9</v>
      </c>
      <c r="G635" s="5">
        <v>88</v>
      </c>
      <c r="H635" s="5">
        <v>92.9</v>
      </c>
      <c r="I635" s="5">
        <v>91.75</v>
      </c>
      <c r="J635" s="5">
        <v>90.65</v>
      </c>
      <c r="K635" s="5">
        <v>10463</v>
      </c>
      <c r="L635" s="5">
        <v>9.48</v>
      </c>
      <c r="M635" s="5">
        <v>426</v>
      </c>
      <c r="N635" s="5">
        <v>5125</v>
      </c>
      <c r="O635" s="5">
        <v>48.98</v>
      </c>
      <c r="P635" s="5">
        <f t="shared" si="50"/>
        <v>9.9999999999994316E-2</v>
      </c>
      <c r="Q635" s="6">
        <f t="shared" si="51"/>
        <v>1.0911074740861354E-3</v>
      </c>
      <c r="R635" s="5">
        <f t="shared" si="52"/>
        <v>4.9000000000000057</v>
      </c>
      <c r="S635" s="6">
        <f t="shared" si="53"/>
        <v>5.3464266230223732E-2</v>
      </c>
      <c r="T635" s="6">
        <f t="shared" si="54"/>
        <v>1.207298669227597E-2</v>
      </c>
    </row>
    <row r="636" spans="1:20" hidden="1" x14ac:dyDescent="0.25">
      <c r="A636" s="4" t="s">
        <v>645</v>
      </c>
      <c r="B636" s="5" t="s">
        <v>16</v>
      </c>
      <c r="C636" s="5" t="s">
        <v>1823</v>
      </c>
      <c r="D636" s="5">
        <v>393.2</v>
      </c>
      <c r="E636" s="5">
        <v>390</v>
      </c>
      <c r="F636" s="5">
        <v>398</v>
      </c>
      <c r="G636" s="5">
        <v>386</v>
      </c>
      <c r="H636" s="5">
        <v>393.4</v>
      </c>
      <c r="I636" s="5">
        <v>387.45</v>
      </c>
      <c r="J636" s="5">
        <v>391.92</v>
      </c>
      <c r="K636" s="5">
        <v>12619</v>
      </c>
      <c r="L636" s="5">
        <v>49.46</v>
      </c>
      <c r="M636" s="5">
        <v>814</v>
      </c>
      <c r="N636" s="5">
        <v>8024</v>
      </c>
      <c r="O636" s="5">
        <v>63.59</v>
      </c>
      <c r="P636" s="5">
        <f t="shared" si="50"/>
        <v>-5.75</v>
      </c>
      <c r="Q636" s="6">
        <f t="shared" si="51"/>
        <v>-1.4623601220752798E-2</v>
      </c>
      <c r="R636" s="5">
        <f t="shared" si="52"/>
        <v>12</v>
      </c>
      <c r="S636" s="6">
        <f t="shared" si="53"/>
        <v>3.0518819938962362E-2</v>
      </c>
      <c r="T636" s="6">
        <f t="shared" si="54"/>
        <v>-1.1450895001441037E-2</v>
      </c>
    </row>
    <row r="637" spans="1:20" x14ac:dyDescent="0.25">
      <c r="A637" s="4" t="s">
        <v>1301</v>
      </c>
      <c r="B637" s="5" t="s">
        <v>16</v>
      </c>
      <c r="C637" s="5" t="s">
        <v>1823</v>
      </c>
      <c r="D637" s="5">
        <v>107.25</v>
      </c>
      <c r="E637" s="5">
        <v>107.4</v>
      </c>
      <c r="F637" s="5">
        <v>109.8</v>
      </c>
      <c r="G637" s="5">
        <v>102.55</v>
      </c>
      <c r="H637" s="5">
        <v>103.85</v>
      </c>
      <c r="I637" s="5">
        <v>103.55</v>
      </c>
      <c r="J637" s="5">
        <v>105.99</v>
      </c>
      <c r="K637" s="5">
        <v>1234951</v>
      </c>
      <c r="L637" s="5">
        <v>1308.97</v>
      </c>
      <c r="M637" s="5">
        <v>10529</v>
      </c>
      <c r="N637" s="5">
        <v>468296</v>
      </c>
      <c r="O637" s="5">
        <v>37.92</v>
      </c>
      <c r="P637" s="5">
        <f t="shared" si="50"/>
        <v>-3.7000000000000028</v>
      </c>
      <c r="Q637" s="6">
        <f t="shared" si="51"/>
        <v>-3.4498834498834528E-2</v>
      </c>
      <c r="R637" s="5">
        <f t="shared" si="52"/>
        <v>7.25</v>
      </c>
      <c r="S637" s="6">
        <f t="shared" si="53"/>
        <v>6.75990675990676E-2</v>
      </c>
      <c r="T637" s="6">
        <f t="shared" si="54"/>
        <v>-2.3056933616820201E-2</v>
      </c>
    </row>
    <row r="638" spans="1:20" hidden="1" x14ac:dyDescent="0.25">
      <c r="A638" s="4" t="s">
        <v>647</v>
      </c>
      <c r="B638" s="5" t="s">
        <v>16</v>
      </c>
      <c r="C638" s="5" t="s">
        <v>1823</v>
      </c>
      <c r="D638" s="5">
        <v>2000.85</v>
      </c>
      <c r="E638" s="5">
        <v>2030</v>
      </c>
      <c r="F638" s="5">
        <v>2030</v>
      </c>
      <c r="G638" s="5">
        <v>1851</v>
      </c>
      <c r="H638" s="5">
        <v>1865</v>
      </c>
      <c r="I638" s="5">
        <v>1876.05</v>
      </c>
      <c r="J638" s="5">
        <v>1928.45</v>
      </c>
      <c r="K638" s="5">
        <v>21679</v>
      </c>
      <c r="L638" s="5">
        <v>418.07</v>
      </c>
      <c r="M638" s="5">
        <v>1902</v>
      </c>
      <c r="N638" s="5">
        <v>14714</v>
      </c>
      <c r="O638" s="5">
        <v>67.87</v>
      </c>
      <c r="P638" s="5">
        <f t="shared" si="50"/>
        <v>-124.79999999999995</v>
      </c>
      <c r="Q638" s="6">
        <f t="shared" si="51"/>
        <v>-6.237349126621184E-2</v>
      </c>
      <c r="R638" s="5">
        <f t="shared" si="52"/>
        <v>179</v>
      </c>
      <c r="S638" s="6">
        <f t="shared" si="53"/>
        <v>8.9461978659069893E-2</v>
      </c>
      <c r="T638" s="6">
        <f t="shared" si="54"/>
        <v>-2.6916483135462129E-2</v>
      </c>
    </row>
    <row r="639" spans="1:20" hidden="1" x14ac:dyDescent="0.25">
      <c r="A639" s="4" t="s">
        <v>648</v>
      </c>
      <c r="B639" s="5" t="s">
        <v>39</v>
      </c>
      <c r="C639" s="5" t="s">
        <v>1823</v>
      </c>
      <c r="D639" s="5">
        <v>5.3</v>
      </c>
      <c r="E639" s="5">
        <v>5.05</v>
      </c>
      <c r="F639" s="5">
        <v>5.05</v>
      </c>
      <c r="G639" s="5">
        <v>5.05</v>
      </c>
      <c r="H639" s="5">
        <v>5.05</v>
      </c>
      <c r="I639" s="5">
        <v>5.05</v>
      </c>
      <c r="J639" s="5">
        <v>5.05</v>
      </c>
      <c r="K639" s="5">
        <v>67432</v>
      </c>
      <c r="L639" s="5">
        <v>3.41</v>
      </c>
      <c r="M639" s="5">
        <v>46</v>
      </c>
      <c r="N639" s="5" t="s">
        <v>25</v>
      </c>
      <c r="O639" s="5" t="s">
        <v>25</v>
      </c>
      <c r="P639" s="5">
        <f t="shared" si="50"/>
        <v>-0.25</v>
      </c>
      <c r="Q639" s="6">
        <f t="shared" si="51"/>
        <v>-4.716981132075472E-2</v>
      </c>
      <c r="R639" s="5">
        <f t="shared" si="52"/>
        <v>0</v>
      </c>
      <c r="S639" s="6">
        <f t="shared" si="53"/>
        <v>0</v>
      </c>
      <c r="T639" s="6">
        <f t="shared" si="54"/>
        <v>0</v>
      </c>
    </row>
    <row r="640" spans="1:20" x14ac:dyDescent="0.25">
      <c r="A640" s="4" t="s">
        <v>696</v>
      </c>
      <c r="B640" s="5" t="s">
        <v>16</v>
      </c>
      <c r="C640" s="5" t="s">
        <v>1823</v>
      </c>
      <c r="D640" s="5">
        <v>183.45</v>
      </c>
      <c r="E640" s="5">
        <v>184.9</v>
      </c>
      <c r="F640" s="5">
        <v>184.9</v>
      </c>
      <c r="G640" s="5">
        <v>172.65</v>
      </c>
      <c r="H640" s="5">
        <v>175</v>
      </c>
      <c r="I640" s="5">
        <v>175.9</v>
      </c>
      <c r="J640" s="5">
        <v>177.21</v>
      </c>
      <c r="K640" s="5">
        <v>813144</v>
      </c>
      <c r="L640" s="5">
        <v>1440.99</v>
      </c>
      <c r="M640" s="5">
        <v>14228</v>
      </c>
      <c r="N640" s="5">
        <v>309716</v>
      </c>
      <c r="O640" s="5">
        <v>38.090000000000003</v>
      </c>
      <c r="P640" s="5">
        <f t="shared" si="50"/>
        <v>-7.5499999999999829</v>
      </c>
      <c r="Q640" s="6">
        <f t="shared" si="51"/>
        <v>-4.1155628236576633E-2</v>
      </c>
      <c r="R640" s="5">
        <f t="shared" si="52"/>
        <v>12.25</v>
      </c>
      <c r="S640" s="6">
        <f t="shared" si="53"/>
        <v>6.6775688198419197E-2</v>
      </c>
      <c r="T640" s="6">
        <f t="shared" si="54"/>
        <v>-7.2944943272778015E-3</v>
      </c>
    </row>
    <row r="641" spans="1:20" hidden="1" x14ac:dyDescent="0.25">
      <c r="A641" s="4" t="s">
        <v>650</v>
      </c>
      <c r="B641" s="5" t="s">
        <v>16</v>
      </c>
      <c r="C641" s="5" t="s">
        <v>1823</v>
      </c>
      <c r="D641" s="5">
        <v>19.100000000000001</v>
      </c>
      <c r="E641" s="5">
        <v>19.100000000000001</v>
      </c>
      <c r="F641" s="5">
        <v>19.100000000000001</v>
      </c>
      <c r="G641" s="5">
        <v>18.7</v>
      </c>
      <c r="H641" s="5">
        <v>18.8</v>
      </c>
      <c r="I641" s="5">
        <v>18.850000000000001</v>
      </c>
      <c r="J641" s="5">
        <v>18.86</v>
      </c>
      <c r="K641" s="5">
        <v>811296</v>
      </c>
      <c r="L641" s="5">
        <v>153.05000000000001</v>
      </c>
      <c r="M641" s="5">
        <v>11111</v>
      </c>
      <c r="N641" s="5">
        <v>377642</v>
      </c>
      <c r="O641" s="5">
        <v>46.55</v>
      </c>
      <c r="P641" s="5">
        <f t="shared" si="50"/>
        <v>-0.25</v>
      </c>
      <c r="Q641" s="6">
        <f t="shared" si="51"/>
        <v>-1.3089005235602092E-2</v>
      </c>
      <c r="R641" s="5">
        <f t="shared" si="52"/>
        <v>0.40000000000000213</v>
      </c>
      <c r="S641" s="6">
        <f t="shared" si="53"/>
        <v>2.094240837696346E-2</v>
      </c>
      <c r="T641" s="6">
        <f t="shared" si="54"/>
        <v>-5.2805280528042296E-4</v>
      </c>
    </row>
    <row r="642" spans="1:20" hidden="1" x14ac:dyDescent="0.25">
      <c r="A642" s="4" t="s">
        <v>651</v>
      </c>
      <c r="B642" s="5" t="s">
        <v>16</v>
      </c>
      <c r="C642" s="5" t="s">
        <v>1823</v>
      </c>
      <c r="D642" s="5">
        <v>196.55</v>
      </c>
      <c r="E642" s="5">
        <v>197</v>
      </c>
      <c r="F642" s="5">
        <v>200.05</v>
      </c>
      <c r="G642" s="5">
        <v>193.2</v>
      </c>
      <c r="H642" s="5">
        <v>197</v>
      </c>
      <c r="I642" s="5">
        <v>196.45</v>
      </c>
      <c r="J642" s="5">
        <v>197.41</v>
      </c>
      <c r="K642" s="5">
        <v>42347</v>
      </c>
      <c r="L642" s="5">
        <v>83.6</v>
      </c>
      <c r="M642" s="5">
        <v>1094</v>
      </c>
      <c r="N642" s="5">
        <v>30919</v>
      </c>
      <c r="O642" s="5">
        <v>73.010000000000005</v>
      </c>
      <c r="P642" s="5">
        <f t="shared" si="50"/>
        <v>-0.10000000000002274</v>
      </c>
      <c r="Q642" s="6">
        <f t="shared" si="51"/>
        <v>-5.0877639277549091E-4</v>
      </c>
      <c r="R642" s="5">
        <f t="shared" si="52"/>
        <v>6.8500000000000227</v>
      </c>
      <c r="S642" s="6">
        <f t="shared" si="53"/>
        <v>3.4851182905113319E-2</v>
      </c>
      <c r="T642" s="6">
        <f t="shared" si="54"/>
        <v>-4.8811491038515719E-3</v>
      </c>
    </row>
    <row r="643" spans="1:20" hidden="1" x14ac:dyDescent="0.25">
      <c r="A643" s="4" t="s">
        <v>652</v>
      </c>
      <c r="B643" s="5" t="s">
        <v>16</v>
      </c>
      <c r="C643" s="5" t="s">
        <v>1823</v>
      </c>
      <c r="D643" s="5">
        <v>599.15</v>
      </c>
      <c r="E643" s="5">
        <v>587</v>
      </c>
      <c r="F643" s="5">
        <v>600</v>
      </c>
      <c r="G643" s="5">
        <v>586</v>
      </c>
      <c r="H643" s="5">
        <v>590</v>
      </c>
      <c r="I643" s="5">
        <v>594</v>
      </c>
      <c r="J643" s="5">
        <v>592.24</v>
      </c>
      <c r="K643" s="5">
        <v>17225</v>
      </c>
      <c r="L643" s="5">
        <v>102.01</v>
      </c>
      <c r="M643" s="5">
        <v>1180</v>
      </c>
      <c r="N643" s="5">
        <v>9319</v>
      </c>
      <c r="O643" s="5">
        <v>54.1</v>
      </c>
      <c r="P643" s="5">
        <f t="shared" si="50"/>
        <v>-5.1499999999999773</v>
      </c>
      <c r="Q643" s="6">
        <f t="shared" si="51"/>
        <v>-8.5955103062671737E-3</v>
      </c>
      <c r="R643" s="5">
        <f t="shared" si="52"/>
        <v>14</v>
      </c>
      <c r="S643" s="6">
        <f t="shared" si="53"/>
        <v>2.3366435784027372E-2</v>
      </c>
      <c r="T643" s="6">
        <f t="shared" si="54"/>
        <v>2.9742289818335292E-3</v>
      </c>
    </row>
    <row r="644" spans="1:20" hidden="1" x14ac:dyDescent="0.25">
      <c r="A644" s="4" t="s">
        <v>653</v>
      </c>
      <c r="B644" s="5" t="s">
        <v>42</v>
      </c>
      <c r="C644" s="5" t="s">
        <v>1823</v>
      </c>
      <c r="D644" s="5">
        <v>8.64</v>
      </c>
      <c r="E644" s="5">
        <v>8.39</v>
      </c>
      <c r="F644" s="5">
        <v>8.41</v>
      </c>
      <c r="G644" s="5">
        <v>8.39</v>
      </c>
      <c r="H644" s="5">
        <v>8.39</v>
      </c>
      <c r="I644" s="5">
        <v>8.39</v>
      </c>
      <c r="J644" s="5">
        <v>8.4</v>
      </c>
      <c r="K644" s="5">
        <v>24819</v>
      </c>
      <c r="L644" s="5">
        <v>2.08</v>
      </c>
      <c r="M644" s="5">
        <v>7</v>
      </c>
      <c r="N644" s="5">
        <v>24819</v>
      </c>
      <c r="O644" s="5">
        <v>100</v>
      </c>
      <c r="P644" s="5">
        <f t="shared" si="50"/>
        <v>-0.25</v>
      </c>
      <c r="Q644" s="6">
        <f t="shared" si="51"/>
        <v>-2.8935185185185182E-2</v>
      </c>
      <c r="R644" s="5">
        <f t="shared" si="52"/>
        <v>1.9999999999999574E-2</v>
      </c>
      <c r="S644" s="6">
        <f t="shared" si="53"/>
        <v>2.3148148148147652E-3</v>
      </c>
      <c r="T644" s="6">
        <f t="shared" si="54"/>
        <v>-1.1911852293031314E-3</v>
      </c>
    </row>
    <row r="645" spans="1:20" hidden="1" x14ac:dyDescent="0.25">
      <c r="A645" s="4" t="s">
        <v>654</v>
      </c>
      <c r="B645" s="5" t="s">
        <v>24</v>
      </c>
      <c r="C645" s="5" t="s">
        <v>1823</v>
      </c>
      <c r="D645" s="5">
        <v>0.85</v>
      </c>
      <c r="E645" s="5">
        <v>0.8</v>
      </c>
      <c r="F645" s="5">
        <v>0.8</v>
      </c>
      <c r="G645" s="5">
        <v>0.8</v>
      </c>
      <c r="H645" s="5">
        <v>0.8</v>
      </c>
      <c r="I645" s="5">
        <v>0.8</v>
      </c>
      <c r="J645" s="5">
        <v>0.8</v>
      </c>
      <c r="K645" s="5">
        <v>40491</v>
      </c>
      <c r="L645" s="5">
        <v>0.32</v>
      </c>
      <c r="M645" s="5">
        <v>38</v>
      </c>
      <c r="N645" s="5" t="s">
        <v>25</v>
      </c>
      <c r="O645" s="5" t="s">
        <v>25</v>
      </c>
      <c r="P645" s="5">
        <f t="shared" si="50"/>
        <v>-4.9999999999999933E-2</v>
      </c>
      <c r="Q645" s="6">
        <f t="shared" si="51"/>
        <v>-5.8823529411764629E-2</v>
      </c>
      <c r="R645" s="5">
        <f t="shared" si="52"/>
        <v>0</v>
      </c>
      <c r="S645" s="6">
        <f t="shared" si="53"/>
        <v>0</v>
      </c>
      <c r="T645" s="6">
        <f t="shared" si="54"/>
        <v>0</v>
      </c>
    </row>
    <row r="646" spans="1:20" x14ac:dyDescent="0.25">
      <c r="A646" s="4" t="s">
        <v>495</v>
      </c>
      <c r="B646" s="5" t="s">
        <v>16</v>
      </c>
      <c r="C646" s="5" t="s">
        <v>1823</v>
      </c>
      <c r="D646" s="5">
        <v>42.05</v>
      </c>
      <c r="E646" s="5">
        <v>42.1</v>
      </c>
      <c r="F646" s="5">
        <v>42.45</v>
      </c>
      <c r="G646" s="5">
        <v>40.049999999999997</v>
      </c>
      <c r="H646" s="5">
        <v>40.450000000000003</v>
      </c>
      <c r="I646" s="5">
        <v>40.5</v>
      </c>
      <c r="J646" s="5">
        <v>41.51</v>
      </c>
      <c r="K646" s="5">
        <v>217782</v>
      </c>
      <c r="L646" s="5">
        <v>90.4</v>
      </c>
      <c r="M646" s="5">
        <v>1569</v>
      </c>
      <c r="N646" s="5">
        <v>83333</v>
      </c>
      <c r="O646" s="5">
        <v>38.26</v>
      </c>
      <c r="P646" s="5">
        <f t="shared" si="50"/>
        <v>-1.5499999999999972</v>
      </c>
      <c r="Q646" s="6">
        <f t="shared" si="51"/>
        <v>-3.6860879904875084E-2</v>
      </c>
      <c r="R646" s="5">
        <f t="shared" si="52"/>
        <v>2.4000000000000057</v>
      </c>
      <c r="S646" s="6">
        <f t="shared" si="53"/>
        <v>5.7074910820451984E-2</v>
      </c>
      <c r="T646" s="6">
        <f t="shared" si="54"/>
        <v>-2.4470018170805522E-2</v>
      </c>
    </row>
    <row r="647" spans="1:20" hidden="1" x14ac:dyDescent="0.25">
      <c r="A647" s="4" t="s">
        <v>656</v>
      </c>
      <c r="B647" s="5" t="s">
        <v>16</v>
      </c>
      <c r="C647" s="5" t="s">
        <v>1823</v>
      </c>
      <c r="D647" s="5">
        <v>1362.95</v>
      </c>
      <c r="E647" s="5">
        <v>1393.9</v>
      </c>
      <c r="F647" s="5">
        <v>1393.9</v>
      </c>
      <c r="G647" s="5">
        <v>1340.3</v>
      </c>
      <c r="H647" s="5">
        <v>1356</v>
      </c>
      <c r="I647" s="5">
        <v>1349.55</v>
      </c>
      <c r="J647" s="5">
        <v>1362.23</v>
      </c>
      <c r="K647" s="5">
        <v>11911</v>
      </c>
      <c r="L647" s="5">
        <v>162.25</v>
      </c>
      <c r="M647" s="5">
        <v>2813</v>
      </c>
      <c r="N647" s="5">
        <v>7367</v>
      </c>
      <c r="O647" s="5">
        <v>61.85</v>
      </c>
      <c r="P647" s="5">
        <f t="shared" si="50"/>
        <v>-13.400000000000091</v>
      </c>
      <c r="Q647" s="6">
        <f t="shared" si="51"/>
        <v>-9.831615246340724E-3</v>
      </c>
      <c r="R647" s="5">
        <f t="shared" si="52"/>
        <v>53.600000000000136</v>
      </c>
      <c r="S647" s="6">
        <f t="shared" si="53"/>
        <v>3.9326460985362729E-2</v>
      </c>
      <c r="T647" s="6">
        <f t="shared" si="54"/>
        <v>-9.2594452000402082E-3</v>
      </c>
    </row>
    <row r="648" spans="1:20" hidden="1" x14ac:dyDescent="0.25">
      <c r="A648" s="4" t="s">
        <v>657</v>
      </c>
      <c r="B648" s="5" t="s">
        <v>16</v>
      </c>
      <c r="C648" s="5" t="s">
        <v>1823</v>
      </c>
      <c r="D648" s="5">
        <v>10.15</v>
      </c>
      <c r="E648" s="5">
        <v>10.75</v>
      </c>
      <c r="F648" s="5">
        <v>10.75</v>
      </c>
      <c r="G648" s="5">
        <v>9.5</v>
      </c>
      <c r="H648" s="5">
        <v>9.9</v>
      </c>
      <c r="I648" s="5">
        <v>9.9</v>
      </c>
      <c r="J648" s="5">
        <v>9.8000000000000007</v>
      </c>
      <c r="K648" s="5">
        <v>1710</v>
      </c>
      <c r="L648" s="5">
        <v>0.17</v>
      </c>
      <c r="M648" s="5">
        <v>27</v>
      </c>
      <c r="N648" s="5">
        <v>1445</v>
      </c>
      <c r="O648" s="5">
        <v>84.5</v>
      </c>
      <c r="P648" s="5">
        <f t="shared" si="50"/>
        <v>-0.25</v>
      </c>
      <c r="Q648" s="6">
        <f t="shared" si="51"/>
        <v>-2.463054187192118E-2</v>
      </c>
      <c r="R648" s="5">
        <f t="shared" si="52"/>
        <v>1.25</v>
      </c>
      <c r="S648" s="6">
        <f t="shared" si="53"/>
        <v>0.12315270935960591</v>
      </c>
      <c r="T648" s="6">
        <f t="shared" si="54"/>
        <v>9.779951100244464E-3</v>
      </c>
    </row>
    <row r="649" spans="1:20" hidden="1" x14ac:dyDescent="0.25">
      <c r="A649" s="4" t="s">
        <v>658</v>
      </c>
      <c r="B649" s="5" t="s">
        <v>16</v>
      </c>
      <c r="C649" s="5" t="s">
        <v>1823</v>
      </c>
      <c r="D649" s="5">
        <v>153.1</v>
      </c>
      <c r="E649" s="5">
        <v>152.69999999999999</v>
      </c>
      <c r="F649" s="5">
        <v>152.69999999999999</v>
      </c>
      <c r="G649" s="5">
        <v>147.15</v>
      </c>
      <c r="H649" s="5">
        <v>147.15</v>
      </c>
      <c r="I649" s="5">
        <v>147.80000000000001</v>
      </c>
      <c r="J649" s="5">
        <v>148.96</v>
      </c>
      <c r="K649" s="5">
        <v>43324</v>
      </c>
      <c r="L649" s="5">
        <v>64.53</v>
      </c>
      <c r="M649" s="5">
        <v>1261</v>
      </c>
      <c r="N649" s="5">
        <v>20130</v>
      </c>
      <c r="O649" s="5">
        <v>46.46</v>
      </c>
      <c r="P649" s="5">
        <f t="shared" si="50"/>
        <v>-5.2999999999999829</v>
      </c>
      <c r="Q649" s="6">
        <f t="shared" si="51"/>
        <v>-3.4617896799477355E-2</v>
      </c>
      <c r="R649" s="5">
        <f t="shared" si="52"/>
        <v>5.5499999999999829</v>
      </c>
      <c r="S649" s="6">
        <f t="shared" si="53"/>
        <v>3.6250816459830068E-2</v>
      </c>
      <c r="T649" s="6">
        <f t="shared" si="54"/>
        <v>-7.7288248521695463E-3</v>
      </c>
    </row>
    <row r="650" spans="1:20" x14ac:dyDescent="0.25">
      <c r="A650" s="4" t="s">
        <v>794</v>
      </c>
      <c r="B650" s="5" t="s">
        <v>16</v>
      </c>
      <c r="C650" s="5" t="s">
        <v>1823</v>
      </c>
      <c r="D650" s="5">
        <v>90.15</v>
      </c>
      <c r="E650" s="5">
        <v>89.05</v>
      </c>
      <c r="F650" s="5">
        <v>93.35</v>
      </c>
      <c r="G650" s="5">
        <v>85.75</v>
      </c>
      <c r="H650" s="5">
        <v>86.25</v>
      </c>
      <c r="I650" s="5">
        <v>86.6</v>
      </c>
      <c r="J650" s="5">
        <v>89.03</v>
      </c>
      <c r="K650" s="5">
        <v>709920</v>
      </c>
      <c r="L650" s="5">
        <v>632.01</v>
      </c>
      <c r="M650" s="5">
        <v>8948</v>
      </c>
      <c r="N650" s="5">
        <v>272068</v>
      </c>
      <c r="O650" s="5">
        <v>38.32</v>
      </c>
      <c r="P650" s="5">
        <f t="shared" si="50"/>
        <v>-3.5500000000000114</v>
      </c>
      <c r="Q650" s="6">
        <f t="shared" si="51"/>
        <v>-3.9378813089295743E-2</v>
      </c>
      <c r="R650" s="5">
        <f t="shared" si="52"/>
        <v>7.5999999999999943</v>
      </c>
      <c r="S650" s="6">
        <f t="shared" si="53"/>
        <v>8.4303937881308855E-2</v>
      </c>
      <c r="T650" s="6">
        <f t="shared" si="54"/>
        <v>-2.7399577167019105E-2</v>
      </c>
    </row>
    <row r="651" spans="1:20" hidden="1" x14ac:dyDescent="0.25">
      <c r="A651" s="4" t="s">
        <v>660</v>
      </c>
      <c r="B651" s="5" t="s">
        <v>16</v>
      </c>
      <c r="C651" s="5" t="s">
        <v>1823</v>
      </c>
      <c r="D651" s="5">
        <v>183.6</v>
      </c>
      <c r="E651" s="5">
        <v>184.75</v>
      </c>
      <c r="F651" s="5">
        <v>193.3</v>
      </c>
      <c r="G651" s="5">
        <v>179</v>
      </c>
      <c r="H651" s="5">
        <v>181.05</v>
      </c>
      <c r="I651" s="5">
        <v>187.65</v>
      </c>
      <c r="J651" s="5">
        <v>186.14</v>
      </c>
      <c r="K651" s="5">
        <v>3411</v>
      </c>
      <c r="L651" s="5">
        <v>6.35</v>
      </c>
      <c r="M651" s="5">
        <v>410</v>
      </c>
      <c r="N651" s="5">
        <v>1876</v>
      </c>
      <c r="O651" s="5">
        <v>55</v>
      </c>
      <c r="P651" s="5">
        <f t="shared" si="50"/>
        <v>4.0500000000000114</v>
      </c>
      <c r="Q651" s="6">
        <f t="shared" si="51"/>
        <v>2.2058823529411829E-2</v>
      </c>
      <c r="R651" s="5">
        <f t="shared" si="52"/>
        <v>14.300000000000011</v>
      </c>
      <c r="S651" s="6">
        <f t="shared" si="53"/>
        <v>7.7886710239651477E-2</v>
      </c>
      <c r="T651" s="6">
        <f t="shared" si="54"/>
        <v>8.110648583322248E-3</v>
      </c>
    </row>
    <row r="652" spans="1:20" x14ac:dyDescent="0.25">
      <c r="A652" s="4" t="s">
        <v>534</v>
      </c>
      <c r="B652" s="5" t="s">
        <v>16</v>
      </c>
      <c r="C652" s="5" t="s">
        <v>1823</v>
      </c>
      <c r="D652" s="5">
        <v>53.55</v>
      </c>
      <c r="E652" s="5">
        <v>52.55</v>
      </c>
      <c r="F652" s="5">
        <v>56.2</v>
      </c>
      <c r="G652" s="5">
        <v>52</v>
      </c>
      <c r="H652" s="5">
        <v>55.75</v>
      </c>
      <c r="I652" s="5">
        <v>55.6</v>
      </c>
      <c r="J652" s="5">
        <v>55.25</v>
      </c>
      <c r="K652" s="5">
        <v>2473471</v>
      </c>
      <c r="L652" s="5">
        <v>1366.64</v>
      </c>
      <c r="M652" s="5">
        <v>10161</v>
      </c>
      <c r="N652" s="5">
        <v>948983</v>
      </c>
      <c r="O652" s="5">
        <v>38.369999999999997</v>
      </c>
      <c r="P652" s="5">
        <f t="shared" ref="P652:P715" si="55">I652-D652</f>
        <v>2.0500000000000043</v>
      </c>
      <c r="Q652" s="6">
        <f t="shared" ref="Q652:Q715" si="56">P652/D652</f>
        <v>3.8281979458450126E-2</v>
      </c>
      <c r="R652" s="5">
        <f t="shared" ref="R652:R715" si="57">ABS(F652-G652)</f>
        <v>4.2000000000000028</v>
      </c>
      <c r="S652" s="6">
        <f t="shared" ref="S652:S715" si="58">R652/D652</f>
        <v>7.8431372549019662E-2</v>
      </c>
      <c r="T652" s="6">
        <f t="shared" ref="T652:T715" si="59">(I652-J652)/AVERAGE(E652:G652,I652)</f>
        <v>6.4709960711809835E-3</v>
      </c>
    </row>
    <row r="653" spans="1:20" hidden="1" x14ac:dyDescent="0.25">
      <c r="A653" s="4" t="s">
        <v>662</v>
      </c>
      <c r="B653" s="5" t="s">
        <v>16</v>
      </c>
      <c r="C653" s="5" t="s">
        <v>1823</v>
      </c>
      <c r="D653" s="5">
        <v>6.6</v>
      </c>
      <c r="E653" s="5">
        <v>6.35</v>
      </c>
      <c r="F653" s="5">
        <v>6.6</v>
      </c>
      <c r="G653" s="5">
        <v>6.35</v>
      </c>
      <c r="H653" s="5">
        <v>6.4</v>
      </c>
      <c r="I653" s="5">
        <v>6.4</v>
      </c>
      <c r="J653" s="5">
        <v>6.48</v>
      </c>
      <c r="K653" s="5">
        <v>55211</v>
      </c>
      <c r="L653" s="5">
        <v>3.58</v>
      </c>
      <c r="M653" s="5">
        <v>224</v>
      </c>
      <c r="N653" s="5">
        <v>44023</v>
      </c>
      <c r="O653" s="5">
        <v>79.739999999999995</v>
      </c>
      <c r="P653" s="5">
        <f t="shared" si="55"/>
        <v>-0.19999999999999929</v>
      </c>
      <c r="Q653" s="6">
        <f t="shared" si="56"/>
        <v>-3.0303030303030196E-2</v>
      </c>
      <c r="R653" s="5">
        <f t="shared" si="57"/>
        <v>0.25</v>
      </c>
      <c r="S653" s="6">
        <f t="shared" si="58"/>
        <v>3.787878787878788E-2</v>
      </c>
      <c r="T653" s="6">
        <f t="shared" si="59"/>
        <v>-1.2451361867704293E-2</v>
      </c>
    </row>
    <row r="654" spans="1:20" hidden="1" x14ac:dyDescent="0.25">
      <c r="A654" s="4" t="s">
        <v>663</v>
      </c>
      <c r="B654" s="5" t="s">
        <v>16</v>
      </c>
      <c r="C654" s="5" t="s">
        <v>1823</v>
      </c>
      <c r="D654" s="5">
        <v>34.549999999999997</v>
      </c>
      <c r="E654" s="5">
        <v>36.25</v>
      </c>
      <c r="F654" s="5">
        <v>36.25</v>
      </c>
      <c r="G654" s="5">
        <v>36.25</v>
      </c>
      <c r="H654" s="5">
        <v>36.25</v>
      </c>
      <c r="I654" s="5">
        <v>36.25</v>
      </c>
      <c r="J654" s="5">
        <v>36.25</v>
      </c>
      <c r="K654" s="5">
        <v>70</v>
      </c>
      <c r="L654" s="5">
        <v>0.03</v>
      </c>
      <c r="M654" s="5">
        <v>5</v>
      </c>
      <c r="N654" s="5">
        <v>70</v>
      </c>
      <c r="O654" s="5">
        <v>100</v>
      </c>
      <c r="P654" s="5">
        <f t="shared" si="55"/>
        <v>1.7000000000000028</v>
      </c>
      <c r="Q654" s="6">
        <f t="shared" si="56"/>
        <v>4.9204052098408189E-2</v>
      </c>
      <c r="R654" s="5">
        <f t="shared" si="57"/>
        <v>0</v>
      </c>
      <c r="S654" s="6">
        <f t="shared" si="58"/>
        <v>0</v>
      </c>
      <c r="T654" s="6">
        <f t="shared" si="59"/>
        <v>0</v>
      </c>
    </row>
    <row r="655" spans="1:20" hidden="1" x14ac:dyDescent="0.25">
      <c r="A655" s="4" t="s">
        <v>664</v>
      </c>
      <c r="B655" s="5" t="s">
        <v>16</v>
      </c>
      <c r="C655" s="5" t="s">
        <v>1823</v>
      </c>
      <c r="D655" s="5">
        <v>104.85</v>
      </c>
      <c r="E655" s="5">
        <v>102.25</v>
      </c>
      <c r="F655" s="5">
        <v>104</v>
      </c>
      <c r="G655" s="5">
        <v>100.35</v>
      </c>
      <c r="H655" s="5">
        <v>101.3</v>
      </c>
      <c r="I655" s="5">
        <v>101.9</v>
      </c>
      <c r="J655" s="5">
        <v>102.11</v>
      </c>
      <c r="K655" s="5">
        <v>85172</v>
      </c>
      <c r="L655" s="5">
        <v>86.97</v>
      </c>
      <c r="M655" s="5">
        <v>1506</v>
      </c>
      <c r="N655" s="5">
        <v>36227</v>
      </c>
      <c r="O655" s="5">
        <v>42.53</v>
      </c>
      <c r="P655" s="5">
        <f t="shared" si="55"/>
        <v>-2.9499999999999886</v>
      </c>
      <c r="Q655" s="6">
        <f t="shared" si="56"/>
        <v>-2.8135431568907857E-2</v>
      </c>
      <c r="R655" s="5">
        <f t="shared" si="57"/>
        <v>3.6500000000000057</v>
      </c>
      <c r="S655" s="6">
        <f t="shared" si="58"/>
        <v>3.4811635670004823E-2</v>
      </c>
      <c r="T655" s="6">
        <f t="shared" si="59"/>
        <v>-2.0563035495715421E-3</v>
      </c>
    </row>
    <row r="656" spans="1:20" x14ac:dyDescent="0.25">
      <c r="A656" s="4" t="s">
        <v>1372</v>
      </c>
      <c r="B656" s="5" t="s">
        <v>16</v>
      </c>
      <c r="C656" s="5" t="s">
        <v>1823</v>
      </c>
      <c r="D656" s="5">
        <v>26.75</v>
      </c>
      <c r="E656" s="5">
        <v>26.55</v>
      </c>
      <c r="F656" s="5">
        <v>26.55</v>
      </c>
      <c r="G656" s="5">
        <v>25.3</v>
      </c>
      <c r="H656" s="5">
        <v>25.4</v>
      </c>
      <c r="I656" s="5">
        <v>25.5</v>
      </c>
      <c r="J656" s="5">
        <v>25.92</v>
      </c>
      <c r="K656" s="5">
        <v>5755433</v>
      </c>
      <c r="L656" s="5">
        <v>1492.05</v>
      </c>
      <c r="M656" s="5">
        <v>10879</v>
      </c>
      <c r="N656" s="5">
        <v>2220137</v>
      </c>
      <c r="O656" s="5">
        <v>38.57</v>
      </c>
      <c r="P656" s="5">
        <f t="shared" si="55"/>
        <v>-1.25</v>
      </c>
      <c r="Q656" s="6">
        <f t="shared" si="56"/>
        <v>-4.6728971962616821E-2</v>
      </c>
      <c r="R656" s="5">
        <f t="shared" si="57"/>
        <v>1.25</v>
      </c>
      <c r="S656" s="6">
        <f t="shared" si="58"/>
        <v>4.6728971962616821E-2</v>
      </c>
      <c r="T656" s="6">
        <f t="shared" si="59"/>
        <v>-1.6169393647738273E-2</v>
      </c>
    </row>
    <row r="657" spans="1:20" hidden="1" x14ac:dyDescent="0.25">
      <c r="A657" s="4" t="s">
        <v>666</v>
      </c>
      <c r="B657" s="5" t="s">
        <v>16</v>
      </c>
      <c r="C657" s="5" t="s">
        <v>1823</v>
      </c>
      <c r="D657" s="5">
        <v>340.7</v>
      </c>
      <c r="E657" s="5">
        <v>348.95</v>
      </c>
      <c r="F657" s="5">
        <v>348.95</v>
      </c>
      <c r="G657" s="5">
        <v>336.95</v>
      </c>
      <c r="H657" s="5">
        <v>337.1</v>
      </c>
      <c r="I657" s="5">
        <v>339.75</v>
      </c>
      <c r="J657" s="5">
        <v>338.31</v>
      </c>
      <c r="K657" s="5">
        <v>1013</v>
      </c>
      <c r="L657" s="5">
        <v>3.43</v>
      </c>
      <c r="M657" s="5">
        <v>75</v>
      </c>
      <c r="N657" s="5">
        <v>683</v>
      </c>
      <c r="O657" s="5">
        <v>67.42</v>
      </c>
      <c r="P657" s="5">
        <f t="shared" si="55"/>
        <v>-0.94999999999998863</v>
      </c>
      <c r="Q657" s="6">
        <f t="shared" si="56"/>
        <v>-2.7883768711476041E-3</v>
      </c>
      <c r="R657" s="5">
        <f t="shared" si="57"/>
        <v>12</v>
      </c>
      <c r="S657" s="6">
        <f t="shared" si="58"/>
        <v>3.5221602582917524E-2</v>
      </c>
      <c r="T657" s="6">
        <f t="shared" si="59"/>
        <v>4.1903099083369644E-3</v>
      </c>
    </row>
    <row r="658" spans="1:20" hidden="1" x14ac:dyDescent="0.25">
      <c r="A658" s="4" t="s">
        <v>667</v>
      </c>
      <c r="B658" s="5" t="s">
        <v>16</v>
      </c>
      <c r="C658" s="5" t="s">
        <v>1823</v>
      </c>
      <c r="D658" s="5">
        <v>2050.4499999999998</v>
      </c>
      <c r="E658" s="5">
        <v>2041</v>
      </c>
      <c r="F658" s="5">
        <v>2062.4499999999998</v>
      </c>
      <c r="G658" s="5">
        <v>2011.85</v>
      </c>
      <c r="H658" s="5">
        <v>2057</v>
      </c>
      <c r="I658" s="5">
        <v>2051.5</v>
      </c>
      <c r="J658" s="5">
        <v>2030</v>
      </c>
      <c r="K658" s="5">
        <v>1874109</v>
      </c>
      <c r="L658" s="5">
        <v>38044.400000000001</v>
      </c>
      <c r="M658" s="5">
        <v>120396</v>
      </c>
      <c r="N658" s="5">
        <v>1293379</v>
      </c>
      <c r="O658" s="5">
        <v>69.010000000000005</v>
      </c>
      <c r="P658" s="5">
        <f t="shared" si="55"/>
        <v>1.0500000000001819</v>
      </c>
      <c r="Q658" s="6">
        <f t="shared" si="56"/>
        <v>5.120827135507728E-4</v>
      </c>
      <c r="R658" s="5">
        <f t="shared" si="57"/>
        <v>50.599999999999909</v>
      </c>
      <c r="S658" s="6">
        <f t="shared" si="58"/>
        <v>2.4677509814918633E-2</v>
      </c>
      <c r="T658" s="6">
        <f t="shared" si="59"/>
        <v>1.0530440319341725E-2</v>
      </c>
    </row>
    <row r="659" spans="1:20" x14ac:dyDescent="0.25">
      <c r="A659" s="4" t="s">
        <v>590</v>
      </c>
      <c r="B659" s="5" t="s">
        <v>16</v>
      </c>
      <c r="C659" s="5" t="s">
        <v>1823</v>
      </c>
      <c r="D659" s="5">
        <v>749.7</v>
      </c>
      <c r="E659" s="5">
        <v>742.25</v>
      </c>
      <c r="F659" s="5">
        <v>744.75</v>
      </c>
      <c r="G659" s="5">
        <v>718.3</v>
      </c>
      <c r="H659" s="5">
        <v>725</v>
      </c>
      <c r="I659" s="5">
        <v>724.15</v>
      </c>
      <c r="J659" s="5">
        <v>731.94</v>
      </c>
      <c r="K659" s="5">
        <v>1352479</v>
      </c>
      <c r="L659" s="5">
        <v>9899.2999999999993</v>
      </c>
      <c r="M659" s="5">
        <v>40346</v>
      </c>
      <c r="N659" s="5">
        <v>524481</v>
      </c>
      <c r="O659" s="5">
        <v>38.78</v>
      </c>
      <c r="P659" s="5">
        <f t="shared" si="55"/>
        <v>-25.550000000000068</v>
      </c>
      <c r="Q659" s="6">
        <f t="shared" si="56"/>
        <v>-3.4080298786181226E-2</v>
      </c>
      <c r="R659" s="5">
        <f t="shared" si="57"/>
        <v>26.450000000000045</v>
      </c>
      <c r="S659" s="6">
        <f t="shared" si="58"/>
        <v>3.5280778978258029E-2</v>
      </c>
      <c r="T659" s="6">
        <f t="shared" si="59"/>
        <v>-1.0636808957312911E-2</v>
      </c>
    </row>
    <row r="660" spans="1:20" hidden="1" x14ac:dyDescent="0.25">
      <c r="A660" s="4" t="s">
        <v>669</v>
      </c>
      <c r="B660" s="5" t="s">
        <v>16</v>
      </c>
      <c r="C660" s="5" t="s">
        <v>1823</v>
      </c>
      <c r="D660" s="5">
        <v>150.5</v>
      </c>
      <c r="E660" s="5">
        <v>148.55000000000001</v>
      </c>
      <c r="F660" s="5">
        <v>152</v>
      </c>
      <c r="G660" s="5">
        <v>144</v>
      </c>
      <c r="H660" s="5">
        <v>150.9</v>
      </c>
      <c r="I660" s="5">
        <v>149.94999999999999</v>
      </c>
      <c r="J660" s="5">
        <v>149.12</v>
      </c>
      <c r="K660" s="5">
        <v>9290</v>
      </c>
      <c r="L660" s="5">
        <v>13.85</v>
      </c>
      <c r="M660" s="5">
        <v>297</v>
      </c>
      <c r="N660" s="5">
        <v>6484</v>
      </c>
      <c r="O660" s="5">
        <v>69.8</v>
      </c>
      <c r="P660" s="5">
        <f t="shared" si="55"/>
        <v>-0.55000000000001137</v>
      </c>
      <c r="Q660" s="6">
        <f t="shared" si="56"/>
        <v>-3.6544850498339628E-3</v>
      </c>
      <c r="R660" s="5">
        <f t="shared" si="57"/>
        <v>8</v>
      </c>
      <c r="S660" s="6">
        <f t="shared" si="58"/>
        <v>5.3156146179401995E-2</v>
      </c>
      <c r="T660" s="6">
        <f t="shared" si="59"/>
        <v>5.5845248107652418E-3</v>
      </c>
    </row>
    <row r="661" spans="1:20" hidden="1" x14ac:dyDescent="0.25">
      <c r="A661" s="4" t="s">
        <v>670</v>
      </c>
      <c r="B661" s="5" t="s">
        <v>16</v>
      </c>
      <c r="C661" s="5" t="s">
        <v>1823</v>
      </c>
      <c r="D661" s="5">
        <v>52.6</v>
      </c>
      <c r="E661" s="5">
        <v>52.5</v>
      </c>
      <c r="F661" s="5">
        <v>52.5</v>
      </c>
      <c r="G661" s="5">
        <v>50.05</v>
      </c>
      <c r="H661" s="5">
        <v>51.5</v>
      </c>
      <c r="I661" s="5">
        <v>51.45</v>
      </c>
      <c r="J661" s="5">
        <v>51.28</v>
      </c>
      <c r="K661" s="5">
        <v>1583</v>
      </c>
      <c r="L661" s="5">
        <v>0.81</v>
      </c>
      <c r="M661" s="5">
        <v>42</v>
      </c>
      <c r="N661" s="5">
        <v>1134</v>
      </c>
      <c r="O661" s="5">
        <v>71.64</v>
      </c>
      <c r="P661" s="5">
        <f t="shared" si="55"/>
        <v>-1.1499999999999986</v>
      </c>
      <c r="Q661" s="6">
        <f t="shared" si="56"/>
        <v>-2.1863117870722405E-2</v>
      </c>
      <c r="R661" s="5">
        <f t="shared" si="57"/>
        <v>2.4500000000000028</v>
      </c>
      <c r="S661" s="6">
        <f t="shared" si="58"/>
        <v>4.6577946768060888E-2</v>
      </c>
      <c r="T661" s="6">
        <f t="shared" si="59"/>
        <v>3.2929782082324784E-3</v>
      </c>
    </row>
    <row r="662" spans="1:20" hidden="1" x14ac:dyDescent="0.25">
      <c r="A662" s="4" t="s">
        <v>671</v>
      </c>
      <c r="B662" s="5" t="s">
        <v>16</v>
      </c>
      <c r="C662" s="5" t="s">
        <v>1823</v>
      </c>
      <c r="D662" s="5">
        <v>182.9</v>
      </c>
      <c r="E662" s="5">
        <v>185</v>
      </c>
      <c r="F662" s="5">
        <v>185</v>
      </c>
      <c r="G662" s="5">
        <v>177</v>
      </c>
      <c r="H662" s="5">
        <v>177</v>
      </c>
      <c r="I662" s="5">
        <v>177.5</v>
      </c>
      <c r="J662" s="5">
        <v>177.79</v>
      </c>
      <c r="K662" s="5">
        <v>11637</v>
      </c>
      <c r="L662" s="5">
        <v>20.69</v>
      </c>
      <c r="M662" s="5">
        <v>109</v>
      </c>
      <c r="N662" s="5">
        <v>10834</v>
      </c>
      <c r="O662" s="5">
        <v>93.1</v>
      </c>
      <c r="P662" s="5">
        <f t="shared" si="55"/>
        <v>-5.4000000000000057</v>
      </c>
      <c r="Q662" s="6">
        <f t="shared" si="56"/>
        <v>-2.952433023510118E-2</v>
      </c>
      <c r="R662" s="5">
        <f t="shared" si="57"/>
        <v>8</v>
      </c>
      <c r="S662" s="6">
        <f t="shared" si="58"/>
        <v>4.3739748496446143E-2</v>
      </c>
      <c r="T662" s="6">
        <f t="shared" si="59"/>
        <v>-1.601104209799818E-3</v>
      </c>
    </row>
    <row r="663" spans="1:20" hidden="1" x14ac:dyDescent="0.25">
      <c r="A663" s="4" t="s">
        <v>672</v>
      </c>
      <c r="B663" s="5" t="s">
        <v>16</v>
      </c>
      <c r="C663" s="5" t="s">
        <v>1823</v>
      </c>
      <c r="D663" s="5">
        <v>88.35</v>
      </c>
      <c r="E663" s="5">
        <v>89.4</v>
      </c>
      <c r="F663" s="5">
        <v>91</v>
      </c>
      <c r="G663" s="5">
        <v>86.25</v>
      </c>
      <c r="H663" s="5">
        <v>90</v>
      </c>
      <c r="I663" s="5">
        <v>88.45</v>
      </c>
      <c r="J663" s="5">
        <v>89.67</v>
      </c>
      <c r="K663" s="5">
        <v>4365</v>
      </c>
      <c r="L663" s="5">
        <v>3.91</v>
      </c>
      <c r="M663" s="5">
        <v>61</v>
      </c>
      <c r="N663" s="5">
        <v>2998</v>
      </c>
      <c r="O663" s="5">
        <v>68.680000000000007</v>
      </c>
      <c r="P663" s="5">
        <f t="shared" si="55"/>
        <v>0.10000000000000853</v>
      </c>
      <c r="Q663" s="6">
        <f t="shared" si="56"/>
        <v>1.1318619128467293E-3</v>
      </c>
      <c r="R663" s="5">
        <f t="shared" si="57"/>
        <v>4.75</v>
      </c>
      <c r="S663" s="6">
        <f t="shared" si="58"/>
        <v>5.3763440860215055E-2</v>
      </c>
      <c r="T663" s="6">
        <f t="shared" si="59"/>
        <v>-1.3742607716136288E-2</v>
      </c>
    </row>
    <row r="664" spans="1:20" hidden="1" x14ac:dyDescent="0.25">
      <c r="A664" s="4" t="s">
        <v>673</v>
      </c>
      <c r="B664" s="5" t="s">
        <v>16</v>
      </c>
      <c r="C664" s="5" t="s">
        <v>1823</v>
      </c>
      <c r="D664" s="5">
        <v>180.95</v>
      </c>
      <c r="E664" s="5">
        <v>178.55</v>
      </c>
      <c r="F664" s="5">
        <v>182.05</v>
      </c>
      <c r="G664" s="5">
        <v>175</v>
      </c>
      <c r="H664" s="5">
        <v>178</v>
      </c>
      <c r="I664" s="5">
        <v>178.6</v>
      </c>
      <c r="J664" s="5">
        <v>179.82</v>
      </c>
      <c r="K664" s="5">
        <v>3240</v>
      </c>
      <c r="L664" s="5">
        <v>5.83</v>
      </c>
      <c r="M664" s="5">
        <v>182</v>
      </c>
      <c r="N664" s="5">
        <v>2177</v>
      </c>
      <c r="O664" s="5">
        <v>67.19</v>
      </c>
      <c r="P664" s="5">
        <f t="shared" si="55"/>
        <v>-2.3499999999999943</v>
      </c>
      <c r="Q664" s="6">
        <f t="shared" si="56"/>
        <v>-1.2987012987012957E-2</v>
      </c>
      <c r="R664" s="5">
        <f t="shared" si="57"/>
        <v>7.0500000000000114</v>
      </c>
      <c r="S664" s="6">
        <f t="shared" si="58"/>
        <v>3.896103896103903E-2</v>
      </c>
      <c r="T664" s="6">
        <f t="shared" si="59"/>
        <v>-6.8328199383926001E-3</v>
      </c>
    </row>
    <row r="665" spans="1:20" hidden="1" x14ac:dyDescent="0.25">
      <c r="A665" s="4" t="s">
        <v>674</v>
      </c>
      <c r="B665" s="5" t="s">
        <v>24</v>
      </c>
      <c r="C665" s="5" t="s">
        <v>1823</v>
      </c>
      <c r="D665" s="5">
        <v>14.25</v>
      </c>
      <c r="E665" s="5">
        <v>14.9</v>
      </c>
      <c r="F665" s="5">
        <v>14.95</v>
      </c>
      <c r="G665" s="5">
        <v>14</v>
      </c>
      <c r="H665" s="5">
        <v>14.15</v>
      </c>
      <c r="I665" s="5">
        <v>14.15</v>
      </c>
      <c r="J665" s="5">
        <v>14.46</v>
      </c>
      <c r="K665" s="5">
        <v>4413</v>
      </c>
      <c r="L665" s="5">
        <v>0.64</v>
      </c>
      <c r="M665" s="5">
        <v>25</v>
      </c>
      <c r="N665" s="5" t="s">
        <v>25</v>
      </c>
      <c r="O665" s="5" t="s">
        <v>25</v>
      </c>
      <c r="P665" s="5">
        <f t="shared" si="55"/>
        <v>-9.9999999999999645E-2</v>
      </c>
      <c r="Q665" s="6">
        <f t="shared" si="56"/>
        <v>-7.0175438596490978E-3</v>
      </c>
      <c r="R665" s="5">
        <f t="shared" si="57"/>
        <v>0.94999999999999929</v>
      </c>
      <c r="S665" s="6">
        <f t="shared" si="58"/>
        <v>6.666666666666661E-2</v>
      </c>
      <c r="T665" s="6">
        <f t="shared" si="59"/>
        <v>-2.137931034482762E-2</v>
      </c>
    </row>
    <row r="666" spans="1:20" hidden="1" x14ac:dyDescent="0.25">
      <c r="A666" s="4" t="s">
        <v>675</v>
      </c>
      <c r="B666" s="5" t="s">
        <v>16</v>
      </c>
      <c r="C666" s="5" t="s">
        <v>1823</v>
      </c>
      <c r="D666" s="5">
        <v>77.45</v>
      </c>
      <c r="E666" s="5">
        <v>77</v>
      </c>
      <c r="F666" s="5">
        <v>79.400000000000006</v>
      </c>
      <c r="G666" s="5">
        <v>76.05</v>
      </c>
      <c r="H666" s="5">
        <v>78.900000000000006</v>
      </c>
      <c r="I666" s="5">
        <v>78.349999999999994</v>
      </c>
      <c r="J666" s="5">
        <v>77.5</v>
      </c>
      <c r="K666" s="5">
        <v>3804</v>
      </c>
      <c r="L666" s="5">
        <v>2.95</v>
      </c>
      <c r="M666" s="5">
        <v>224</v>
      </c>
      <c r="N666" s="5">
        <v>2191</v>
      </c>
      <c r="O666" s="5">
        <v>57.6</v>
      </c>
      <c r="P666" s="5">
        <f t="shared" si="55"/>
        <v>0.89999999999999147</v>
      </c>
      <c r="Q666" s="6">
        <f t="shared" si="56"/>
        <v>1.1620400258231006E-2</v>
      </c>
      <c r="R666" s="5">
        <f t="shared" si="57"/>
        <v>3.3500000000000085</v>
      </c>
      <c r="S666" s="6">
        <f t="shared" si="58"/>
        <v>4.3253712072304822E-2</v>
      </c>
      <c r="T666" s="6">
        <f t="shared" si="59"/>
        <v>1.0939510939510868E-2</v>
      </c>
    </row>
    <row r="667" spans="1:20" hidden="1" x14ac:dyDescent="0.25">
      <c r="A667" s="4" t="s">
        <v>676</v>
      </c>
      <c r="B667" s="5" t="s">
        <v>39</v>
      </c>
      <c r="C667" s="5" t="s">
        <v>1823</v>
      </c>
      <c r="D667" s="5">
        <v>504.5</v>
      </c>
      <c r="E667" s="5">
        <v>509.25</v>
      </c>
      <c r="F667" s="5">
        <v>510</v>
      </c>
      <c r="G667" s="5">
        <v>496</v>
      </c>
      <c r="H667" s="5">
        <v>497</v>
      </c>
      <c r="I667" s="5">
        <v>497.05</v>
      </c>
      <c r="J667" s="5">
        <v>506.65</v>
      </c>
      <c r="K667" s="5">
        <v>2157</v>
      </c>
      <c r="L667" s="5">
        <v>10.93</v>
      </c>
      <c r="M667" s="5">
        <v>60</v>
      </c>
      <c r="N667" s="5" t="s">
        <v>25</v>
      </c>
      <c r="O667" s="5" t="s">
        <v>25</v>
      </c>
      <c r="P667" s="5">
        <f t="shared" si="55"/>
        <v>-7.4499999999999886</v>
      </c>
      <c r="Q667" s="6">
        <f t="shared" si="56"/>
        <v>-1.4767096134786896E-2</v>
      </c>
      <c r="R667" s="5">
        <f t="shared" si="57"/>
        <v>14</v>
      </c>
      <c r="S667" s="6">
        <f t="shared" si="58"/>
        <v>2.7750247770069375E-2</v>
      </c>
      <c r="T667" s="6">
        <f t="shared" si="59"/>
        <v>-1.9082641753217645E-2</v>
      </c>
    </row>
    <row r="668" spans="1:20" hidden="1" x14ac:dyDescent="0.25">
      <c r="A668" s="4" t="s">
        <v>677</v>
      </c>
      <c r="B668" s="5" t="s">
        <v>16</v>
      </c>
      <c r="C668" s="5" t="s">
        <v>1823</v>
      </c>
      <c r="D668" s="5">
        <v>28069.1</v>
      </c>
      <c r="E668" s="5">
        <v>27699.75</v>
      </c>
      <c r="F668" s="5">
        <v>28230</v>
      </c>
      <c r="G668" s="5">
        <v>27316.15</v>
      </c>
      <c r="H668" s="5">
        <v>28000.1</v>
      </c>
      <c r="I668" s="5">
        <v>27908.55</v>
      </c>
      <c r="J668" s="5">
        <v>27767.18</v>
      </c>
      <c r="K668" s="5">
        <v>12948</v>
      </c>
      <c r="L668" s="5">
        <v>3595.29</v>
      </c>
      <c r="M668" s="5">
        <v>574</v>
      </c>
      <c r="N668" s="5">
        <v>12309</v>
      </c>
      <c r="O668" s="5">
        <v>95.06</v>
      </c>
      <c r="P668" s="5">
        <f t="shared" si="55"/>
        <v>-160.54999999999927</v>
      </c>
      <c r="Q668" s="6">
        <f t="shared" si="56"/>
        <v>-5.719812890331335E-3</v>
      </c>
      <c r="R668" s="5">
        <f t="shared" si="57"/>
        <v>913.84999999999854</v>
      </c>
      <c r="S668" s="6">
        <f t="shared" si="58"/>
        <v>3.2557153595947096E-2</v>
      </c>
      <c r="T668" s="6">
        <f t="shared" si="59"/>
        <v>5.0873356847161398E-3</v>
      </c>
    </row>
    <row r="669" spans="1:20" hidden="1" x14ac:dyDescent="0.25">
      <c r="A669" s="4" t="s">
        <v>678</v>
      </c>
      <c r="B669" s="5" t="s">
        <v>16</v>
      </c>
      <c r="C669" s="5" t="s">
        <v>1823</v>
      </c>
      <c r="D669" s="5">
        <v>1116.3</v>
      </c>
      <c r="E669" s="5">
        <v>1116</v>
      </c>
      <c r="F669" s="5">
        <v>1116</v>
      </c>
      <c r="G669" s="5">
        <v>1062.5999999999999</v>
      </c>
      <c r="H669" s="5">
        <v>1063.1500000000001</v>
      </c>
      <c r="I669" s="5">
        <v>1072.3</v>
      </c>
      <c r="J669" s="5">
        <v>1080.1199999999999</v>
      </c>
      <c r="K669" s="5">
        <v>1548</v>
      </c>
      <c r="L669" s="5">
        <v>16.72</v>
      </c>
      <c r="M669" s="5">
        <v>240</v>
      </c>
      <c r="N669" s="5">
        <v>1010</v>
      </c>
      <c r="O669" s="5">
        <v>65.25</v>
      </c>
      <c r="P669" s="5">
        <f t="shared" si="55"/>
        <v>-44</v>
      </c>
      <c r="Q669" s="6">
        <f t="shared" si="56"/>
        <v>-3.941592761802383E-2</v>
      </c>
      <c r="R669" s="5">
        <f t="shared" si="57"/>
        <v>53.400000000000091</v>
      </c>
      <c r="S669" s="6">
        <f t="shared" si="58"/>
        <v>4.783660306369264E-2</v>
      </c>
      <c r="T669" s="6">
        <f t="shared" si="59"/>
        <v>-7.1629760241818559E-3</v>
      </c>
    </row>
    <row r="670" spans="1:20" hidden="1" x14ac:dyDescent="0.25">
      <c r="A670" s="4" t="s">
        <v>679</v>
      </c>
      <c r="B670" s="5" t="s">
        <v>16</v>
      </c>
      <c r="C670" s="5" t="s">
        <v>1823</v>
      </c>
      <c r="D670" s="5">
        <v>7.8</v>
      </c>
      <c r="E670" s="5">
        <v>7.8</v>
      </c>
      <c r="F670" s="5">
        <v>7.8</v>
      </c>
      <c r="G670" s="5">
        <v>7.45</v>
      </c>
      <c r="H670" s="5">
        <v>7.55</v>
      </c>
      <c r="I670" s="5">
        <v>7.5</v>
      </c>
      <c r="J670" s="5">
        <v>7.53</v>
      </c>
      <c r="K670" s="5">
        <v>118579</v>
      </c>
      <c r="L670" s="5">
        <v>8.93</v>
      </c>
      <c r="M670" s="5">
        <v>327</v>
      </c>
      <c r="N670" s="5">
        <v>92648</v>
      </c>
      <c r="O670" s="5">
        <v>78.13</v>
      </c>
      <c r="P670" s="5">
        <f t="shared" si="55"/>
        <v>-0.29999999999999982</v>
      </c>
      <c r="Q670" s="6">
        <f t="shared" si="56"/>
        <v>-3.8461538461538443E-2</v>
      </c>
      <c r="R670" s="5">
        <f t="shared" si="57"/>
        <v>0.34999999999999964</v>
      </c>
      <c r="S670" s="6">
        <f t="shared" si="58"/>
        <v>4.487179487179483E-2</v>
      </c>
      <c r="T670" s="6">
        <f t="shared" si="59"/>
        <v>-3.9279869067103436E-3</v>
      </c>
    </row>
    <row r="671" spans="1:20" hidden="1" x14ac:dyDescent="0.25">
      <c r="A671" s="4" t="s">
        <v>680</v>
      </c>
      <c r="B671" s="5" t="s">
        <v>16</v>
      </c>
      <c r="C671" s="5" t="s">
        <v>1823</v>
      </c>
      <c r="D671" s="5">
        <v>80</v>
      </c>
      <c r="E671" s="5">
        <v>80.849999999999994</v>
      </c>
      <c r="F671" s="5">
        <v>80.849999999999994</v>
      </c>
      <c r="G671" s="5">
        <v>77.400000000000006</v>
      </c>
      <c r="H671" s="5">
        <v>77.95</v>
      </c>
      <c r="I671" s="5">
        <v>77.8</v>
      </c>
      <c r="J671" s="5">
        <v>78.790000000000006</v>
      </c>
      <c r="K671" s="5">
        <v>3081</v>
      </c>
      <c r="L671" s="5">
        <v>2.4300000000000002</v>
      </c>
      <c r="M671" s="5">
        <v>47</v>
      </c>
      <c r="N671" s="5">
        <v>2005</v>
      </c>
      <c r="O671" s="5">
        <v>65.08</v>
      </c>
      <c r="P671" s="5">
        <f t="shared" si="55"/>
        <v>-2.2000000000000028</v>
      </c>
      <c r="Q671" s="6">
        <f t="shared" si="56"/>
        <v>-2.7500000000000035E-2</v>
      </c>
      <c r="R671" s="5">
        <f t="shared" si="57"/>
        <v>3.4499999999999886</v>
      </c>
      <c r="S671" s="6">
        <f t="shared" si="58"/>
        <v>4.3124999999999858E-2</v>
      </c>
      <c r="T671" s="6">
        <f t="shared" si="59"/>
        <v>-1.249605553802473E-2</v>
      </c>
    </row>
    <row r="672" spans="1:20" hidden="1" x14ac:dyDescent="0.25">
      <c r="A672" s="4" t="s">
        <v>681</v>
      </c>
      <c r="B672" s="5" t="s">
        <v>16</v>
      </c>
      <c r="C672" s="5" t="s">
        <v>1823</v>
      </c>
      <c r="D672" s="5">
        <v>46.25</v>
      </c>
      <c r="E672" s="5">
        <v>44.5</v>
      </c>
      <c r="F672" s="5">
        <v>46.85</v>
      </c>
      <c r="G672" s="5">
        <v>44.5</v>
      </c>
      <c r="H672" s="5">
        <v>44.65</v>
      </c>
      <c r="I672" s="5">
        <v>45</v>
      </c>
      <c r="J672" s="5">
        <v>45.17</v>
      </c>
      <c r="K672" s="5">
        <v>13416</v>
      </c>
      <c r="L672" s="5">
        <v>6.06</v>
      </c>
      <c r="M672" s="5">
        <v>292</v>
      </c>
      <c r="N672" s="5">
        <v>9899</v>
      </c>
      <c r="O672" s="5">
        <v>73.790000000000006</v>
      </c>
      <c r="P672" s="5">
        <f t="shared" si="55"/>
        <v>-1.25</v>
      </c>
      <c r="Q672" s="6">
        <f t="shared" si="56"/>
        <v>-2.7027027027027029E-2</v>
      </c>
      <c r="R672" s="5">
        <f t="shared" si="57"/>
        <v>2.3500000000000014</v>
      </c>
      <c r="S672" s="6">
        <f t="shared" si="58"/>
        <v>5.081081081081084E-2</v>
      </c>
      <c r="T672" s="6">
        <f t="shared" si="59"/>
        <v>-3.7600221177772012E-3</v>
      </c>
    </row>
    <row r="673" spans="1:20" x14ac:dyDescent="0.25">
      <c r="A673" s="4" t="s">
        <v>954</v>
      </c>
      <c r="B673" s="5" t="s">
        <v>16</v>
      </c>
      <c r="C673" s="5" t="s">
        <v>1823</v>
      </c>
      <c r="D673" s="5">
        <v>419.1</v>
      </c>
      <c r="E673" s="5">
        <v>417.4</v>
      </c>
      <c r="F673" s="5">
        <v>417.4</v>
      </c>
      <c r="G673" s="5">
        <v>391.6</v>
      </c>
      <c r="H673" s="5">
        <v>393</v>
      </c>
      <c r="I673" s="5">
        <v>394.15</v>
      </c>
      <c r="J673" s="5">
        <v>400.43</v>
      </c>
      <c r="K673" s="5">
        <v>3727489</v>
      </c>
      <c r="L673" s="5">
        <v>14925.93</v>
      </c>
      <c r="M673" s="5">
        <v>66662</v>
      </c>
      <c r="N673" s="5">
        <v>1446855</v>
      </c>
      <c r="O673" s="5">
        <v>38.82</v>
      </c>
      <c r="P673" s="5">
        <f t="shared" si="55"/>
        <v>-24.950000000000045</v>
      </c>
      <c r="Q673" s="6">
        <f t="shared" si="56"/>
        <v>-5.9532331185874601E-2</v>
      </c>
      <c r="R673" s="5">
        <f t="shared" si="57"/>
        <v>25.799999999999955</v>
      </c>
      <c r="S673" s="6">
        <f t="shared" si="58"/>
        <v>6.1560486757337038E-2</v>
      </c>
      <c r="T673" s="6">
        <f t="shared" si="59"/>
        <v>-1.5500910184813869E-2</v>
      </c>
    </row>
    <row r="674" spans="1:20" x14ac:dyDescent="0.25">
      <c r="A674" s="4" t="s">
        <v>1226</v>
      </c>
      <c r="B674" s="5" t="s">
        <v>16</v>
      </c>
      <c r="C674" s="5" t="s">
        <v>1823</v>
      </c>
      <c r="D674" s="5">
        <v>104.1</v>
      </c>
      <c r="E674" s="5">
        <v>103.8</v>
      </c>
      <c r="F674" s="5">
        <v>103.8</v>
      </c>
      <c r="G674" s="5">
        <v>100.1</v>
      </c>
      <c r="H674" s="5">
        <v>100.45</v>
      </c>
      <c r="I674" s="5">
        <v>100.55</v>
      </c>
      <c r="J674" s="5">
        <v>101.01</v>
      </c>
      <c r="K674" s="5">
        <v>4966503</v>
      </c>
      <c r="L674" s="5">
        <v>5016.88</v>
      </c>
      <c r="M674" s="5">
        <v>33256</v>
      </c>
      <c r="N674" s="5">
        <v>1929783</v>
      </c>
      <c r="O674" s="5">
        <v>38.86</v>
      </c>
      <c r="P674" s="5">
        <f t="shared" si="55"/>
        <v>-3.5499999999999972</v>
      </c>
      <c r="Q674" s="6">
        <f t="shared" si="56"/>
        <v>-3.4101825168107565E-2</v>
      </c>
      <c r="R674" s="5">
        <f t="shared" si="57"/>
        <v>3.7000000000000028</v>
      </c>
      <c r="S674" s="6">
        <f t="shared" si="58"/>
        <v>3.5542747358309347E-2</v>
      </c>
      <c r="T674" s="6">
        <f t="shared" si="59"/>
        <v>-4.5070422535212051E-3</v>
      </c>
    </row>
    <row r="675" spans="1:20" hidden="1" x14ac:dyDescent="0.25">
      <c r="A675" s="4" t="s">
        <v>684</v>
      </c>
      <c r="B675" s="5" t="s">
        <v>16</v>
      </c>
      <c r="C675" s="5" t="s">
        <v>1823</v>
      </c>
      <c r="D675" s="5">
        <v>21.75</v>
      </c>
      <c r="E675" s="5">
        <v>21.8</v>
      </c>
      <c r="F675" s="5">
        <v>21.8</v>
      </c>
      <c r="G675" s="5">
        <v>21.3</v>
      </c>
      <c r="H675" s="5">
        <v>21.55</v>
      </c>
      <c r="I675" s="5">
        <v>21.4</v>
      </c>
      <c r="J675" s="5">
        <v>21.53</v>
      </c>
      <c r="K675" s="5">
        <v>84456</v>
      </c>
      <c r="L675" s="5">
        <v>18.190000000000001</v>
      </c>
      <c r="M675" s="5">
        <v>290</v>
      </c>
      <c r="N675" s="5">
        <v>68330</v>
      </c>
      <c r="O675" s="5">
        <v>80.91</v>
      </c>
      <c r="P675" s="5">
        <f t="shared" si="55"/>
        <v>-0.35000000000000142</v>
      </c>
      <c r="Q675" s="6">
        <f t="shared" si="56"/>
        <v>-1.6091954022988571E-2</v>
      </c>
      <c r="R675" s="5">
        <f t="shared" si="57"/>
        <v>0.5</v>
      </c>
      <c r="S675" s="6">
        <f t="shared" si="58"/>
        <v>2.2988505747126436E-2</v>
      </c>
      <c r="T675" s="6">
        <f t="shared" si="59"/>
        <v>-6.0254924681345324E-3</v>
      </c>
    </row>
    <row r="676" spans="1:20" hidden="1" x14ac:dyDescent="0.25">
      <c r="A676" s="4" t="s">
        <v>685</v>
      </c>
      <c r="B676" s="5" t="s">
        <v>16</v>
      </c>
      <c r="C676" s="5" t="s">
        <v>1823</v>
      </c>
      <c r="D676" s="5">
        <v>15.6</v>
      </c>
      <c r="E676" s="5">
        <v>15.25</v>
      </c>
      <c r="F676" s="5">
        <v>15.9</v>
      </c>
      <c r="G676" s="5">
        <v>15.2</v>
      </c>
      <c r="H676" s="5">
        <v>15.9</v>
      </c>
      <c r="I676" s="5">
        <v>15.55</v>
      </c>
      <c r="J676" s="5">
        <v>15.56</v>
      </c>
      <c r="K676" s="5">
        <v>32610</v>
      </c>
      <c r="L676" s="5">
        <v>5.08</v>
      </c>
      <c r="M676" s="5">
        <v>136</v>
      </c>
      <c r="N676" s="5">
        <v>24100</v>
      </c>
      <c r="O676" s="5">
        <v>73.900000000000006</v>
      </c>
      <c r="P676" s="5">
        <f t="shared" si="55"/>
        <v>-4.9999999999998934E-2</v>
      </c>
      <c r="Q676" s="6">
        <f t="shared" si="56"/>
        <v>-3.2051282051281369E-3</v>
      </c>
      <c r="R676" s="5">
        <f t="shared" si="57"/>
        <v>0.70000000000000107</v>
      </c>
      <c r="S676" s="6">
        <f t="shared" si="58"/>
        <v>4.4871794871794941E-2</v>
      </c>
      <c r="T676" s="6">
        <f t="shared" si="59"/>
        <v>-6.4620355411953393E-4</v>
      </c>
    </row>
    <row r="677" spans="1:20" x14ac:dyDescent="0.25">
      <c r="A677" s="4" t="s">
        <v>1325</v>
      </c>
      <c r="B677" s="5" t="s">
        <v>16</v>
      </c>
      <c r="C677" s="5" t="s">
        <v>1823</v>
      </c>
      <c r="D677" s="5">
        <v>500.65</v>
      </c>
      <c r="E677" s="5">
        <v>510.1</v>
      </c>
      <c r="F677" s="5">
        <v>514.85</v>
      </c>
      <c r="G677" s="5">
        <v>495</v>
      </c>
      <c r="H677" s="5">
        <v>496.1</v>
      </c>
      <c r="I677" s="5">
        <v>498.25</v>
      </c>
      <c r="J677" s="5">
        <v>507.28</v>
      </c>
      <c r="K677" s="5">
        <v>230024</v>
      </c>
      <c r="L677" s="5">
        <v>1166.8599999999999</v>
      </c>
      <c r="M677" s="5">
        <v>6816</v>
      </c>
      <c r="N677" s="5">
        <v>89755</v>
      </c>
      <c r="O677" s="5">
        <v>39.020000000000003</v>
      </c>
      <c r="P677" s="5">
        <f t="shared" si="55"/>
        <v>-2.3999999999999773</v>
      </c>
      <c r="Q677" s="6">
        <f t="shared" si="56"/>
        <v>-4.7937681014680461E-3</v>
      </c>
      <c r="R677" s="5">
        <f t="shared" si="57"/>
        <v>19.850000000000023</v>
      </c>
      <c r="S677" s="6">
        <f t="shared" si="58"/>
        <v>3.9648457005892389E-2</v>
      </c>
      <c r="T677" s="6">
        <f t="shared" si="59"/>
        <v>-1.7897136061837227E-2</v>
      </c>
    </row>
    <row r="678" spans="1:20" hidden="1" x14ac:dyDescent="0.25">
      <c r="A678" s="4" t="s">
        <v>686</v>
      </c>
      <c r="B678" s="5" t="s">
        <v>254</v>
      </c>
      <c r="C678" s="5" t="s">
        <v>1823</v>
      </c>
      <c r="D678" s="5">
        <v>1119.99</v>
      </c>
      <c r="E678" s="5">
        <v>1120</v>
      </c>
      <c r="F678" s="5">
        <v>1120</v>
      </c>
      <c r="G678" s="5">
        <v>1120</v>
      </c>
      <c r="H678" s="5">
        <v>1120</v>
      </c>
      <c r="I678" s="5">
        <v>1120</v>
      </c>
      <c r="J678" s="5">
        <v>1120</v>
      </c>
      <c r="K678" s="5">
        <v>25</v>
      </c>
      <c r="L678" s="5">
        <v>0.28000000000000003</v>
      </c>
      <c r="M678" s="5">
        <v>1</v>
      </c>
      <c r="N678" s="5">
        <v>25</v>
      </c>
      <c r="O678" s="5">
        <v>100</v>
      </c>
      <c r="P678" s="5">
        <f t="shared" si="55"/>
        <v>9.9999999999909051E-3</v>
      </c>
      <c r="Q678" s="6">
        <f t="shared" si="56"/>
        <v>8.9286511486628499E-6</v>
      </c>
      <c r="R678" s="5">
        <f t="shared" si="57"/>
        <v>0</v>
      </c>
      <c r="S678" s="6">
        <f t="shared" si="58"/>
        <v>0</v>
      </c>
      <c r="T678" s="6">
        <f t="shared" si="59"/>
        <v>0</v>
      </c>
    </row>
    <row r="679" spans="1:20" hidden="1" x14ac:dyDescent="0.25">
      <c r="A679" s="4" t="s">
        <v>686</v>
      </c>
      <c r="B679" s="5" t="s">
        <v>439</v>
      </c>
      <c r="C679" s="5" t="s">
        <v>1823</v>
      </c>
      <c r="D679" s="5">
        <v>1145</v>
      </c>
      <c r="E679" s="5">
        <v>1145.1099999999999</v>
      </c>
      <c r="F679" s="5">
        <v>1150</v>
      </c>
      <c r="G679" s="5">
        <v>1145.1099999999999</v>
      </c>
      <c r="H679" s="5">
        <v>1150</v>
      </c>
      <c r="I679" s="5">
        <v>1150</v>
      </c>
      <c r="J679" s="5">
        <v>1147.56</v>
      </c>
      <c r="K679" s="5">
        <v>40</v>
      </c>
      <c r="L679" s="5">
        <v>0.46</v>
      </c>
      <c r="M679" s="5">
        <v>2</v>
      </c>
      <c r="N679" s="5">
        <v>20</v>
      </c>
      <c r="O679" s="5">
        <v>50</v>
      </c>
      <c r="P679" s="5">
        <f t="shared" si="55"/>
        <v>5</v>
      </c>
      <c r="Q679" s="6">
        <f t="shared" si="56"/>
        <v>4.3668122270742356E-3</v>
      </c>
      <c r="R679" s="5">
        <f t="shared" si="57"/>
        <v>4.8900000000001</v>
      </c>
      <c r="S679" s="6">
        <f t="shared" si="58"/>
        <v>4.2707423580786901E-3</v>
      </c>
      <c r="T679" s="6">
        <f t="shared" si="59"/>
        <v>2.1262597435417517E-3</v>
      </c>
    </row>
    <row r="680" spans="1:20" hidden="1" x14ac:dyDescent="0.25">
      <c r="A680" s="4" t="s">
        <v>686</v>
      </c>
      <c r="B680" s="5" t="s">
        <v>440</v>
      </c>
      <c r="C680" s="5" t="s">
        <v>1823</v>
      </c>
      <c r="D680" s="5">
        <v>1294.99</v>
      </c>
      <c r="E680" s="5">
        <v>1096</v>
      </c>
      <c r="F680" s="5">
        <v>1096</v>
      </c>
      <c r="G680" s="5">
        <v>1096</v>
      </c>
      <c r="H680" s="5">
        <v>1096</v>
      </c>
      <c r="I680" s="5">
        <v>1096</v>
      </c>
      <c r="J680" s="5">
        <v>1096</v>
      </c>
      <c r="K680" s="5">
        <v>70</v>
      </c>
      <c r="L680" s="5">
        <v>0.77</v>
      </c>
      <c r="M680" s="5">
        <v>1</v>
      </c>
      <c r="N680" s="5">
        <v>70</v>
      </c>
      <c r="O680" s="5">
        <v>100</v>
      </c>
      <c r="P680" s="5">
        <f t="shared" si="55"/>
        <v>-198.99</v>
      </c>
      <c r="Q680" s="6">
        <f t="shared" si="56"/>
        <v>-0.15366141823488985</v>
      </c>
      <c r="R680" s="5">
        <f t="shared" si="57"/>
        <v>0</v>
      </c>
      <c r="S680" s="6">
        <f t="shared" si="58"/>
        <v>0</v>
      </c>
      <c r="T680" s="6">
        <f t="shared" si="59"/>
        <v>0</v>
      </c>
    </row>
    <row r="681" spans="1:20" hidden="1" x14ac:dyDescent="0.25">
      <c r="A681" s="4" t="s">
        <v>686</v>
      </c>
      <c r="B681" s="5" t="s">
        <v>687</v>
      </c>
      <c r="C681" s="5" t="s">
        <v>1823</v>
      </c>
      <c r="D681" s="5">
        <v>1209.93</v>
      </c>
      <c r="E681" s="5">
        <v>1205</v>
      </c>
      <c r="F681" s="5">
        <v>1215.05</v>
      </c>
      <c r="G681" s="5">
        <v>1205</v>
      </c>
      <c r="H681" s="5">
        <v>1215.05</v>
      </c>
      <c r="I681" s="5">
        <v>1215.02</v>
      </c>
      <c r="J681" s="5">
        <v>1214.97</v>
      </c>
      <c r="K681" s="5">
        <v>200</v>
      </c>
      <c r="L681" s="5">
        <v>2.4300000000000002</v>
      </c>
      <c r="M681" s="5">
        <v>3</v>
      </c>
      <c r="N681" s="5">
        <v>100</v>
      </c>
      <c r="O681" s="5">
        <v>50</v>
      </c>
      <c r="P681" s="5">
        <f t="shared" si="55"/>
        <v>5.0899999999999181</v>
      </c>
      <c r="Q681" s="6">
        <f t="shared" si="56"/>
        <v>4.206854942021371E-3</v>
      </c>
      <c r="R681" s="5">
        <f t="shared" si="57"/>
        <v>10.049999999999955</v>
      </c>
      <c r="S681" s="6">
        <f t="shared" si="58"/>
        <v>8.3062656517318804E-3</v>
      </c>
      <c r="T681" s="6">
        <f t="shared" si="59"/>
        <v>4.1321716421419137E-5</v>
      </c>
    </row>
    <row r="682" spans="1:20" hidden="1" x14ac:dyDescent="0.25">
      <c r="A682" s="4" t="s">
        <v>686</v>
      </c>
      <c r="B682" s="5" t="s">
        <v>688</v>
      </c>
      <c r="C682" s="5" t="s">
        <v>1823</v>
      </c>
      <c r="D682" s="5">
        <v>1272</v>
      </c>
      <c r="E682" s="5">
        <v>1295</v>
      </c>
      <c r="F682" s="5">
        <v>1295</v>
      </c>
      <c r="G682" s="5">
        <v>1295</v>
      </c>
      <c r="H682" s="5">
        <v>1295</v>
      </c>
      <c r="I682" s="5">
        <v>1295</v>
      </c>
      <c r="J682" s="5">
        <v>1295</v>
      </c>
      <c r="K682" s="5">
        <v>25</v>
      </c>
      <c r="L682" s="5">
        <v>0.32</v>
      </c>
      <c r="M682" s="5">
        <v>1</v>
      </c>
      <c r="N682" s="5">
        <v>25</v>
      </c>
      <c r="O682" s="5">
        <v>100</v>
      </c>
      <c r="P682" s="5">
        <f t="shared" si="55"/>
        <v>23</v>
      </c>
      <c r="Q682" s="6">
        <f t="shared" si="56"/>
        <v>1.8081761006289308E-2</v>
      </c>
      <c r="R682" s="5">
        <f t="shared" si="57"/>
        <v>0</v>
      </c>
      <c r="S682" s="6">
        <f t="shared" si="58"/>
        <v>0</v>
      </c>
      <c r="T682" s="6">
        <f t="shared" si="59"/>
        <v>0</v>
      </c>
    </row>
    <row r="683" spans="1:20" hidden="1" x14ac:dyDescent="0.25">
      <c r="A683" s="4" t="s">
        <v>690</v>
      </c>
      <c r="B683" s="5" t="s">
        <v>16</v>
      </c>
      <c r="C683" s="5" t="s">
        <v>1823</v>
      </c>
      <c r="D683" s="5">
        <v>111.6</v>
      </c>
      <c r="E683" s="5">
        <v>111.26</v>
      </c>
      <c r="F683" s="5">
        <v>111.26</v>
      </c>
      <c r="G683" s="5">
        <v>109.45</v>
      </c>
      <c r="H683" s="5">
        <v>110.1</v>
      </c>
      <c r="I683" s="5">
        <v>109.82</v>
      </c>
      <c r="J683" s="5">
        <v>110.93</v>
      </c>
      <c r="K683" s="5">
        <v>474</v>
      </c>
      <c r="L683" s="5">
        <v>0.53</v>
      </c>
      <c r="M683" s="5">
        <v>10</v>
      </c>
      <c r="N683" s="5">
        <v>401</v>
      </c>
      <c r="O683" s="5">
        <v>84.6</v>
      </c>
      <c r="P683" s="5">
        <f t="shared" si="55"/>
        <v>-1.7800000000000011</v>
      </c>
      <c r="Q683" s="6">
        <f t="shared" si="56"/>
        <v>-1.5949820788530477E-2</v>
      </c>
      <c r="R683" s="5">
        <f t="shared" si="57"/>
        <v>1.8100000000000023</v>
      </c>
      <c r="S683" s="6">
        <f t="shared" si="58"/>
        <v>1.6218637992831561E-2</v>
      </c>
      <c r="T683" s="6">
        <f t="shared" si="59"/>
        <v>-1.005002376694822E-2</v>
      </c>
    </row>
    <row r="684" spans="1:20" x14ac:dyDescent="0.25">
      <c r="A684" s="4" t="s">
        <v>117</v>
      </c>
      <c r="B684" s="5" t="s">
        <v>16</v>
      </c>
      <c r="C684" s="5" t="s">
        <v>1823</v>
      </c>
      <c r="D684" s="5">
        <v>257.75</v>
      </c>
      <c r="E684" s="5">
        <v>261.60000000000002</v>
      </c>
      <c r="F684" s="5">
        <v>263.89999999999998</v>
      </c>
      <c r="G684" s="5">
        <v>242</v>
      </c>
      <c r="H684" s="5">
        <v>246.65</v>
      </c>
      <c r="I684" s="5">
        <v>247.4</v>
      </c>
      <c r="J684" s="5">
        <v>250.73</v>
      </c>
      <c r="K684" s="5">
        <v>100333</v>
      </c>
      <c r="L684" s="5">
        <v>251.56</v>
      </c>
      <c r="M684" s="5">
        <v>3167</v>
      </c>
      <c r="N684" s="5">
        <v>39214</v>
      </c>
      <c r="O684" s="5">
        <v>39.08</v>
      </c>
      <c r="P684" s="5">
        <f t="shared" si="55"/>
        <v>-10.349999999999994</v>
      </c>
      <c r="Q684" s="6">
        <f t="shared" si="56"/>
        <v>-4.0155189136760402E-2</v>
      </c>
      <c r="R684" s="5">
        <f t="shared" si="57"/>
        <v>21.899999999999977</v>
      </c>
      <c r="S684" s="6">
        <f t="shared" si="58"/>
        <v>8.4966052376333562E-2</v>
      </c>
      <c r="T684" s="6">
        <f t="shared" si="59"/>
        <v>-1.3124445758202716E-2</v>
      </c>
    </row>
    <row r="685" spans="1:20" hidden="1" x14ac:dyDescent="0.25">
      <c r="A685" s="4" t="s">
        <v>692</v>
      </c>
      <c r="B685" s="5" t="s">
        <v>396</v>
      </c>
      <c r="C685" s="5" t="s">
        <v>1823</v>
      </c>
      <c r="D685" s="5">
        <v>775.2</v>
      </c>
      <c r="E685" s="5">
        <v>801</v>
      </c>
      <c r="F685" s="5">
        <v>801</v>
      </c>
      <c r="G685" s="5">
        <v>801</v>
      </c>
      <c r="H685" s="5">
        <v>801</v>
      </c>
      <c r="I685" s="5">
        <v>801</v>
      </c>
      <c r="J685" s="5">
        <v>801</v>
      </c>
      <c r="K685" s="5">
        <v>7</v>
      </c>
      <c r="L685" s="5">
        <v>0.06</v>
      </c>
      <c r="M685" s="5">
        <v>1</v>
      </c>
      <c r="N685" s="5">
        <v>7</v>
      </c>
      <c r="O685" s="5">
        <v>100</v>
      </c>
      <c r="P685" s="5">
        <f t="shared" si="55"/>
        <v>25.799999999999955</v>
      </c>
      <c r="Q685" s="6">
        <f t="shared" si="56"/>
        <v>3.3281733746129971E-2</v>
      </c>
      <c r="R685" s="5">
        <f t="shared" si="57"/>
        <v>0</v>
      </c>
      <c r="S685" s="6">
        <f t="shared" si="58"/>
        <v>0</v>
      </c>
      <c r="T685" s="6">
        <f t="shared" si="59"/>
        <v>0</v>
      </c>
    </row>
    <row r="686" spans="1:20" hidden="1" x14ac:dyDescent="0.25">
      <c r="A686" s="4" t="s">
        <v>692</v>
      </c>
      <c r="B686" s="5" t="s">
        <v>441</v>
      </c>
      <c r="C686" s="5" t="s">
        <v>1823</v>
      </c>
      <c r="D686" s="5">
        <v>760</v>
      </c>
      <c r="E686" s="5">
        <v>750</v>
      </c>
      <c r="F686" s="5">
        <v>770</v>
      </c>
      <c r="G686" s="5">
        <v>750</v>
      </c>
      <c r="H686" s="5">
        <v>770</v>
      </c>
      <c r="I686" s="5">
        <v>770</v>
      </c>
      <c r="J686" s="5">
        <v>766.94</v>
      </c>
      <c r="K686" s="5">
        <v>395</v>
      </c>
      <c r="L686" s="5">
        <v>3.03</v>
      </c>
      <c r="M686" s="5">
        <v>10</v>
      </c>
      <c r="N686" s="5">
        <v>390</v>
      </c>
      <c r="O686" s="5">
        <v>98.73</v>
      </c>
      <c r="P686" s="5">
        <f t="shared" si="55"/>
        <v>10</v>
      </c>
      <c r="Q686" s="6">
        <f t="shared" si="56"/>
        <v>1.3157894736842105E-2</v>
      </c>
      <c r="R686" s="5">
        <f t="shared" si="57"/>
        <v>20</v>
      </c>
      <c r="S686" s="6">
        <f t="shared" si="58"/>
        <v>2.6315789473684209E-2</v>
      </c>
      <c r="T686" s="6">
        <f t="shared" si="59"/>
        <v>4.0263157894736123E-3</v>
      </c>
    </row>
    <row r="687" spans="1:20" hidden="1" x14ac:dyDescent="0.25">
      <c r="A687" s="4" t="s">
        <v>692</v>
      </c>
      <c r="B687" s="5" t="s">
        <v>688</v>
      </c>
      <c r="C687" s="5" t="s">
        <v>1823</v>
      </c>
      <c r="D687" s="5">
        <v>919</v>
      </c>
      <c r="E687" s="5">
        <v>900</v>
      </c>
      <c r="F687" s="5">
        <v>900</v>
      </c>
      <c r="G687" s="5">
        <v>900</v>
      </c>
      <c r="H687" s="5">
        <v>900</v>
      </c>
      <c r="I687" s="5">
        <v>900</v>
      </c>
      <c r="J687" s="5">
        <v>900</v>
      </c>
      <c r="K687" s="5">
        <v>11</v>
      </c>
      <c r="L687" s="5">
        <v>0.1</v>
      </c>
      <c r="M687" s="5">
        <v>1</v>
      </c>
      <c r="N687" s="5">
        <v>11</v>
      </c>
      <c r="O687" s="5">
        <v>100</v>
      </c>
      <c r="P687" s="5">
        <f t="shared" si="55"/>
        <v>-19</v>
      </c>
      <c r="Q687" s="6">
        <f t="shared" si="56"/>
        <v>-2.0674646354733407E-2</v>
      </c>
      <c r="R687" s="5">
        <f t="shared" si="57"/>
        <v>0</v>
      </c>
      <c r="S687" s="6">
        <f t="shared" si="58"/>
        <v>0</v>
      </c>
      <c r="T687" s="6">
        <f t="shared" si="59"/>
        <v>0</v>
      </c>
    </row>
    <row r="688" spans="1:20" x14ac:dyDescent="0.25">
      <c r="A688" s="4" t="s">
        <v>1345</v>
      </c>
      <c r="B688" s="5" t="s">
        <v>16</v>
      </c>
      <c r="C688" s="5" t="s">
        <v>1823</v>
      </c>
      <c r="D688" s="5">
        <v>263.2</v>
      </c>
      <c r="E688" s="5">
        <v>263</v>
      </c>
      <c r="F688" s="5">
        <v>270.75</v>
      </c>
      <c r="G688" s="5">
        <v>257.85000000000002</v>
      </c>
      <c r="H688" s="5">
        <v>265.5</v>
      </c>
      <c r="I688" s="5">
        <v>265.95</v>
      </c>
      <c r="J688" s="5">
        <v>265.45</v>
      </c>
      <c r="K688" s="5">
        <v>1683697</v>
      </c>
      <c r="L688" s="5">
        <v>4469.38</v>
      </c>
      <c r="M688" s="5">
        <v>35959</v>
      </c>
      <c r="N688" s="5">
        <v>658666</v>
      </c>
      <c r="O688" s="5">
        <v>39.119999999999997</v>
      </c>
      <c r="P688" s="5">
        <f t="shared" si="55"/>
        <v>2.75</v>
      </c>
      <c r="Q688" s="6">
        <f t="shared" si="56"/>
        <v>1.0448328267477203E-2</v>
      </c>
      <c r="R688" s="5">
        <f t="shared" si="57"/>
        <v>12.899999999999977</v>
      </c>
      <c r="S688" s="6">
        <f t="shared" si="58"/>
        <v>4.9012158054711159E-2</v>
      </c>
      <c r="T688" s="6">
        <f t="shared" si="59"/>
        <v>1.8911635383669803E-3</v>
      </c>
    </row>
    <row r="689" spans="1:20" hidden="1" x14ac:dyDescent="0.25">
      <c r="A689" s="4" t="s">
        <v>693</v>
      </c>
      <c r="B689" s="5" t="s">
        <v>396</v>
      </c>
      <c r="C689" s="5" t="s">
        <v>1823</v>
      </c>
      <c r="D689" s="5">
        <v>790</v>
      </c>
      <c r="E689" s="5">
        <v>770.01</v>
      </c>
      <c r="F689" s="5">
        <v>811</v>
      </c>
      <c r="G689" s="5">
        <v>770.01</v>
      </c>
      <c r="H689" s="5">
        <v>811</v>
      </c>
      <c r="I689" s="5">
        <v>810.85</v>
      </c>
      <c r="J689" s="5">
        <v>802.71</v>
      </c>
      <c r="K689" s="5">
        <v>135</v>
      </c>
      <c r="L689" s="5">
        <v>1.08</v>
      </c>
      <c r="M689" s="5">
        <v>5</v>
      </c>
      <c r="N689" s="5">
        <v>135</v>
      </c>
      <c r="O689" s="5">
        <v>100</v>
      </c>
      <c r="P689" s="5">
        <f t="shared" si="55"/>
        <v>20.850000000000023</v>
      </c>
      <c r="Q689" s="6">
        <f t="shared" si="56"/>
        <v>2.6392405063291168E-2</v>
      </c>
      <c r="R689" s="5">
        <f t="shared" si="57"/>
        <v>40.990000000000009</v>
      </c>
      <c r="S689" s="6">
        <f t="shared" si="58"/>
        <v>5.1886075949367103E-2</v>
      </c>
      <c r="T689" s="6">
        <f t="shared" si="59"/>
        <v>1.0297703574150724E-2</v>
      </c>
    </row>
    <row r="690" spans="1:20" hidden="1" x14ac:dyDescent="0.25">
      <c r="A690" s="4" t="s">
        <v>693</v>
      </c>
      <c r="B690" s="5" t="s">
        <v>694</v>
      </c>
      <c r="C690" s="5" t="s">
        <v>1823</v>
      </c>
      <c r="D690" s="5">
        <v>765</v>
      </c>
      <c r="E690" s="5">
        <v>730</v>
      </c>
      <c r="F690" s="5">
        <v>740</v>
      </c>
      <c r="G690" s="5">
        <v>730</v>
      </c>
      <c r="H690" s="5">
        <v>740</v>
      </c>
      <c r="I690" s="5">
        <v>740</v>
      </c>
      <c r="J690" s="5">
        <v>735.26</v>
      </c>
      <c r="K690" s="5">
        <v>95</v>
      </c>
      <c r="L690" s="5">
        <v>0.7</v>
      </c>
      <c r="M690" s="5">
        <v>2</v>
      </c>
      <c r="N690" s="5">
        <v>95</v>
      </c>
      <c r="O690" s="5">
        <v>100</v>
      </c>
      <c r="P690" s="5">
        <f t="shared" si="55"/>
        <v>-25</v>
      </c>
      <c r="Q690" s="6">
        <f t="shared" si="56"/>
        <v>-3.2679738562091505E-2</v>
      </c>
      <c r="R690" s="5">
        <f t="shared" si="57"/>
        <v>10</v>
      </c>
      <c r="S690" s="6">
        <f t="shared" si="58"/>
        <v>1.3071895424836602E-2</v>
      </c>
      <c r="T690" s="6">
        <f t="shared" si="59"/>
        <v>6.4489795918367468E-3</v>
      </c>
    </row>
    <row r="691" spans="1:20" hidden="1" x14ac:dyDescent="0.25">
      <c r="A691" s="4" t="s">
        <v>693</v>
      </c>
      <c r="B691" s="5" t="s">
        <v>397</v>
      </c>
      <c r="C691" s="5" t="s">
        <v>1823</v>
      </c>
      <c r="D691" s="5">
        <v>780</v>
      </c>
      <c r="E691" s="5">
        <v>824.99</v>
      </c>
      <c r="F691" s="5">
        <v>824.99</v>
      </c>
      <c r="G691" s="5">
        <v>824.99</v>
      </c>
      <c r="H691" s="5">
        <v>824.99</v>
      </c>
      <c r="I691" s="5">
        <v>824.99</v>
      </c>
      <c r="J691" s="5">
        <v>824.99</v>
      </c>
      <c r="K691" s="5">
        <v>25</v>
      </c>
      <c r="L691" s="5">
        <v>0.21</v>
      </c>
      <c r="M691" s="5">
        <v>1</v>
      </c>
      <c r="N691" s="5">
        <v>25</v>
      </c>
      <c r="O691" s="5">
        <v>100</v>
      </c>
      <c r="P691" s="5">
        <f t="shared" si="55"/>
        <v>44.990000000000009</v>
      </c>
      <c r="Q691" s="6">
        <f t="shared" si="56"/>
        <v>5.7679487179487191E-2</v>
      </c>
      <c r="R691" s="5">
        <f t="shared" si="57"/>
        <v>0</v>
      </c>
      <c r="S691" s="6">
        <f t="shared" si="58"/>
        <v>0</v>
      </c>
      <c r="T691" s="6">
        <f t="shared" si="59"/>
        <v>0</v>
      </c>
    </row>
    <row r="692" spans="1:20" x14ac:dyDescent="0.25">
      <c r="A692" s="4" t="s">
        <v>447</v>
      </c>
      <c r="B692" s="5" t="s">
        <v>16</v>
      </c>
      <c r="C692" s="5" t="s">
        <v>1823</v>
      </c>
      <c r="D692" s="5">
        <v>115.5</v>
      </c>
      <c r="E692" s="5">
        <v>115.05</v>
      </c>
      <c r="F692" s="5">
        <v>115.95</v>
      </c>
      <c r="G692" s="5">
        <v>107.4</v>
      </c>
      <c r="H692" s="5">
        <v>107.9</v>
      </c>
      <c r="I692" s="5">
        <v>108.35</v>
      </c>
      <c r="J692" s="5">
        <v>110.62</v>
      </c>
      <c r="K692" s="5">
        <v>2881901</v>
      </c>
      <c r="L692" s="5">
        <v>3188.01</v>
      </c>
      <c r="M692" s="5">
        <v>31656</v>
      </c>
      <c r="N692" s="5">
        <v>1128863</v>
      </c>
      <c r="O692" s="5">
        <v>39.17</v>
      </c>
      <c r="P692" s="5">
        <f t="shared" si="55"/>
        <v>-7.1500000000000057</v>
      </c>
      <c r="Q692" s="6">
        <f t="shared" si="56"/>
        <v>-6.1904761904761955E-2</v>
      </c>
      <c r="R692" s="5">
        <f t="shared" si="57"/>
        <v>8.5499999999999972</v>
      </c>
      <c r="S692" s="6">
        <f t="shared" si="58"/>
        <v>7.4025974025973995E-2</v>
      </c>
      <c r="T692" s="6">
        <f t="shared" si="59"/>
        <v>-2.0324566312255269E-2</v>
      </c>
    </row>
    <row r="693" spans="1:20" hidden="1" x14ac:dyDescent="0.25">
      <c r="A693" s="4" t="s">
        <v>696</v>
      </c>
      <c r="B693" s="5" t="s">
        <v>697</v>
      </c>
      <c r="C693" s="5" t="s">
        <v>1823</v>
      </c>
      <c r="D693" s="5">
        <v>85.3</v>
      </c>
      <c r="E693" s="5">
        <v>77.400000000000006</v>
      </c>
      <c r="F693" s="5">
        <v>84.5</v>
      </c>
      <c r="G693" s="5">
        <v>72</v>
      </c>
      <c r="H693" s="5">
        <v>78.05</v>
      </c>
      <c r="I693" s="5">
        <v>81.349999999999994</v>
      </c>
      <c r="J693" s="5">
        <v>80.3</v>
      </c>
      <c r="K693" s="5">
        <v>6378</v>
      </c>
      <c r="L693" s="5">
        <v>5.12</v>
      </c>
      <c r="M693" s="5">
        <v>120</v>
      </c>
      <c r="N693" s="5">
        <v>4320</v>
      </c>
      <c r="O693" s="5">
        <v>67.73</v>
      </c>
      <c r="P693" s="5">
        <f t="shared" si="55"/>
        <v>-3.9500000000000028</v>
      </c>
      <c r="Q693" s="6">
        <f t="shared" si="56"/>
        <v>-4.6307151230949625E-2</v>
      </c>
      <c r="R693" s="5">
        <f t="shared" si="57"/>
        <v>12.5</v>
      </c>
      <c r="S693" s="6">
        <f t="shared" si="58"/>
        <v>0.14654161781946073</v>
      </c>
      <c r="T693" s="6">
        <f t="shared" si="59"/>
        <v>1.3322759714512255E-2</v>
      </c>
    </row>
    <row r="694" spans="1:20" x14ac:dyDescent="0.25">
      <c r="A694" s="4" t="s">
        <v>649</v>
      </c>
      <c r="B694" s="5" t="s">
        <v>16</v>
      </c>
      <c r="C694" s="5" t="s">
        <v>1823</v>
      </c>
      <c r="D694" s="5">
        <v>388.3</v>
      </c>
      <c r="E694" s="5">
        <v>383.95</v>
      </c>
      <c r="F694" s="5">
        <v>385.8</v>
      </c>
      <c r="G694" s="5">
        <v>370.25</v>
      </c>
      <c r="H694" s="5">
        <v>372.3</v>
      </c>
      <c r="I694" s="5">
        <v>373.5</v>
      </c>
      <c r="J694" s="5">
        <v>376.97</v>
      </c>
      <c r="K694" s="5">
        <v>862591</v>
      </c>
      <c r="L694" s="5">
        <v>3251.68</v>
      </c>
      <c r="M694" s="5">
        <v>22922</v>
      </c>
      <c r="N694" s="5">
        <v>340369</v>
      </c>
      <c r="O694" s="5">
        <v>39.46</v>
      </c>
      <c r="P694" s="5">
        <f t="shared" si="55"/>
        <v>-14.800000000000011</v>
      </c>
      <c r="Q694" s="6">
        <f t="shared" si="56"/>
        <v>-3.8114859644604718E-2</v>
      </c>
      <c r="R694" s="5">
        <f t="shared" si="57"/>
        <v>15.550000000000011</v>
      </c>
      <c r="S694" s="6">
        <f t="shared" si="58"/>
        <v>4.0046355910378605E-2</v>
      </c>
      <c r="T694" s="6">
        <f t="shared" si="59"/>
        <v>-9.1707961678229987E-3</v>
      </c>
    </row>
    <row r="695" spans="1:20" hidden="1" x14ac:dyDescent="0.25">
      <c r="A695" s="4" t="s">
        <v>698</v>
      </c>
      <c r="B695" s="5" t="s">
        <v>28</v>
      </c>
      <c r="C695" s="5" t="s">
        <v>1823</v>
      </c>
      <c r="D695" s="5">
        <v>60</v>
      </c>
      <c r="E695" s="5">
        <v>60</v>
      </c>
      <c r="F695" s="5">
        <v>60</v>
      </c>
      <c r="G695" s="5">
        <v>58.5</v>
      </c>
      <c r="H695" s="5">
        <v>58.5</v>
      </c>
      <c r="I695" s="5">
        <v>58.5</v>
      </c>
      <c r="J695" s="5">
        <v>59.5</v>
      </c>
      <c r="K695" s="5">
        <v>6000</v>
      </c>
      <c r="L695" s="5">
        <v>3.57</v>
      </c>
      <c r="M695" s="5">
        <v>3</v>
      </c>
      <c r="N695" s="5">
        <v>6000</v>
      </c>
      <c r="O695" s="5">
        <v>100</v>
      </c>
      <c r="P695" s="5">
        <f t="shared" si="55"/>
        <v>-1.5</v>
      </c>
      <c r="Q695" s="6">
        <f t="shared" si="56"/>
        <v>-2.5000000000000001E-2</v>
      </c>
      <c r="R695" s="5">
        <f t="shared" si="57"/>
        <v>1.5</v>
      </c>
      <c r="S695" s="6">
        <f t="shared" si="58"/>
        <v>2.5000000000000001E-2</v>
      </c>
      <c r="T695" s="6">
        <f t="shared" si="59"/>
        <v>-1.6877637130801686E-2</v>
      </c>
    </row>
    <row r="696" spans="1:20" hidden="1" x14ac:dyDescent="0.25">
      <c r="A696" s="4" t="s">
        <v>699</v>
      </c>
      <c r="B696" s="5" t="s">
        <v>700</v>
      </c>
      <c r="C696" s="5" t="s">
        <v>1823</v>
      </c>
      <c r="D696" s="5">
        <v>919.5</v>
      </c>
      <c r="E696" s="5">
        <v>920</v>
      </c>
      <c r="F696" s="5">
        <v>920</v>
      </c>
      <c r="G696" s="5">
        <v>900.1</v>
      </c>
      <c r="H696" s="5">
        <v>900.1</v>
      </c>
      <c r="I696" s="5">
        <v>900.1</v>
      </c>
      <c r="J696" s="5">
        <v>909.28</v>
      </c>
      <c r="K696" s="5">
        <v>103</v>
      </c>
      <c r="L696" s="5">
        <v>0.94</v>
      </c>
      <c r="M696" s="5">
        <v>6</v>
      </c>
      <c r="N696" s="5">
        <v>103</v>
      </c>
      <c r="O696" s="5">
        <v>100</v>
      </c>
      <c r="P696" s="5">
        <f t="shared" si="55"/>
        <v>-19.399999999999977</v>
      </c>
      <c r="Q696" s="6">
        <f t="shared" si="56"/>
        <v>-2.1098423056008675E-2</v>
      </c>
      <c r="R696" s="5">
        <f t="shared" si="57"/>
        <v>19.899999999999977</v>
      </c>
      <c r="S696" s="6">
        <f t="shared" si="58"/>
        <v>2.1642196846111992E-2</v>
      </c>
      <c r="T696" s="6">
        <f t="shared" si="59"/>
        <v>-1.0087357837481402E-2</v>
      </c>
    </row>
    <row r="697" spans="1:20" hidden="1" x14ac:dyDescent="0.25">
      <c r="A697" s="4" t="s">
        <v>699</v>
      </c>
      <c r="B697" s="5" t="s">
        <v>480</v>
      </c>
      <c r="C697" s="5" t="s">
        <v>1823</v>
      </c>
      <c r="D697" s="5">
        <v>905</v>
      </c>
      <c r="E697" s="5">
        <v>862</v>
      </c>
      <c r="F697" s="5">
        <v>894</v>
      </c>
      <c r="G697" s="5">
        <v>730</v>
      </c>
      <c r="H697" s="5">
        <v>870</v>
      </c>
      <c r="I697" s="5">
        <v>870</v>
      </c>
      <c r="J697" s="5">
        <v>831.69</v>
      </c>
      <c r="K697" s="5">
        <v>456</v>
      </c>
      <c r="L697" s="5">
        <v>3.79</v>
      </c>
      <c r="M697" s="5">
        <v>26</v>
      </c>
      <c r="N697" s="5">
        <v>378</v>
      </c>
      <c r="O697" s="5">
        <v>82.89</v>
      </c>
      <c r="P697" s="5">
        <f t="shared" si="55"/>
        <v>-35</v>
      </c>
      <c r="Q697" s="6">
        <f t="shared" si="56"/>
        <v>-3.8674033149171269E-2</v>
      </c>
      <c r="R697" s="5">
        <f t="shared" si="57"/>
        <v>164</v>
      </c>
      <c r="S697" s="6">
        <f t="shared" si="58"/>
        <v>0.18121546961325966</v>
      </c>
      <c r="T697" s="6">
        <f t="shared" si="59"/>
        <v>4.5661501787842604E-2</v>
      </c>
    </row>
    <row r="698" spans="1:20" hidden="1" x14ac:dyDescent="0.25">
      <c r="A698" s="4" t="s">
        <v>699</v>
      </c>
      <c r="B698" s="5" t="s">
        <v>254</v>
      </c>
      <c r="C698" s="5" t="s">
        <v>1823</v>
      </c>
      <c r="D698" s="5">
        <v>910</v>
      </c>
      <c r="E698" s="5">
        <v>938.95</v>
      </c>
      <c r="F698" s="5">
        <v>938.95</v>
      </c>
      <c r="G698" s="5">
        <v>938</v>
      </c>
      <c r="H698" s="5">
        <v>938</v>
      </c>
      <c r="I698" s="5">
        <v>938</v>
      </c>
      <c r="J698" s="5">
        <v>938.79</v>
      </c>
      <c r="K698" s="5">
        <v>12</v>
      </c>
      <c r="L698" s="5">
        <v>0.11</v>
      </c>
      <c r="M698" s="5">
        <v>2</v>
      </c>
      <c r="N698" s="5">
        <v>12</v>
      </c>
      <c r="O698" s="5">
        <v>100</v>
      </c>
      <c r="P698" s="5">
        <f t="shared" si="55"/>
        <v>28</v>
      </c>
      <c r="Q698" s="6">
        <f t="shared" si="56"/>
        <v>3.0769230769230771E-2</v>
      </c>
      <c r="R698" s="5">
        <f t="shared" si="57"/>
        <v>0.95000000000004547</v>
      </c>
      <c r="S698" s="6">
        <f t="shared" si="58"/>
        <v>1.0439560439560939E-3</v>
      </c>
      <c r="T698" s="6">
        <f t="shared" si="59"/>
        <v>-8.4179120381466062E-4</v>
      </c>
    </row>
    <row r="699" spans="1:20" hidden="1" x14ac:dyDescent="0.25">
      <c r="A699" s="4" t="s">
        <v>699</v>
      </c>
      <c r="B699" s="5" t="s">
        <v>439</v>
      </c>
      <c r="C699" s="5" t="s">
        <v>1823</v>
      </c>
      <c r="D699" s="5">
        <v>816.92</v>
      </c>
      <c r="E699" s="5">
        <v>811.1</v>
      </c>
      <c r="F699" s="5">
        <v>811.1</v>
      </c>
      <c r="G699" s="5">
        <v>770</v>
      </c>
      <c r="H699" s="5">
        <v>770</v>
      </c>
      <c r="I699" s="5">
        <v>770</v>
      </c>
      <c r="J699" s="5">
        <v>786.44</v>
      </c>
      <c r="K699" s="5">
        <v>50</v>
      </c>
      <c r="L699" s="5">
        <v>0.39</v>
      </c>
      <c r="M699" s="5">
        <v>3</v>
      </c>
      <c r="N699" s="5">
        <v>50</v>
      </c>
      <c r="O699" s="5">
        <v>100</v>
      </c>
      <c r="P699" s="5">
        <f t="shared" si="55"/>
        <v>-46.919999999999959</v>
      </c>
      <c r="Q699" s="6">
        <f t="shared" si="56"/>
        <v>-5.7435244577192332E-2</v>
      </c>
      <c r="R699" s="5">
        <f t="shared" si="57"/>
        <v>41.100000000000023</v>
      </c>
      <c r="S699" s="6">
        <f t="shared" si="58"/>
        <v>5.0310923958282357E-2</v>
      </c>
      <c r="T699" s="6">
        <f t="shared" si="59"/>
        <v>-2.0795648599076663E-2</v>
      </c>
    </row>
    <row r="700" spans="1:20" hidden="1" x14ac:dyDescent="0.25">
      <c r="A700" s="4" t="s">
        <v>699</v>
      </c>
      <c r="B700" s="5" t="s">
        <v>396</v>
      </c>
      <c r="C700" s="5" t="s">
        <v>1823</v>
      </c>
      <c r="D700" s="5">
        <v>920</v>
      </c>
      <c r="E700" s="5">
        <v>917</v>
      </c>
      <c r="F700" s="5">
        <v>917</v>
      </c>
      <c r="G700" s="5">
        <v>916.01</v>
      </c>
      <c r="H700" s="5">
        <v>916.01</v>
      </c>
      <c r="I700" s="5">
        <v>916.01</v>
      </c>
      <c r="J700" s="5">
        <v>916.26</v>
      </c>
      <c r="K700" s="5">
        <v>4</v>
      </c>
      <c r="L700" s="5">
        <v>0.04</v>
      </c>
      <c r="M700" s="5">
        <v>2</v>
      </c>
      <c r="N700" s="5">
        <v>4</v>
      </c>
      <c r="O700" s="5">
        <v>100</v>
      </c>
      <c r="P700" s="5">
        <f t="shared" si="55"/>
        <v>-3.9900000000000091</v>
      </c>
      <c r="Q700" s="6">
        <f t="shared" si="56"/>
        <v>-4.3369565217391401E-3</v>
      </c>
      <c r="R700" s="5">
        <f t="shared" si="57"/>
        <v>0.99000000000000909</v>
      </c>
      <c r="S700" s="6">
        <f t="shared" si="58"/>
        <v>1.0760869565217489E-3</v>
      </c>
      <c r="T700" s="6">
        <f t="shared" si="59"/>
        <v>-2.7277538038526794E-4</v>
      </c>
    </row>
    <row r="701" spans="1:20" hidden="1" x14ac:dyDescent="0.25">
      <c r="A701" s="4" t="s">
        <v>699</v>
      </c>
      <c r="B701" s="5" t="s">
        <v>687</v>
      </c>
      <c r="C701" s="5" t="s">
        <v>1823</v>
      </c>
      <c r="D701" s="5">
        <v>950</v>
      </c>
      <c r="E701" s="5">
        <v>950</v>
      </c>
      <c r="F701" s="5">
        <v>950</v>
      </c>
      <c r="G701" s="5">
        <v>950</v>
      </c>
      <c r="H701" s="5">
        <v>950</v>
      </c>
      <c r="I701" s="5">
        <v>950</v>
      </c>
      <c r="J701" s="5">
        <v>950</v>
      </c>
      <c r="K701" s="5">
        <v>50</v>
      </c>
      <c r="L701" s="5">
        <v>0.48</v>
      </c>
      <c r="M701" s="5">
        <v>2</v>
      </c>
      <c r="N701" s="5">
        <v>50</v>
      </c>
      <c r="O701" s="5">
        <v>100</v>
      </c>
      <c r="P701" s="5">
        <f t="shared" si="55"/>
        <v>0</v>
      </c>
      <c r="Q701" s="6">
        <f t="shared" si="56"/>
        <v>0</v>
      </c>
      <c r="R701" s="5">
        <f t="shared" si="57"/>
        <v>0</v>
      </c>
      <c r="S701" s="6">
        <f t="shared" si="58"/>
        <v>0</v>
      </c>
      <c r="T701" s="6">
        <f t="shared" si="59"/>
        <v>0</v>
      </c>
    </row>
    <row r="702" spans="1:20" hidden="1" x14ac:dyDescent="0.25">
      <c r="A702" s="4" t="s">
        <v>701</v>
      </c>
      <c r="B702" s="5" t="s">
        <v>16</v>
      </c>
      <c r="C702" s="5" t="s">
        <v>1823</v>
      </c>
      <c r="D702" s="5">
        <v>152.69</v>
      </c>
      <c r="E702" s="5">
        <v>155</v>
      </c>
      <c r="F702" s="5">
        <v>155</v>
      </c>
      <c r="G702" s="5">
        <v>151</v>
      </c>
      <c r="H702" s="5">
        <v>151.38999999999999</v>
      </c>
      <c r="I702" s="5">
        <v>151.38</v>
      </c>
      <c r="J702" s="5">
        <v>151.5</v>
      </c>
      <c r="K702" s="5">
        <v>129781</v>
      </c>
      <c r="L702" s="5">
        <v>196.62</v>
      </c>
      <c r="M702" s="5">
        <v>98</v>
      </c>
      <c r="N702" s="5">
        <v>129778</v>
      </c>
      <c r="O702" s="5">
        <v>100</v>
      </c>
      <c r="P702" s="5">
        <f t="shared" si="55"/>
        <v>-1.3100000000000023</v>
      </c>
      <c r="Q702" s="6">
        <f t="shared" si="56"/>
        <v>-8.5794747527670589E-3</v>
      </c>
      <c r="R702" s="5">
        <f t="shared" si="57"/>
        <v>4</v>
      </c>
      <c r="S702" s="6">
        <f t="shared" si="58"/>
        <v>2.6196869474097845E-2</v>
      </c>
      <c r="T702" s="6">
        <f t="shared" si="59"/>
        <v>-7.8382703550086252E-4</v>
      </c>
    </row>
    <row r="703" spans="1:20" hidden="1" x14ac:dyDescent="0.25">
      <c r="A703" s="4" t="s">
        <v>702</v>
      </c>
      <c r="B703" s="5" t="s">
        <v>16</v>
      </c>
      <c r="C703" s="5" t="s">
        <v>1823</v>
      </c>
      <c r="D703" s="5">
        <v>35.200000000000003</v>
      </c>
      <c r="E703" s="5">
        <v>35.49</v>
      </c>
      <c r="F703" s="5">
        <v>35.49</v>
      </c>
      <c r="G703" s="5">
        <v>34.700000000000003</v>
      </c>
      <c r="H703" s="5">
        <v>34.75</v>
      </c>
      <c r="I703" s="5">
        <v>34.78</v>
      </c>
      <c r="J703" s="5">
        <v>34.979999999999997</v>
      </c>
      <c r="K703" s="5">
        <v>147704</v>
      </c>
      <c r="L703" s="5">
        <v>51.67</v>
      </c>
      <c r="M703" s="5">
        <v>4736</v>
      </c>
      <c r="N703" s="5">
        <v>121742</v>
      </c>
      <c r="O703" s="5">
        <v>82.42</v>
      </c>
      <c r="P703" s="5">
        <f t="shared" si="55"/>
        <v>-0.42000000000000171</v>
      </c>
      <c r="Q703" s="6">
        <f t="shared" si="56"/>
        <v>-1.1931818181818229E-2</v>
      </c>
      <c r="R703" s="5">
        <f t="shared" si="57"/>
        <v>0.78999999999999915</v>
      </c>
      <c r="S703" s="6">
        <f t="shared" si="58"/>
        <v>2.2443181818181793E-2</v>
      </c>
      <c r="T703" s="6">
        <f t="shared" si="59"/>
        <v>-5.6955716930085637E-3</v>
      </c>
    </row>
    <row r="704" spans="1:20" hidden="1" x14ac:dyDescent="0.25">
      <c r="A704" s="4" t="s">
        <v>703</v>
      </c>
      <c r="B704" s="5" t="s">
        <v>16</v>
      </c>
      <c r="C704" s="5" t="s">
        <v>1823</v>
      </c>
      <c r="D704" s="5">
        <v>440.9</v>
      </c>
      <c r="E704" s="5">
        <v>439.1</v>
      </c>
      <c r="F704" s="5">
        <v>440.95</v>
      </c>
      <c r="G704" s="5">
        <v>429.6</v>
      </c>
      <c r="H704" s="5">
        <v>434.8</v>
      </c>
      <c r="I704" s="5">
        <v>434.2</v>
      </c>
      <c r="J704" s="5">
        <v>434.35</v>
      </c>
      <c r="K704" s="5">
        <v>19987241</v>
      </c>
      <c r="L704" s="5">
        <v>86814.34</v>
      </c>
      <c r="M704" s="5">
        <v>203698</v>
      </c>
      <c r="N704" s="5">
        <v>9323965</v>
      </c>
      <c r="O704" s="5">
        <v>46.65</v>
      </c>
      <c r="P704" s="5">
        <f t="shared" si="55"/>
        <v>-6.6999999999999886</v>
      </c>
      <c r="Q704" s="6">
        <f t="shared" si="56"/>
        <v>-1.5196189612156926E-2</v>
      </c>
      <c r="R704" s="5">
        <f t="shared" si="57"/>
        <v>11.349999999999966</v>
      </c>
      <c r="S704" s="6">
        <f t="shared" si="58"/>
        <v>2.5742798820594163E-2</v>
      </c>
      <c r="T704" s="6">
        <f t="shared" si="59"/>
        <v>-3.4406629010530514E-4</v>
      </c>
    </row>
    <row r="705" spans="1:20" hidden="1" x14ac:dyDescent="0.25">
      <c r="A705" s="4" t="s">
        <v>704</v>
      </c>
      <c r="B705" s="5" t="s">
        <v>16</v>
      </c>
      <c r="C705" s="5" t="s">
        <v>1823</v>
      </c>
      <c r="D705" s="5">
        <v>302.60000000000002</v>
      </c>
      <c r="E705" s="5">
        <v>307</v>
      </c>
      <c r="F705" s="5">
        <v>307</v>
      </c>
      <c r="G705" s="5">
        <v>292.7</v>
      </c>
      <c r="H705" s="5">
        <v>295.38</v>
      </c>
      <c r="I705" s="5">
        <v>295.68</v>
      </c>
      <c r="J705" s="5">
        <v>296.23</v>
      </c>
      <c r="K705" s="5">
        <v>1107</v>
      </c>
      <c r="L705" s="5">
        <v>3.28</v>
      </c>
      <c r="M705" s="5">
        <v>58</v>
      </c>
      <c r="N705" s="5">
        <v>1043</v>
      </c>
      <c r="O705" s="5">
        <v>94.22</v>
      </c>
      <c r="P705" s="5">
        <f t="shared" si="55"/>
        <v>-6.9200000000000159</v>
      </c>
      <c r="Q705" s="6">
        <f t="shared" si="56"/>
        <v>-2.2868473231989477E-2</v>
      </c>
      <c r="R705" s="5">
        <f t="shared" si="57"/>
        <v>14.300000000000011</v>
      </c>
      <c r="S705" s="6">
        <f t="shared" si="58"/>
        <v>4.7257105089226738E-2</v>
      </c>
      <c r="T705" s="6">
        <f t="shared" si="59"/>
        <v>-1.8297044195678947E-3</v>
      </c>
    </row>
    <row r="706" spans="1:20" hidden="1" x14ac:dyDescent="0.25">
      <c r="A706" s="4" t="s">
        <v>705</v>
      </c>
      <c r="B706" s="5" t="s">
        <v>16</v>
      </c>
      <c r="C706" s="5" t="s">
        <v>1823</v>
      </c>
      <c r="D706" s="5">
        <v>169.51</v>
      </c>
      <c r="E706" s="5">
        <v>166.7</v>
      </c>
      <c r="F706" s="5">
        <v>167.26</v>
      </c>
      <c r="G706" s="5">
        <v>161.69999999999999</v>
      </c>
      <c r="H706" s="5">
        <v>166.8</v>
      </c>
      <c r="I706" s="5">
        <v>166.4</v>
      </c>
      <c r="J706" s="5">
        <v>166.71</v>
      </c>
      <c r="K706" s="5">
        <v>13343</v>
      </c>
      <c r="L706" s="5">
        <v>22.24</v>
      </c>
      <c r="M706" s="5">
        <v>24</v>
      </c>
      <c r="N706" s="5">
        <v>13317</v>
      </c>
      <c r="O706" s="5">
        <v>99.81</v>
      </c>
      <c r="P706" s="5">
        <f t="shared" si="55"/>
        <v>-3.1099999999999852</v>
      </c>
      <c r="Q706" s="6">
        <f t="shared" si="56"/>
        <v>-1.8347000176980623E-2</v>
      </c>
      <c r="R706" s="5">
        <f t="shared" si="57"/>
        <v>5.5600000000000023</v>
      </c>
      <c r="S706" s="6">
        <f t="shared" si="58"/>
        <v>3.280042475370186E-2</v>
      </c>
      <c r="T706" s="6">
        <f t="shared" si="59"/>
        <v>-1.8729420294233291E-3</v>
      </c>
    </row>
    <row r="707" spans="1:20" x14ac:dyDescent="0.25">
      <c r="A707" s="4" t="s">
        <v>1236</v>
      </c>
      <c r="B707" s="5" t="s">
        <v>16</v>
      </c>
      <c r="C707" s="5" t="s">
        <v>1823</v>
      </c>
      <c r="D707" s="5">
        <v>1456.8</v>
      </c>
      <c r="E707" s="5">
        <v>1456.8</v>
      </c>
      <c r="F707" s="5">
        <v>1456.8</v>
      </c>
      <c r="G707" s="5">
        <v>1411.1</v>
      </c>
      <c r="H707" s="5">
        <v>1434</v>
      </c>
      <c r="I707" s="5">
        <v>1438.7</v>
      </c>
      <c r="J707" s="5">
        <v>1430.34</v>
      </c>
      <c r="K707" s="5">
        <v>352260</v>
      </c>
      <c r="L707" s="5">
        <v>5038.53</v>
      </c>
      <c r="M707" s="5">
        <v>21295</v>
      </c>
      <c r="N707" s="5">
        <v>139228</v>
      </c>
      <c r="O707" s="5">
        <v>39.520000000000003</v>
      </c>
      <c r="P707" s="5">
        <f t="shared" si="55"/>
        <v>-18.099999999999909</v>
      </c>
      <c r="Q707" s="6">
        <f t="shared" si="56"/>
        <v>-1.2424492037342057E-2</v>
      </c>
      <c r="R707" s="5">
        <f t="shared" si="57"/>
        <v>45.700000000000045</v>
      </c>
      <c r="S707" s="6">
        <f t="shared" si="58"/>
        <v>3.1370126304228481E-2</v>
      </c>
      <c r="T707" s="6">
        <f t="shared" si="59"/>
        <v>5.8021306867474948E-3</v>
      </c>
    </row>
    <row r="708" spans="1:20" hidden="1" x14ac:dyDescent="0.25">
      <c r="A708" s="4" t="s">
        <v>707</v>
      </c>
      <c r="B708" s="5" t="s">
        <v>16</v>
      </c>
      <c r="C708" s="5" t="s">
        <v>1823</v>
      </c>
      <c r="D708" s="5">
        <v>34.1</v>
      </c>
      <c r="E708" s="5">
        <v>31.7</v>
      </c>
      <c r="F708" s="5">
        <v>37.9</v>
      </c>
      <c r="G708" s="5">
        <v>31.7</v>
      </c>
      <c r="H708" s="5">
        <v>34.4</v>
      </c>
      <c r="I708" s="5">
        <v>34.35</v>
      </c>
      <c r="J708" s="5">
        <v>34.33</v>
      </c>
      <c r="K708" s="5">
        <v>18243</v>
      </c>
      <c r="L708" s="5">
        <v>6.26</v>
      </c>
      <c r="M708" s="5">
        <v>336</v>
      </c>
      <c r="N708" s="5">
        <v>14433</v>
      </c>
      <c r="O708" s="5">
        <v>79.12</v>
      </c>
      <c r="P708" s="5">
        <f t="shared" si="55"/>
        <v>0.25</v>
      </c>
      <c r="Q708" s="6">
        <f t="shared" si="56"/>
        <v>7.3313782991202342E-3</v>
      </c>
      <c r="R708" s="5">
        <f t="shared" si="57"/>
        <v>6.1999999999999993</v>
      </c>
      <c r="S708" s="6">
        <f t="shared" si="58"/>
        <v>0.1818181818181818</v>
      </c>
      <c r="T708" s="6">
        <f t="shared" si="59"/>
        <v>5.8975304091420935E-4</v>
      </c>
    </row>
    <row r="709" spans="1:20" hidden="1" x14ac:dyDescent="0.25">
      <c r="A709" s="4" t="s">
        <v>708</v>
      </c>
      <c r="B709" s="5" t="s">
        <v>16</v>
      </c>
      <c r="C709" s="5" t="s">
        <v>1823</v>
      </c>
      <c r="D709" s="5">
        <v>1000</v>
      </c>
      <c r="E709" s="5">
        <v>1000</v>
      </c>
      <c r="F709" s="5">
        <v>1000</v>
      </c>
      <c r="G709" s="5">
        <v>999.99</v>
      </c>
      <c r="H709" s="5">
        <v>1000</v>
      </c>
      <c r="I709" s="5">
        <v>1000</v>
      </c>
      <c r="J709" s="5">
        <v>1000</v>
      </c>
      <c r="K709" s="5">
        <v>20957</v>
      </c>
      <c r="L709" s="5">
        <v>209.57</v>
      </c>
      <c r="M709" s="5">
        <v>51</v>
      </c>
      <c r="N709" s="5">
        <v>9910</v>
      </c>
      <c r="O709" s="5">
        <v>47.29</v>
      </c>
      <c r="P709" s="5">
        <f t="shared" si="55"/>
        <v>0</v>
      </c>
      <c r="Q709" s="6">
        <f t="shared" si="56"/>
        <v>0</v>
      </c>
      <c r="R709" s="5">
        <f t="shared" si="57"/>
        <v>9.9999999999909051E-3</v>
      </c>
      <c r="S709" s="6">
        <f t="shared" si="58"/>
        <v>9.9999999999909054E-6</v>
      </c>
      <c r="T709" s="6">
        <f t="shared" si="59"/>
        <v>0</v>
      </c>
    </row>
    <row r="710" spans="1:20" hidden="1" x14ac:dyDescent="0.25">
      <c r="A710" s="4" t="s">
        <v>709</v>
      </c>
      <c r="B710" s="5" t="s">
        <v>16</v>
      </c>
      <c r="C710" s="5" t="s">
        <v>1823</v>
      </c>
      <c r="D710" s="5">
        <v>91.84</v>
      </c>
      <c r="E710" s="5">
        <v>95.5</v>
      </c>
      <c r="F710" s="5">
        <v>95.7</v>
      </c>
      <c r="G710" s="5">
        <v>86.77</v>
      </c>
      <c r="H710" s="5">
        <v>91.99</v>
      </c>
      <c r="I710" s="5">
        <v>92.54</v>
      </c>
      <c r="J710" s="5">
        <v>90.79</v>
      </c>
      <c r="K710" s="5">
        <v>15172</v>
      </c>
      <c r="L710" s="5">
        <v>13.77</v>
      </c>
      <c r="M710" s="5">
        <v>78</v>
      </c>
      <c r="N710" s="5">
        <v>15035</v>
      </c>
      <c r="O710" s="5">
        <v>99.1</v>
      </c>
      <c r="P710" s="5">
        <f t="shared" si="55"/>
        <v>0.70000000000000284</v>
      </c>
      <c r="Q710" s="6">
        <f t="shared" si="56"/>
        <v>7.6219512195122262E-3</v>
      </c>
      <c r="R710" s="5">
        <f t="shared" si="57"/>
        <v>8.9300000000000068</v>
      </c>
      <c r="S710" s="6">
        <f t="shared" si="58"/>
        <v>9.7234320557491358E-2</v>
      </c>
      <c r="T710" s="6">
        <f t="shared" si="59"/>
        <v>1.889287738522577E-2</v>
      </c>
    </row>
    <row r="711" spans="1:20" hidden="1" x14ac:dyDescent="0.25">
      <c r="A711" s="4" t="s">
        <v>710</v>
      </c>
      <c r="B711" s="5" t="s">
        <v>16</v>
      </c>
      <c r="C711" s="5" t="s">
        <v>1823</v>
      </c>
      <c r="D711" s="5">
        <v>65.180000000000007</v>
      </c>
      <c r="E711" s="5">
        <v>66.5</v>
      </c>
      <c r="F711" s="5">
        <v>67</v>
      </c>
      <c r="G711" s="5">
        <v>62.91</v>
      </c>
      <c r="H711" s="5">
        <v>63.2</v>
      </c>
      <c r="I711" s="5">
        <v>63.2</v>
      </c>
      <c r="J711" s="5">
        <v>63.29</v>
      </c>
      <c r="K711" s="5">
        <v>20152</v>
      </c>
      <c r="L711" s="5">
        <v>12.75</v>
      </c>
      <c r="M711" s="5">
        <v>160</v>
      </c>
      <c r="N711" s="5">
        <v>11464</v>
      </c>
      <c r="O711" s="5">
        <v>56.89</v>
      </c>
      <c r="P711" s="5">
        <f t="shared" si="55"/>
        <v>-1.980000000000004</v>
      </c>
      <c r="Q711" s="6">
        <f t="shared" si="56"/>
        <v>-3.0377416385394349E-2</v>
      </c>
      <c r="R711" s="5">
        <f t="shared" si="57"/>
        <v>4.0900000000000034</v>
      </c>
      <c r="S711" s="6">
        <f t="shared" si="58"/>
        <v>6.2749309604173104E-2</v>
      </c>
      <c r="T711" s="6">
        <f t="shared" si="59"/>
        <v>-1.3866954277569632E-3</v>
      </c>
    </row>
    <row r="712" spans="1:20" hidden="1" x14ac:dyDescent="0.25">
      <c r="A712" s="4" t="s">
        <v>711</v>
      </c>
      <c r="B712" s="5" t="s">
        <v>16</v>
      </c>
      <c r="C712" s="5" t="s">
        <v>1823</v>
      </c>
      <c r="D712" s="5">
        <v>125.5</v>
      </c>
      <c r="E712" s="5">
        <v>124.43</v>
      </c>
      <c r="F712" s="5">
        <v>125.01</v>
      </c>
      <c r="G712" s="5">
        <v>123.63</v>
      </c>
      <c r="H712" s="5">
        <v>123.63</v>
      </c>
      <c r="I712" s="5">
        <v>123.63</v>
      </c>
      <c r="J712" s="5">
        <v>124.39</v>
      </c>
      <c r="K712" s="5">
        <v>794</v>
      </c>
      <c r="L712" s="5">
        <v>0.99</v>
      </c>
      <c r="M712" s="5">
        <v>19</v>
      </c>
      <c r="N712" s="5">
        <v>445</v>
      </c>
      <c r="O712" s="5">
        <v>56.05</v>
      </c>
      <c r="P712" s="5">
        <f t="shared" si="55"/>
        <v>-1.8700000000000045</v>
      </c>
      <c r="Q712" s="6">
        <f t="shared" si="56"/>
        <v>-1.4900398406374539E-2</v>
      </c>
      <c r="R712" s="5">
        <f t="shared" si="57"/>
        <v>1.3800000000000097</v>
      </c>
      <c r="S712" s="6">
        <f t="shared" si="58"/>
        <v>1.0996015936255057E-2</v>
      </c>
      <c r="T712" s="6">
        <f t="shared" si="59"/>
        <v>-6.1203946043890088E-3</v>
      </c>
    </row>
    <row r="713" spans="1:20" x14ac:dyDescent="0.25">
      <c r="A713" s="4" t="s">
        <v>334</v>
      </c>
      <c r="B713" s="5" t="s">
        <v>16</v>
      </c>
      <c r="C713" s="5" t="s">
        <v>1823</v>
      </c>
      <c r="D713" s="5">
        <v>198.15</v>
      </c>
      <c r="E713" s="5">
        <v>193</v>
      </c>
      <c r="F713" s="5">
        <v>198.7</v>
      </c>
      <c r="G713" s="5">
        <v>191.15</v>
      </c>
      <c r="H713" s="5">
        <v>193</v>
      </c>
      <c r="I713" s="5">
        <v>192.6</v>
      </c>
      <c r="J713" s="5">
        <v>195.61</v>
      </c>
      <c r="K713" s="5">
        <v>6873148</v>
      </c>
      <c r="L713" s="5">
        <v>13444.43</v>
      </c>
      <c r="M713" s="5">
        <v>59761</v>
      </c>
      <c r="N713" s="5">
        <v>2717231</v>
      </c>
      <c r="O713" s="5">
        <v>39.53</v>
      </c>
      <c r="P713" s="5">
        <f t="shared" si="55"/>
        <v>-5.5500000000000114</v>
      </c>
      <c r="Q713" s="6">
        <f t="shared" si="56"/>
        <v>-2.8009084027252138E-2</v>
      </c>
      <c r="R713" s="5">
        <f t="shared" si="57"/>
        <v>7.5499999999999829</v>
      </c>
      <c r="S713" s="6">
        <f t="shared" si="58"/>
        <v>3.8102447640676169E-2</v>
      </c>
      <c r="T713" s="6">
        <f t="shared" si="59"/>
        <v>-1.5526468502160135E-2</v>
      </c>
    </row>
    <row r="714" spans="1:20" hidden="1" x14ac:dyDescent="0.25">
      <c r="A714" s="4" t="s">
        <v>713</v>
      </c>
      <c r="B714" s="5" t="s">
        <v>16</v>
      </c>
      <c r="C714" s="5" t="s">
        <v>1823</v>
      </c>
      <c r="D714" s="5">
        <v>55.26</v>
      </c>
      <c r="E714" s="5">
        <v>57</v>
      </c>
      <c r="F714" s="5">
        <v>58</v>
      </c>
      <c r="G714" s="5">
        <v>54.5</v>
      </c>
      <c r="H714" s="5">
        <v>55.3</v>
      </c>
      <c r="I714" s="5">
        <v>55.38</v>
      </c>
      <c r="J714" s="5">
        <v>55.31</v>
      </c>
      <c r="K714" s="5">
        <v>4709</v>
      </c>
      <c r="L714" s="5">
        <v>2.6</v>
      </c>
      <c r="M714" s="5">
        <v>82</v>
      </c>
      <c r="N714" s="5">
        <v>2986</v>
      </c>
      <c r="O714" s="5">
        <v>63.41</v>
      </c>
      <c r="P714" s="5">
        <f t="shared" si="55"/>
        <v>0.12000000000000455</v>
      </c>
      <c r="Q714" s="6">
        <f t="shared" si="56"/>
        <v>2.1715526601520912E-3</v>
      </c>
      <c r="R714" s="5">
        <f t="shared" si="57"/>
        <v>3.5</v>
      </c>
      <c r="S714" s="6">
        <f t="shared" si="58"/>
        <v>6.333695258776692E-2</v>
      </c>
      <c r="T714" s="6">
        <f t="shared" si="59"/>
        <v>1.2451085023123495E-3</v>
      </c>
    </row>
    <row r="715" spans="1:20" hidden="1" x14ac:dyDescent="0.25">
      <c r="A715" s="4" t="s">
        <v>714</v>
      </c>
      <c r="B715" s="5" t="s">
        <v>16</v>
      </c>
      <c r="C715" s="5" t="s">
        <v>1823</v>
      </c>
      <c r="D715" s="5">
        <v>28.03</v>
      </c>
      <c r="E715" s="5">
        <v>29</v>
      </c>
      <c r="F715" s="5">
        <v>29</v>
      </c>
      <c r="G715" s="5">
        <v>27.5</v>
      </c>
      <c r="H715" s="5">
        <v>27.81</v>
      </c>
      <c r="I715" s="5">
        <v>27.74</v>
      </c>
      <c r="J715" s="5">
        <v>27.78</v>
      </c>
      <c r="K715" s="5">
        <v>74240</v>
      </c>
      <c r="L715" s="5">
        <v>20.63</v>
      </c>
      <c r="M715" s="5">
        <v>211</v>
      </c>
      <c r="N715" s="5">
        <v>57471</v>
      </c>
      <c r="O715" s="5">
        <v>77.41</v>
      </c>
      <c r="P715" s="5">
        <f t="shared" si="55"/>
        <v>-0.2900000000000027</v>
      </c>
      <c r="Q715" s="6">
        <f t="shared" si="56"/>
        <v>-1.0346057795219504E-2</v>
      </c>
      <c r="R715" s="5">
        <f t="shared" si="57"/>
        <v>1.5</v>
      </c>
      <c r="S715" s="6">
        <f t="shared" si="58"/>
        <v>5.3514092044238314E-2</v>
      </c>
      <c r="T715" s="6">
        <f t="shared" si="59"/>
        <v>-1.4129282938891805E-3</v>
      </c>
    </row>
    <row r="716" spans="1:20" hidden="1" x14ac:dyDescent="0.25">
      <c r="A716" s="4" t="s">
        <v>715</v>
      </c>
      <c r="B716" s="5" t="s">
        <v>16</v>
      </c>
      <c r="C716" s="5" t="s">
        <v>1823</v>
      </c>
      <c r="D716" s="5">
        <v>427.4</v>
      </c>
      <c r="E716" s="5">
        <v>427.5</v>
      </c>
      <c r="F716" s="5">
        <v>436</v>
      </c>
      <c r="G716" s="5">
        <v>424.55</v>
      </c>
      <c r="H716" s="5">
        <v>433.5</v>
      </c>
      <c r="I716" s="5">
        <v>433.25</v>
      </c>
      <c r="J716" s="5">
        <v>432.72</v>
      </c>
      <c r="K716" s="5">
        <v>2277358</v>
      </c>
      <c r="L716" s="5">
        <v>9854.51</v>
      </c>
      <c r="M716" s="5">
        <v>63845</v>
      </c>
      <c r="N716" s="5">
        <v>720472</v>
      </c>
      <c r="O716" s="5">
        <v>31.64</v>
      </c>
      <c r="P716" s="5">
        <f t="shared" ref="P716:P779" si="60">I716-D716</f>
        <v>5.8500000000000227</v>
      </c>
      <c r="Q716" s="6">
        <f t="shared" ref="Q716:Q779" si="61">P716/D716</f>
        <v>1.3687412260177874E-2</v>
      </c>
      <c r="R716" s="5">
        <f t="shared" ref="R716:R779" si="62">ABS(F716-G716)</f>
        <v>11.449999999999989</v>
      </c>
      <c r="S716" s="6">
        <f t="shared" ref="S716:S779" si="63">R716/D716</f>
        <v>2.6789892372484768E-2</v>
      </c>
      <c r="T716" s="6">
        <f t="shared" ref="T716:T779" si="64">(I716-J716)/AVERAGE(E716:G716,I716)</f>
        <v>1.2316272584673741E-3</v>
      </c>
    </row>
    <row r="717" spans="1:20" hidden="1" x14ac:dyDescent="0.25">
      <c r="A717" s="4" t="s">
        <v>716</v>
      </c>
      <c r="B717" s="5" t="s">
        <v>16</v>
      </c>
      <c r="C717" s="5" t="s">
        <v>1823</v>
      </c>
      <c r="D717" s="5">
        <v>415.09</v>
      </c>
      <c r="E717" s="5">
        <v>412.27</v>
      </c>
      <c r="F717" s="5">
        <v>414.11</v>
      </c>
      <c r="G717" s="5">
        <v>410.1</v>
      </c>
      <c r="H717" s="5">
        <v>411.29</v>
      </c>
      <c r="I717" s="5">
        <v>411.42</v>
      </c>
      <c r="J717" s="5">
        <v>411.5</v>
      </c>
      <c r="K717" s="5">
        <v>230</v>
      </c>
      <c r="L717" s="5">
        <v>0.95</v>
      </c>
      <c r="M717" s="5">
        <v>19</v>
      </c>
      <c r="N717" s="5">
        <v>156</v>
      </c>
      <c r="O717" s="5">
        <v>67.83</v>
      </c>
      <c r="P717" s="5">
        <f t="shared" si="60"/>
        <v>-3.6699999999999591</v>
      </c>
      <c r="Q717" s="6">
        <f t="shared" si="61"/>
        <v>-8.8414560697679043E-3</v>
      </c>
      <c r="R717" s="5">
        <f t="shared" si="62"/>
        <v>4.0099999999999909</v>
      </c>
      <c r="S717" s="6">
        <f t="shared" si="63"/>
        <v>9.6605555421715554E-3</v>
      </c>
      <c r="T717" s="6">
        <f t="shared" si="64"/>
        <v>-1.9418654044537674E-4</v>
      </c>
    </row>
    <row r="718" spans="1:20" x14ac:dyDescent="0.25">
      <c r="A718" s="4" t="s">
        <v>752</v>
      </c>
      <c r="B718" s="5" t="s">
        <v>16</v>
      </c>
      <c r="C718" s="5" t="s">
        <v>1823</v>
      </c>
      <c r="D718" s="5">
        <v>148</v>
      </c>
      <c r="E718" s="5">
        <v>147.5</v>
      </c>
      <c r="F718" s="5">
        <v>147.80000000000001</v>
      </c>
      <c r="G718" s="5">
        <v>141</v>
      </c>
      <c r="H718" s="5">
        <v>141.30000000000001</v>
      </c>
      <c r="I718" s="5">
        <v>142.19999999999999</v>
      </c>
      <c r="J718" s="5">
        <v>144.02000000000001</v>
      </c>
      <c r="K718" s="5">
        <v>1128054</v>
      </c>
      <c r="L718" s="5">
        <v>1624.65</v>
      </c>
      <c r="M718" s="5">
        <v>16852</v>
      </c>
      <c r="N718" s="5">
        <v>448977</v>
      </c>
      <c r="O718" s="5">
        <v>39.799999999999997</v>
      </c>
      <c r="P718" s="5">
        <f t="shared" si="60"/>
        <v>-5.8000000000000114</v>
      </c>
      <c r="Q718" s="6">
        <f t="shared" si="61"/>
        <v>-3.9189189189189268E-2</v>
      </c>
      <c r="R718" s="5">
        <f t="shared" si="62"/>
        <v>6.8000000000000114</v>
      </c>
      <c r="S718" s="6">
        <f t="shared" si="63"/>
        <v>4.5945945945946025E-2</v>
      </c>
      <c r="T718" s="6">
        <f t="shared" si="64"/>
        <v>-1.2584269662921498E-2</v>
      </c>
    </row>
    <row r="719" spans="1:20" hidden="1" x14ac:dyDescent="0.25">
      <c r="A719" s="4" t="s">
        <v>718</v>
      </c>
      <c r="B719" s="5" t="s">
        <v>16</v>
      </c>
      <c r="C719" s="5" t="s">
        <v>1823</v>
      </c>
      <c r="D719" s="5">
        <v>3041.6</v>
      </c>
      <c r="E719" s="5">
        <v>3048.05</v>
      </c>
      <c r="F719" s="5">
        <v>3080</v>
      </c>
      <c r="G719" s="5">
        <v>3000</v>
      </c>
      <c r="H719" s="5">
        <v>3080</v>
      </c>
      <c r="I719" s="5">
        <v>3068.8</v>
      </c>
      <c r="J719" s="5">
        <v>3032.32</v>
      </c>
      <c r="K719" s="5">
        <v>1436</v>
      </c>
      <c r="L719" s="5">
        <v>43.54</v>
      </c>
      <c r="M719" s="5">
        <v>501</v>
      </c>
      <c r="N719" s="5">
        <v>320</v>
      </c>
      <c r="O719" s="5">
        <v>22.28</v>
      </c>
      <c r="P719" s="5">
        <f t="shared" si="60"/>
        <v>27.200000000000273</v>
      </c>
      <c r="Q719" s="6">
        <f t="shared" si="61"/>
        <v>8.9426617569701057E-3</v>
      </c>
      <c r="R719" s="5">
        <f t="shared" si="62"/>
        <v>80</v>
      </c>
      <c r="S719" s="6">
        <f t="shared" si="63"/>
        <v>2.6301946344029457E-2</v>
      </c>
      <c r="T719" s="6">
        <f t="shared" si="64"/>
        <v>1.1963744737370722E-2</v>
      </c>
    </row>
    <row r="720" spans="1:20" hidden="1" x14ac:dyDescent="0.25">
      <c r="A720" s="4" t="s">
        <v>719</v>
      </c>
      <c r="B720" s="5" t="s">
        <v>24</v>
      </c>
      <c r="C720" s="5" t="s">
        <v>1823</v>
      </c>
      <c r="D720" s="5">
        <v>0.55000000000000004</v>
      </c>
      <c r="E720" s="5">
        <v>0.5</v>
      </c>
      <c r="F720" s="5">
        <v>0.5</v>
      </c>
      <c r="G720" s="5">
        <v>0.5</v>
      </c>
      <c r="H720" s="5">
        <v>0.5</v>
      </c>
      <c r="I720" s="5">
        <v>0.5</v>
      </c>
      <c r="J720" s="5">
        <v>0.5</v>
      </c>
      <c r="K720" s="5">
        <v>1138</v>
      </c>
      <c r="L720" s="5">
        <v>0.01</v>
      </c>
      <c r="M720" s="5">
        <v>6</v>
      </c>
      <c r="N720" s="5" t="s">
        <v>25</v>
      </c>
      <c r="O720" s="5" t="s">
        <v>25</v>
      </c>
      <c r="P720" s="5">
        <f t="shared" si="60"/>
        <v>-5.0000000000000044E-2</v>
      </c>
      <c r="Q720" s="6">
        <f t="shared" si="61"/>
        <v>-9.0909090909090981E-2</v>
      </c>
      <c r="R720" s="5">
        <f t="shared" si="62"/>
        <v>0</v>
      </c>
      <c r="S720" s="6">
        <f t="shared" si="63"/>
        <v>0</v>
      </c>
      <c r="T720" s="6">
        <f t="shared" si="64"/>
        <v>0</v>
      </c>
    </row>
    <row r="721" spans="1:20" x14ac:dyDescent="0.25">
      <c r="A721" s="4" t="s">
        <v>695</v>
      </c>
      <c r="B721" s="5" t="s">
        <v>16</v>
      </c>
      <c r="C721" s="5" t="s">
        <v>1823</v>
      </c>
      <c r="D721" s="5">
        <v>130.25</v>
      </c>
      <c r="E721" s="5">
        <v>123.75</v>
      </c>
      <c r="F721" s="5">
        <v>136.75</v>
      </c>
      <c r="G721" s="5">
        <v>123.75</v>
      </c>
      <c r="H721" s="5">
        <v>136.75</v>
      </c>
      <c r="I721" s="5">
        <v>136.75</v>
      </c>
      <c r="J721" s="5">
        <v>130.99</v>
      </c>
      <c r="K721" s="5">
        <v>428188</v>
      </c>
      <c r="L721" s="5">
        <v>560.88</v>
      </c>
      <c r="M721" s="5">
        <v>4096</v>
      </c>
      <c r="N721" s="5">
        <v>170723</v>
      </c>
      <c r="O721" s="5">
        <v>39.869999999999997</v>
      </c>
      <c r="P721" s="5">
        <f t="shared" si="60"/>
        <v>6.5</v>
      </c>
      <c r="Q721" s="6">
        <f t="shared" si="61"/>
        <v>4.9904030710172742E-2</v>
      </c>
      <c r="R721" s="5">
        <f t="shared" si="62"/>
        <v>13</v>
      </c>
      <c r="S721" s="6">
        <f t="shared" si="63"/>
        <v>9.9808061420345484E-2</v>
      </c>
      <c r="T721" s="6">
        <f t="shared" si="64"/>
        <v>4.422264875239916E-2</v>
      </c>
    </row>
    <row r="722" spans="1:20" hidden="1" x14ac:dyDescent="0.25">
      <c r="A722" s="4" t="s">
        <v>721</v>
      </c>
      <c r="B722" s="5" t="s">
        <v>16</v>
      </c>
      <c r="C722" s="5" t="s">
        <v>1823</v>
      </c>
      <c r="D722" s="5">
        <v>3464.95</v>
      </c>
      <c r="E722" s="5">
        <v>3470</v>
      </c>
      <c r="F722" s="5">
        <v>3525</v>
      </c>
      <c r="G722" s="5">
        <v>3467.55</v>
      </c>
      <c r="H722" s="5">
        <v>3482</v>
      </c>
      <c r="I722" s="5">
        <v>3497.15</v>
      </c>
      <c r="J722" s="5">
        <v>3483.2</v>
      </c>
      <c r="K722" s="5">
        <v>44</v>
      </c>
      <c r="L722" s="5">
        <v>1.53</v>
      </c>
      <c r="M722" s="5">
        <v>11</v>
      </c>
      <c r="N722" s="5">
        <v>25</v>
      </c>
      <c r="O722" s="5">
        <v>56.82</v>
      </c>
      <c r="P722" s="5">
        <f t="shared" si="60"/>
        <v>32.200000000000273</v>
      </c>
      <c r="Q722" s="6">
        <f t="shared" si="61"/>
        <v>9.2930633919682173E-3</v>
      </c>
      <c r="R722" s="5">
        <f t="shared" si="62"/>
        <v>57.449999999999818</v>
      </c>
      <c r="S722" s="6">
        <f t="shared" si="63"/>
        <v>1.6580325834427572E-2</v>
      </c>
      <c r="T722" s="6">
        <f t="shared" si="64"/>
        <v>3.9972205706427138E-3</v>
      </c>
    </row>
    <row r="723" spans="1:20" hidden="1" x14ac:dyDescent="0.25">
      <c r="A723" s="4" t="s">
        <v>722</v>
      </c>
      <c r="B723" s="5" t="s">
        <v>16</v>
      </c>
      <c r="C723" s="5" t="s">
        <v>1823</v>
      </c>
      <c r="D723" s="5">
        <v>5.6</v>
      </c>
      <c r="E723" s="5">
        <v>5.55</v>
      </c>
      <c r="F723" s="5">
        <v>5.6</v>
      </c>
      <c r="G723" s="5">
        <v>5.2</v>
      </c>
      <c r="H723" s="5">
        <v>5.35</v>
      </c>
      <c r="I723" s="5">
        <v>5.3</v>
      </c>
      <c r="J723" s="5">
        <v>5.4</v>
      </c>
      <c r="K723" s="5">
        <v>81683260</v>
      </c>
      <c r="L723" s="5">
        <v>4408.7700000000004</v>
      </c>
      <c r="M723" s="5">
        <v>90325</v>
      </c>
      <c r="N723" s="5">
        <v>29024084</v>
      </c>
      <c r="O723" s="5">
        <v>35.53</v>
      </c>
      <c r="P723" s="5">
        <f t="shared" si="60"/>
        <v>-0.29999999999999982</v>
      </c>
      <c r="Q723" s="6">
        <f t="shared" si="61"/>
        <v>-5.3571428571428541E-2</v>
      </c>
      <c r="R723" s="5">
        <f t="shared" si="62"/>
        <v>0.39999999999999947</v>
      </c>
      <c r="S723" s="6">
        <f t="shared" si="63"/>
        <v>7.1428571428571341E-2</v>
      </c>
      <c r="T723" s="6">
        <f t="shared" si="64"/>
        <v>-1.8475750577367306E-2</v>
      </c>
    </row>
    <row r="724" spans="1:20" x14ac:dyDescent="0.25">
      <c r="A724" s="4" t="s">
        <v>432</v>
      </c>
      <c r="B724" s="5" t="s">
        <v>16</v>
      </c>
      <c r="C724" s="5" t="s">
        <v>1823</v>
      </c>
      <c r="D724" s="5">
        <v>26.2</v>
      </c>
      <c r="E724" s="5">
        <v>26.2</v>
      </c>
      <c r="F724" s="5">
        <v>27.15</v>
      </c>
      <c r="G724" s="5">
        <v>25.6</v>
      </c>
      <c r="H724" s="5">
        <v>25.7</v>
      </c>
      <c r="I724" s="5">
        <v>25.75</v>
      </c>
      <c r="J724" s="5">
        <v>26.31</v>
      </c>
      <c r="K724" s="5">
        <v>1238226</v>
      </c>
      <c r="L724" s="5">
        <v>325.79000000000002</v>
      </c>
      <c r="M724" s="5">
        <v>3137</v>
      </c>
      <c r="N724" s="5">
        <v>494104</v>
      </c>
      <c r="O724" s="5">
        <v>39.9</v>
      </c>
      <c r="P724" s="5">
        <f t="shared" si="60"/>
        <v>-0.44999999999999929</v>
      </c>
      <c r="Q724" s="6">
        <f t="shared" si="61"/>
        <v>-1.7175572519083943E-2</v>
      </c>
      <c r="R724" s="5">
        <f t="shared" si="62"/>
        <v>1.5499999999999972</v>
      </c>
      <c r="S724" s="6">
        <f t="shared" si="63"/>
        <v>5.9160305343511341E-2</v>
      </c>
      <c r="T724" s="6">
        <f t="shared" si="64"/>
        <v>-2.1394460362941691E-2</v>
      </c>
    </row>
    <row r="725" spans="1:20" hidden="1" x14ac:dyDescent="0.25">
      <c r="A725" s="4" t="s">
        <v>724</v>
      </c>
      <c r="B725" s="5" t="s">
        <v>16</v>
      </c>
      <c r="C725" s="5" t="s">
        <v>1823</v>
      </c>
      <c r="D725" s="5">
        <v>42.8</v>
      </c>
      <c r="E725" s="5">
        <v>42.5</v>
      </c>
      <c r="F725" s="5">
        <v>43.2</v>
      </c>
      <c r="G725" s="5">
        <v>42.3</v>
      </c>
      <c r="H725" s="5">
        <v>42.9</v>
      </c>
      <c r="I725" s="5">
        <v>42.95</v>
      </c>
      <c r="J725" s="5">
        <v>42.88</v>
      </c>
      <c r="K725" s="5">
        <v>15191191</v>
      </c>
      <c r="L725" s="5">
        <v>6514.53</v>
      </c>
      <c r="M725" s="5">
        <v>20916</v>
      </c>
      <c r="N725" s="5">
        <v>6386155</v>
      </c>
      <c r="O725" s="5">
        <v>42.04</v>
      </c>
      <c r="P725" s="5">
        <f t="shared" si="60"/>
        <v>0.15000000000000568</v>
      </c>
      <c r="Q725" s="6">
        <f t="shared" si="61"/>
        <v>3.5046728971963948E-3</v>
      </c>
      <c r="R725" s="5">
        <f t="shared" si="62"/>
        <v>0.90000000000000568</v>
      </c>
      <c r="S725" s="6">
        <f t="shared" si="63"/>
        <v>2.1028037383177704E-2</v>
      </c>
      <c r="T725" s="6">
        <f t="shared" si="64"/>
        <v>1.6379058204153329E-3</v>
      </c>
    </row>
    <row r="726" spans="1:20" hidden="1" x14ac:dyDescent="0.25">
      <c r="A726" s="4" t="s">
        <v>724</v>
      </c>
      <c r="B726" s="5" t="s">
        <v>700</v>
      </c>
      <c r="C726" s="5" t="s">
        <v>1823</v>
      </c>
      <c r="D726" s="5">
        <v>5170</v>
      </c>
      <c r="E726" s="5">
        <v>5161</v>
      </c>
      <c r="F726" s="5">
        <v>5161</v>
      </c>
      <c r="G726" s="5">
        <v>5161</v>
      </c>
      <c r="H726" s="5">
        <v>5161</v>
      </c>
      <c r="I726" s="5">
        <v>5161</v>
      </c>
      <c r="J726" s="5">
        <v>5161</v>
      </c>
      <c r="K726" s="5">
        <v>4</v>
      </c>
      <c r="L726" s="5">
        <v>0.21</v>
      </c>
      <c r="M726" s="5">
        <v>1</v>
      </c>
      <c r="N726" s="5">
        <v>4</v>
      </c>
      <c r="O726" s="5">
        <v>100</v>
      </c>
      <c r="P726" s="5">
        <f t="shared" si="60"/>
        <v>-9</v>
      </c>
      <c r="Q726" s="6">
        <f t="shared" si="61"/>
        <v>-1.7408123791102514E-3</v>
      </c>
      <c r="R726" s="5">
        <f t="shared" si="62"/>
        <v>0</v>
      </c>
      <c r="S726" s="6">
        <f t="shared" si="63"/>
        <v>0</v>
      </c>
      <c r="T726" s="6">
        <f t="shared" si="64"/>
        <v>0</v>
      </c>
    </row>
    <row r="727" spans="1:20" hidden="1" x14ac:dyDescent="0.25">
      <c r="A727" s="4" t="s">
        <v>724</v>
      </c>
      <c r="B727" s="5" t="s">
        <v>480</v>
      </c>
      <c r="C727" s="5" t="s">
        <v>1823</v>
      </c>
      <c r="D727" s="5">
        <v>9699.99</v>
      </c>
      <c r="E727" s="5">
        <v>9575</v>
      </c>
      <c r="F727" s="5">
        <v>9644</v>
      </c>
      <c r="G727" s="5">
        <v>9575</v>
      </c>
      <c r="H727" s="5">
        <v>9644</v>
      </c>
      <c r="I727" s="5">
        <v>9644</v>
      </c>
      <c r="J727" s="5">
        <v>9609.5</v>
      </c>
      <c r="K727" s="5">
        <v>8</v>
      </c>
      <c r="L727" s="5">
        <v>0.77</v>
      </c>
      <c r="M727" s="5">
        <v>4</v>
      </c>
      <c r="N727" s="5">
        <v>4</v>
      </c>
      <c r="O727" s="5">
        <v>50</v>
      </c>
      <c r="P727" s="5">
        <f t="shared" si="60"/>
        <v>-55.989999999999782</v>
      </c>
      <c r="Q727" s="6">
        <f t="shared" si="61"/>
        <v>-5.7721708991452349E-3</v>
      </c>
      <c r="R727" s="5">
        <f t="shared" si="62"/>
        <v>69</v>
      </c>
      <c r="S727" s="6">
        <f t="shared" si="63"/>
        <v>7.113409395267418E-3</v>
      </c>
      <c r="T727" s="6">
        <f t="shared" si="64"/>
        <v>3.5901972006868203E-3</v>
      </c>
    </row>
    <row r="728" spans="1:20" hidden="1" x14ac:dyDescent="0.25">
      <c r="A728" s="4" t="s">
        <v>724</v>
      </c>
      <c r="B728" s="5" t="s">
        <v>395</v>
      </c>
      <c r="C728" s="5" t="s">
        <v>1823</v>
      </c>
      <c r="D728" s="5">
        <v>9100</v>
      </c>
      <c r="E728" s="5">
        <v>9100</v>
      </c>
      <c r="F728" s="5">
        <v>9126.01</v>
      </c>
      <c r="G728" s="5">
        <v>8555</v>
      </c>
      <c r="H728" s="5">
        <v>9126.01</v>
      </c>
      <c r="I728" s="5">
        <v>9126.01</v>
      </c>
      <c r="J728" s="5">
        <v>8970.25</v>
      </c>
      <c r="K728" s="5">
        <v>4</v>
      </c>
      <c r="L728" s="5">
        <v>0.36</v>
      </c>
      <c r="M728" s="5">
        <v>3</v>
      </c>
      <c r="N728" s="5">
        <v>3</v>
      </c>
      <c r="O728" s="5">
        <v>75</v>
      </c>
      <c r="P728" s="5">
        <f t="shared" si="60"/>
        <v>26.010000000000218</v>
      </c>
      <c r="Q728" s="6">
        <f t="shared" si="61"/>
        <v>2.8582417582417824E-3</v>
      </c>
      <c r="R728" s="5">
        <f t="shared" si="62"/>
        <v>571.01000000000022</v>
      </c>
      <c r="S728" s="6">
        <f t="shared" si="63"/>
        <v>6.2748351648351672E-2</v>
      </c>
      <c r="T728" s="6">
        <f t="shared" si="64"/>
        <v>1.7351481687981927E-2</v>
      </c>
    </row>
    <row r="729" spans="1:20" hidden="1" x14ac:dyDescent="0.25">
      <c r="A729" s="4" t="s">
        <v>724</v>
      </c>
      <c r="B729" s="5" t="s">
        <v>439</v>
      </c>
      <c r="C729" s="5" t="s">
        <v>1823</v>
      </c>
      <c r="D729" s="5">
        <v>5027.25</v>
      </c>
      <c r="E729" s="5">
        <v>5025</v>
      </c>
      <c r="F729" s="5">
        <v>5025</v>
      </c>
      <c r="G729" s="5">
        <v>5025</v>
      </c>
      <c r="H729" s="5">
        <v>5025</v>
      </c>
      <c r="I729" s="5">
        <v>5025</v>
      </c>
      <c r="J729" s="5">
        <v>5025</v>
      </c>
      <c r="K729" s="5">
        <v>4</v>
      </c>
      <c r="L729" s="5">
        <v>0.2</v>
      </c>
      <c r="M729" s="5">
        <v>1</v>
      </c>
      <c r="N729" s="5">
        <v>4</v>
      </c>
      <c r="O729" s="5">
        <v>100</v>
      </c>
      <c r="P729" s="5">
        <f t="shared" si="60"/>
        <v>-2.25</v>
      </c>
      <c r="Q729" s="6">
        <f t="shared" si="61"/>
        <v>-4.4756079367447413E-4</v>
      </c>
      <c r="R729" s="5">
        <f t="shared" si="62"/>
        <v>0</v>
      </c>
      <c r="S729" s="6">
        <f t="shared" si="63"/>
        <v>0</v>
      </c>
      <c r="T729" s="6">
        <f t="shared" si="64"/>
        <v>0</v>
      </c>
    </row>
    <row r="730" spans="1:20" hidden="1" x14ac:dyDescent="0.25">
      <c r="A730" s="4" t="s">
        <v>724</v>
      </c>
      <c r="B730" s="5" t="s">
        <v>396</v>
      </c>
      <c r="C730" s="5" t="s">
        <v>1823</v>
      </c>
      <c r="D730" s="5">
        <v>9161.1299999999992</v>
      </c>
      <c r="E730" s="5">
        <v>9200</v>
      </c>
      <c r="F730" s="5">
        <v>9200</v>
      </c>
      <c r="G730" s="5">
        <v>9200</v>
      </c>
      <c r="H730" s="5">
        <v>9200</v>
      </c>
      <c r="I730" s="5">
        <v>9200</v>
      </c>
      <c r="J730" s="5">
        <v>9200</v>
      </c>
      <c r="K730" s="5">
        <v>4</v>
      </c>
      <c r="L730" s="5">
        <v>0.37</v>
      </c>
      <c r="M730" s="5">
        <v>1</v>
      </c>
      <c r="N730" s="5">
        <v>4</v>
      </c>
      <c r="O730" s="5">
        <v>100</v>
      </c>
      <c r="P730" s="5">
        <f t="shared" si="60"/>
        <v>38.8700000000008</v>
      </c>
      <c r="Q730" s="6">
        <f t="shared" si="61"/>
        <v>4.2429263638875123E-3</v>
      </c>
      <c r="R730" s="5">
        <f t="shared" si="62"/>
        <v>0</v>
      </c>
      <c r="S730" s="6">
        <f t="shared" si="63"/>
        <v>0</v>
      </c>
      <c r="T730" s="6">
        <f t="shared" si="64"/>
        <v>0</v>
      </c>
    </row>
    <row r="731" spans="1:20" hidden="1" x14ac:dyDescent="0.25">
      <c r="A731" s="4" t="s">
        <v>724</v>
      </c>
      <c r="B731" s="5" t="s">
        <v>694</v>
      </c>
      <c r="C731" s="5" t="s">
        <v>1823</v>
      </c>
      <c r="D731" s="5">
        <v>9440</v>
      </c>
      <c r="E731" s="5">
        <v>9327.01</v>
      </c>
      <c r="F731" s="5">
        <v>9400</v>
      </c>
      <c r="G731" s="5">
        <v>9327.01</v>
      </c>
      <c r="H731" s="5">
        <v>9400</v>
      </c>
      <c r="I731" s="5">
        <v>9400</v>
      </c>
      <c r="J731" s="5">
        <v>9363.51</v>
      </c>
      <c r="K731" s="5">
        <v>8</v>
      </c>
      <c r="L731" s="5">
        <v>0.75</v>
      </c>
      <c r="M731" s="5">
        <v>2</v>
      </c>
      <c r="N731" s="5">
        <v>4</v>
      </c>
      <c r="O731" s="5">
        <v>50</v>
      </c>
      <c r="P731" s="5">
        <f t="shared" si="60"/>
        <v>-40</v>
      </c>
      <c r="Q731" s="6">
        <f t="shared" si="61"/>
        <v>-4.2372881355932203E-3</v>
      </c>
      <c r="R731" s="5">
        <f t="shared" si="62"/>
        <v>72.989999999999782</v>
      </c>
      <c r="S731" s="6">
        <f t="shared" si="63"/>
        <v>7.731991525423706E-3</v>
      </c>
      <c r="T731" s="6">
        <f t="shared" si="64"/>
        <v>3.8970449633977636E-3</v>
      </c>
    </row>
    <row r="732" spans="1:20" hidden="1" x14ac:dyDescent="0.25">
      <c r="A732" s="4" t="s">
        <v>724</v>
      </c>
      <c r="B732" s="5" t="s">
        <v>687</v>
      </c>
      <c r="C732" s="5" t="s">
        <v>1823</v>
      </c>
      <c r="D732" s="5">
        <v>5150</v>
      </c>
      <c r="E732" s="5">
        <v>5125</v>
      </c>
      <c r="F732" s="5">
        <v>5189.5</v>
      </c>
      <c r="G732" s="5">
        <v>5125</v>
      </c>
      <c r="H732" s="5">
        <v>5189.5</v>
      </c>
      <c r="I732" s="5">
        <v>5189.5</v>
      </c>
      <c r="J732" s="5">
        <v>5153.38</v>
      </c>
      <c r="K732" s="5">
        <v>8</v>
      </c>
      <c r="L732" s="5">
        <v>0.41</v>
      </c>
      <c r="M732" s="5">
        <v>4</v>
      </c>
      <c r="N732" s="5">
        <v>6</v>
      </c>
      <c r="O732" s="5">
        <v>75</v>
      </c>
      <c r="P732" s="5">
        <f t="shared" si="60"/>
        <v>39.5</v>
      </c>
      <c r="Q732" s="6">
        <f t="shared" si="61"/>
        <v>7.6699029126213588E-3</v>
      </c>
      <c r="R732" s="5">
        <f t="shared" si="62"/>
        <v>64.5</v>
      </c>
      <c r="S732" s="6">
        <f t="shared" si="63"/>
        <v>1.2524271844660194E-2</v>
      </c>
      <c r="T732" s="6">
        <f t="shared" si="64"/>
        <v>7.0037326094333011E-3</v>
      </c>
    </row>
    <row r="733" spans="1:20" hidden="1" x14ac:dyDescent="0.25">
      <c r="A733" s="4" t="s">
        <v>724</v>
      </c>
      <c r="B733" s="5" t="s">
        <v>441</v>
      </c>
      <c r="C733" s="5" t="s">
        <v>1823</v>
      </c>
      <c r="D733" s="5">
        <v>5440</v>
      </c>
      <c r="E733" s="5">
        <v>4960</v>
      </c>
      <c r="F733" s="5">
        <v>5020.1099999999997</v>
      </c>
      <c r="G733" s="5">
        <v>4960</v>
      </c>
      <c r="H733" s="5">
        <v>5020.1099999999997</v>
      </c>
      <c r="I733" s="5">
        <v>5020.1099999999997</v>
      </c>
      <c r="J733" s="5">
        <v>4996.32</v>
      </c>
      <c r="K733" s="5">
        <v>15</v>
      </c>
      <c r="L733" s="5">
        <v>0.75</v>
      </c>
      <c r="M733" s="5">
        <v>4</v>
      </c>
      <c r="N733" s="5">
        <v>8</v>
      </c>
      <c r="O733" s="5">
        <v>53.33</v>
      </c>
      <c r="P733" s="5">
        <f t="shared" si="60"/>
        <v>-419.89000000000033</v>
      </c>
      <c r="Q733" s="6">
        <f t="shared" si="61"/>
        <v>-7.718566176470594E-2</v>
      </c>
      <c r="R733" s="5">
        <f t="shared" si="62"/>
        <v>60.109999999999673</v>
      </c>
      <c r="S733" s="6">
        <f t="shared" si="63"/>
        <v>1.1049632352941116E-2</v>
      </c>
      <c r="T733" s="6">
        <f t="shared" si="64"/>
        <v>4.7674825227377177E-3</v>
      </c>
    </row>
    <row r="734" spans="1:20" hidden="1" x14ac:dyDescent="0.25">
      <c r="A734" s="4" t="s">
        <v>724</v>
      </c>
      <c r="B734" s="5" t="s">
        <v>398</v>
      </c>
      <c r="C734" s="5" t="s">
        <v>1823</v>
      </c>
      <c r="D734" s="5">
        <v>8900.0400000000009</v>
      </c>
      <c r="E734" s="5">
        <v>8910</v>
      </c>
      <c r="F734" s="5">
        <v>8910</v>
      </c>
      <c r="G734" s="5">
        <v>8910</v>
      </c>
      <c r="H734" s="5">
        <v>8910</v>
      </c>
      <c r="I734" s="5">
        <v>8910</v>
      </c>
      <c r="J734" s="5">
        <v>8910</v>
      </c>
      <c r="K734" s="5">
        <v>4</v>
      </c>
      <c r="L734" s="5">
        <v>0.36</v>
      </c>
      <c r="M734" s="5">
        <v>1</v>
      </c>
      <c r="N734" s="5">
        <v>4</v>
      </c>
      <c r="O734" s="5">
        <v>100</v>
      </c>
      <c r="P734" s="5">
        <f t="shared" si="60"/>
        <v>9.9599999999991269</v>
      </c>
      <c r="Q734" s="6">
        <f t="shared" si="61"/>
        <v>1.1190960939500413E-3</v>
      </c>
      <c r="R734" s="5">
        <f t="shared" si="62"/>
        <v>0</v>
      </c>
      <c r="S734" s="6">
        <f t="shared" si="63"/>
        <v>0</v>
      </c>
      <c r="T734" s="6">
        <f t="shared" si="64"/>
        <v>0</v>
      </c>
    </row>
    <row r="735" spans="1:20" hidden="1" x14ac:dyDescent="0.25">
      <c r="A735" s="4" t="s">
        <v>725</v>
      </c>
      <c r="B735" s="5" t="s">
        <v>16</v>
      </c>
      <c r="C735" s="5" t="s">
        <v>1823</v>
      </c>
      <c r="D735" s="5">
        <v>117</v>
      </c>
      <c r="E735" s="5">
        <v>115.7</v>
      </c>
      <c r="F735" s="5">
        <v>115.7</v>
      </c>
      <c r="G735" s="5">
        <v>115</v>
      </c>
      <c r="H735" s="5">
        <v>115</v>
      </c>
      <c r="I735" s="5">
        <v>115</v>
      </c>
      <c r="J735" s="5">
        <v>115.14</v>
      </c>
      <c r="K735" s="5">
        <v>196</v>
      </c>
      <c r="L735" s="5">
        <v>0.23</v>
      </c>
      <c r="M735" s="5">
        <v>10</v>
      </c>
      <c r="N735" s="5">
        <v>194</v>
      </c>
      <c r="O735" s="5">
        <v>98.98</v>
      </c>
      <c r="P735" s="5">
        <f t="shared" si="60"/>
        <v>-2</v>
      </c>
      <c r="Q735" s="6">
        <f t="shared" si="61"/>
        <v>-1.7094017094017096E-2</v>
      </c>
      <c r="R735" s="5">
        <f t="shared" si="62"/>
        <v>0.70000000000000284</v>
      </c>
      <c r="S735" s="6">
        <f t="shared" si="63"/>
        <v>5.9829059829060076E-3</v>
      </c>
      <c r="T735" s="6">
        <f t="shared" si="64"/>
        <v>-1.2136974425661082E-3</v>
      </c>
    </row>
    <row r="736" spans="1:20" x14ac:dyDescent="0.25">
      <c r="A736" s="4" t="s">
        <v>842</v>
      </c>
      <c r="B736" s="5" t="s">
        <v>16</v>
      </c>
      <c r="C736" s="5" t="s">
        <v>1823</v>
      </c>
      <c r="D736" s="5">
        <v>72.849999999999994</v>
      </c>
      <c r="E736" s="5">
        <v>73</v>
      </c>
      <c r="F736" s="5">
        <v>73</v>
      </c>
      <c r="G736" s="5">
        <v>70.3</v>
      </c>
      <c r="H736" s="5">
        <v>71</v>
      </c>
      <c r="I736" s="5">
        <v>71.05</v>
      </c>
      <c r="J736" s="5">
        <v>71.39</v>
      </c>
      <c r="K736" s="5">
        <v>486765</v>
      </c>
      <c r="L736" s="5">
        <v>347.51</v>
      </c>
      <c r="M736" s="5">
        <v>4448</v>
      </c>
      <c r="N736" s="5">
        <v>196946</v>
      </c>
      <c r="O736" s="5">
        <v>40.46</v>
      </c>
      <c r="P736" s="5">
        <f t="shared" si="60"/>
        <v>-1.7999999999999972</v>
      </c>
      <c r="Q736" s="6">
        <f t="shared" si="61"/>
        <v>-2.4708304735758371E-2</v>
      </c>
      <c r="R736" s="5">
        <f t="shared" si="62"/>
        <v>2.7000000000000028</v>
      </c>
      <c r="S736" s="6">
        <f t="shared" si="63"/>
        <v>3.7062457103637654E-2</v>
      </c>
      <c r="T736" s="6">
        <f t="shared" si="64"/>
        <v>-4.7329041238907731E-3</v>
      </c>
    </row>
    <row r="737" spans="1:20" hidden="1" x14ac:dyDescent="0.25">
      <c r="A737" s="4" t="s">
        <v>727</v>
      </c>
      <c r="B737" s="5" t="s">
        <v>16</v>
      </c>
      <c r="C737" s="5" t="s">
        <v>1823</v>
      </c>
      <c r="D737" s="5">
        <v>397.5</v>
      </c>
      <c r="E737" s="5">
        <v>395</v>
      </c>
      <c r="F737" s="5">
        <v>402</v>
      </c>
      <c r="G737" s="5">
        <v>388</v>
      </c>
      <c r="H737" s="5">
        <v>388.75</v>
      </c>
      <c r="I737" s="5">
        <v>389.15</v>
      </c>
      <c r="J737" s="5">
        <v>393.39</v>
      </c>
      <c r="K737" s="5">
        <v>3486</v>
      </c>
      <c r="L737" s="5">
        <v>13.71</v>
      </c>
      <c r="M737" s="5">
        <v>222</v>
      </c>
      <c r="N737" s="5">
        <v>2636</v>
      </c>
      <c r="O737" s="5">
        <v>75.62</v>
      </c>
      <c r="P737" s="5">
        <f t="shared" si="60"/>
        <v>-8.3500000000000227</v>
      </c>
      <c r="Q737" s="6">
        <f t="shared" si="61"/>
        <v>-2.1006289308176159E-2</v>
      </c>
      <c r="R737" s="5">
        <f t="shared" si="62"/>
        <v>14</v>
      </c>
      <c r="S737" s="6">
        <f t="shared" si="63"/>
        <v>3.5220125786163521E-2</v>
      </c>
      <c r="T737" s="6">
        <f t="shared" si="64"/>
        <v>-1.0774068544929032E-2</v>
      </c>
    </row>
    <row r="738" spans="1:20" hidden="1" x14ac:dyDescent="0.25">
      <c r="A738" s="4" t="s">
        <v>728</v>
      </c>
      <c r="B738" s="5" t="s">
        <v>16</v>
      </c>
      <c r="C738" s="5" t="s">
        <v>1823</v>
      </c>
      <c r="D738" s="5">
        <v>728.25</v>
      </c>
      <c r="E738" s="5">
        <v>732.95</v>
      </c>
      <c r="F738" s="5">
        <v>733.7</v>
      </c>
      <c r="G738" s="5">
        <v>712.05</v>
      </c>
      <c r="H738" s="5">
        <v>712.05</v>
      </c>
      <c r="I738" s="5">
        <v>720.45</v>
      </c>
      <c r="J738" s="5">
        <v>724.02</v>
      </c>
      <c r="K738" s="5">
        <v>9548</v>
      </c>
      <c r="L738" s="5">
        <v>69.13</v>
      </c>
      <c r="M738" s="5">
        <v>649</v>
      </c>
      <c r="N738" s="5">
        <v>4865</v>
      </c>
      <c r="O738" s="5">
        <v>50.95</v>
      </c>
      <c r="P738" s="5">
        <f t="shared" si="60"/>
        <v>-7.7999999999999545</v>
      </c>
      <c r="Q738" s="6">
        <f t="shared" si="61"/>
        <v>-1.0710607621009206E-2</v>
      </c>
      <c r="R738" s="5">
        <f t="shared" si="62"/>
        <v>21.650000000000091</v>
      </c>
      <c r="S738" s="6">
        <f t="shared" si="63"/>
        <v>2.9728801922416878E-2</v>
      </c>
      <c r="T738" s="6">
        <f t="shared" si="64"/>
        <v>-4.9255816359966703E-3</v>
      </c>
    </row>
    <row r="739" spans="1:20" hidden="1" x14ac:dyDescent="0.25">
      <c r="A739" s="4" t="s">
        <v>729</v>
      </c>
      <c r="B739" s="5" t="s">
        <v>16</v>
      </c>
      <c r="C739" s="5" t="s">
        <v>1823</v>
      </c>
      <c r="D739" s="5">
        <v>7.65</v>
      </c>
      <c r="E739" s="5">
        <v>7.65</v>
      </c>
      <c r="F739" s="5">
        <v>7.65</v>
      </c>
      <c r="G739" s="5">
        <v>7.3</v>
      </c>
      <c r="H739" s="5">
        <v>7.35</v>
      </c>
      <c r="I739" s="5">
        <v>7.35</v>
      </c>
      <c r="J739" s="5">
        <v>7.48</v>
      </c>
      <c r="K739" s="5">
        <v>738308</v>
      </c>
      <c r="L739" s="5">
        <v>55.23</v>
      </c>
      <c r="M739" s="5">
        <v>5485</v>
      </c>
      <c r="N739" s="5">
        <v>406587</v>
      </c>
      <c r="O739" s="5">
        <v>55.07</v>
      </c>
      <c r="P739" s="5">
        <f t="shared" si="60"/>
        <v>-0.30000000000000071</v>
      </c>
      <c r="Q739" s="6">
        <f t="shared" si="61"/>
        <v>-3.9215686274509894E-2</v>
      </c>
      <c r="R739" s="5">
        <f t="shared" si="62"/>
        <v>0.35000000000000053</v>
      </c>
      <c r="S739" s="6">
        <f t="shared" si="63"/>
        <v>4.5751633986928171E-2</v>
      </c>
      <c r="T739" s="6">
        <f t="shared" si="64"/>
        <v>-1.7362270450751355E-2</v>
      </c>
    </row>
    <row r="740" spans="1:20" hidden="1" x14ac:dyDescent="0.25">
      <c r="A740" s="4" t="s">
        <v>729</v>
      </c>
      <c r="B740" s="5" t="s">
        <v>731</v>
      </c>
      <c r="C740" s="5" t="s">
        <v>1823</v>
      </c>
      <c r="D740" s="5">
        <v>970</v>
      </c>
      <c r="E740" s="5">
        <v>970</v>
      </c>
      <c r="F740" s="5">
        <v>970</v>
      </c>
      <c r="G740" s="5">
        <v>970</v>
      </c>
      <c r="H740" s="5">
        <v>970</v>
      </c>
      <c r="I740" s="5">
        <v>970</v>
      </c>
      <c r="J740" s="5">
        <v>970</v>
      </c>
      <c r="K740" s="5">
        <v>88</v>
      </c>
      <c r="L740" s="5">
        <v>0.85</v>
      </c>
      <c r="M740" s="5">
        <v>7</v>
      </c>
      <c r="N740" s="5">
        <v>88</v>
      </c>
      <c r="O740" s="5">
        <v>100</v>
      </c>
      <c r="P740" s="5">
        <f t="shared" si="60"/>
        <v>0</v>
      </c>
      <c r="Q740" s="6">
        <f t="shared" si="61"/>
        <v>0</v>
      </c>
      <c r="R740" s="5">
        <f t="shared" si="62"/>
        <v>0</v>
      </c>
      <c r="S740" s="6">
        <f t="shared" si="63"/>
        <v>0</v>
      </c>
      <c r="T740" s="6">
        <f t="shared" si="64"/>
        <v>0</v>
      </c>
    </row>
    <row r="741" spans="1:20" hidden="1" x14ac:dyDescent="0.25">
      <c r="A741" s="4" t="s">
        <v>729</v>
      </c>
      <c r="B741" s="5" t="s">
        <v>444</v>
      </c>
      <c r="C741" s="5" t="s">
        <v>1823</v>
      </c>
      <c r="D741" s="5">
        <v>1425</v>
      </c>
      <c r="E741" s="5">
        <v>1450</v>
      </c>
      <c r="F741" s="5">
        <v>1450</v>
      </c>
      <c r="G741" s="5">
        <v>1450</v>
      </c>
      <c r="H741" s="5">
        <v>1450</v>
      </c>
      <c r="I741" s="5">
        <v>1450</v>
      </c>
      <c r="J741" s="5">
        <v>1450</v>
      </c>
      <c r="K741" s="5">
        <v>10</v>
      </c>
      <c r="L741" s="5">
        <v>0.15</v>
      </c>
      <c r="M741" s="5">
        <v>1</v>
      </c>
      <c r="N741" s="5">
        <v>10</v>
      </c>
      <c r="O741" s="5">
        <v>100</v>
      </c>
      <c r="P741" s="5">
        <f t="shared" si="60"/>
        <v>25</v>
      </c>
      <c r="Q741" s="6">
        <f t="shared" si="61"/>
        <v>1.7543859649122806E-2</v>
      </c>
      <c r="R741" s="5">
        <f t="shared" si="62"/>
        <v>0</v>
      </c>
      <c r="S741" s="6">
        <f t="shared" si="63"/>
        <v>0</v>
      </c>
      <c r="T741" s="6">
        <f t="shared" si="64"/>
        <v>0</v>
      </c>
    </row>
    <row r="742" spans="1:20" hidden="1" x14ac:dyDescent="0.25">
      <c r="A742" s="4" t="s">
        <v>732</v>
      </c>
      <c r="B742" s="5" t="s">
        <v>16</v>
      </c>
      <c r="C742" s="5" t="s">
        <v>1823</v>
      </c>
      <c r="D742" s="5">
        <v>175.2</v>
      </c>
      <c r="E742" s="5">
        <v>176</v>
      </c>
      <c r="F742" s="5">
        <v>176.05</v>
      </c>
      <c r="G742" s="5">
        <v>170.2</v>
      </c>
      <c r="H742" s="5">
        <v>172.65</v>
      </c>
      <c r="I742" s="5">
        <v>173.65</v>
      </c>
      <c r="J742" s="5">
        <v>173.03</v>
      </c>
      <c r="K742" s="5">
        <v>1063</v>
      </c>
      <c r="L742" s="5">
        <v>1.84</v>
      </c>
      <c r="M742" s="5">
        <v>124</v>
      </c>
      <c r="N742" s="5">
        <v>721</v>
      </c>
      <c r="O742" s="5">
        <v>67.83</v>
      </c>
      <c r="P742" s="5">
        <f t="shared" si="60"/>
        <v>-1.5499999999999829</v>
      </c>
      <c r="Q742" s="6">
        <f t="shared" si="61"/>
        <v>-8.8470319634702237E-3</v>
      </c>
      <c r="R742" s="5">
        <f t="shared" si="62"/>
        <v>5.8500000000000227</v>
      </c>
      <c r="S742" s="6">
        <f t="shared" si="63"/>
        <v>3.3390410958904243E-2</v>
      </c>
      <c r="T742" s="6">
        <f t="shared" si="64"/>
        <v>3.5637304210375319E-3</v>
      </c>
    </row>
    <row r="743" spans="1:20" hidden="1" x14ac:dyDescent="0.25">
      <c r="A743" s="4" t="s">
        <v>733</v>
      </c>
      <c r="B743" s="5" t="s">
        <v>16</v>
      </c>
      <c r="C743" s="5" t="s">
        <v>1823</v>
      </c>
      <c r="D743" s="5">
        <v>200.85</v>
      </c>
      <c r="E743" s="5">
        <v>200.9</v>
      </c>
      <c r="F743" s="5">
        <v>200.9</v>
      </c>
      <c r="G743" s="5">
        <v>192</v>
      </c>
      <c r="H743" s="5">
        <v>193.95</v>
      </c>
      <c r="I743" s="5">
        <v>192.55</v>
      </c>
      <c r="J743" s="5">
        <v>194.64</v>
      </c>
      <c r="K743" s="5">
        <v>13448</v>
      </c>
      <c r="L743" s="5">
        <v>26.18</v>
      </c>
      <c r="M743" s="5">
        <v>627</v>
      </c>
      <c r="N743" s="5">
        <v>10657</v>
      </c>
      <c r="O743" s="5">
        <v>79.25</v>
      </c>
      <c r="P743" s="5">
        <f t="shared" si="60"/>
        <v>-8.2999999999999829</v>
      </c>
      <c r="Q743" s="6">
        <f t="shared" si="61"/>
        <v>-4.1324371421458714E-2</v>
      </c>
      <c r="R743" s="5">
        <f t="shared" si="62"/>
        <v>8.9000000000000057</v>
      </c>
      <c r="S743" s="6">
        <f t="shared" si="63"/>
        <v>4.4311675379636574E-2</v>
      </c>
      <c r="T743" s="6">
        <f t="shared" si="64"/>
        <v>-1.0631398232339164E-2</v>
      </c>
    </row>
    <row r="744" spans="1:20" x14ac:dyDescent="0.25">
      <c r="A744" s="4" t="s">
        <v>1798</v>
      </c>
      <c r="B744" s="5" t="s">
        <v>16</v>
      </c>
      <c r="C744" s="5" t="s">
        <v>1823</v>
      </c>
      <c r="D744" s="5">
        <v>257.95</v>
      </c>
      <c r="E744" s="5">
        <v>258.89999999999998</v>
      </c>
      <c r="F744" s="5">
        <v>268.85000000000002</v>
      </c>
      <c r="G744" s="5">
        <v>254.35</v>
      </c>
      <c r="H744" s="5">
        <v>267</v>
      </c>
      <c r="I744" s="5">
        <v>266.5</v>
      </c>
      <c r="J744" s="5">
        <v>264.38</v>
      </c>
      <c r="K744" s="5">
        <v>308394</v>
      </c>
      <c r="L744" s="5">
        <v>815.34</v>
      </c>
      <c r="M744" s="5">
        <v>6759</v>
      </c>
      <c r="N744" s="5">
        <v>125298</v>
      </c>
      <c r="O744" s="5">
        <v>40.630000000000003</v>
      </c>
      <c r="P744" s="5">
        <f t="shared" si="60"/>
        <v>8.5500000000000114</v>
      </c>
      <c r="Q744" s="6">
        <f t="shared" si="61"/>
        <v>3.314595851909289E-2</v>
      </c>
      <c r="R744" s="5">
        <f t="shared" si="62"/>
        <v>14.500000000000028</v>
      </c>
      <c r="S744" s="6">
        <f t="shared" si="63"/>
        <v>5.6212444272145876E-2</v>
      </c>
      <c r="T744" s="6">
        <f t="shared" si="64"/>
        <v>8.0869731069998282E-3</v>
      </c>
    </row>
    <row r="745" spans="1:20" hidden="1" x14ac:dyDescent="0.25">
      <c r="A745" s="4" t="s">
        <v>735</v>
      </c>
      <c r="B745" s="5" t="s">
        <v>16</v>
      </c>
      <c r="C745" s="5" t="s">
        <v>1823</v>
      </c>
      <c r="D745" s="5">
        <v>180.95</v>
      </c>
      <c r="E745" s="5">
        <v>181.3</v>
      </c>
      <c r="F745" s="5">
        <v>182</v>
      </c>
      <c r="G745" s="5">
        <v>173</v>
      </c>
      <c r="H745" s="5">
        <v>177</v>
      </c>
      <c r="I745" s="5">
        <v>175.4</v>
      </c>
      <c r="J745" s="5">
        <v>177.89</v>
      </c>
      <c r="K745" s="5">
        <v>16133</v>
      </c>
      <c r="L745" s="5">
        <v>28.7</v>
      </c>
      <c r="M745" s="5">
        <v>323</v>
      </c>
      <c r="N745" s="5">
        <v>13376</v>
      </c>
      <c r="O745" s="5">
        <v>82.91</v>
      </c>
      <c r="P745" s="5">
        <f t="shared" si="60"/>
        <v>-5.5499999999999829</v>
      </c>
      <c r="Q745" s="6">
        <f t="shared" si="61"/>
        <v>-3.0671456203371004E-2</v>
      </c>
      <c r="R745" s="5">
        <f t="shared" si="62"/>
        <v>9</v>
      </c>
      <c r="S745" s="6">
        <f t="shared" si="63"/>
        <v>4.973749654600719E-2</v>
      </c>
      <c r="T745" s="6">
        <f t="shared" si="64"/>
        <v>-1.3994660671631198E-2</v>
      </c>
    </row>
    <row r="746" spans="1:20" hidden="1" x14ac:dyDescent="0.25">
      <c r="A746" s="4" t="s">
        <v>736</v>
      </c>
      <c r="B746" s="5" t="s">
        <v>480</v>
      </c>
      <c r="C746" s="5" t="s">
        <v>1823</v>
      </c>
      <c r="D746" s="5">
        <v>1160</v>
      </c>
      <c r="E746" s="5">
        <v>1160</v>
      </c>
      <c r="F746" s="5">
        <v>1160</v>
      </c>
      <c r="G746" s="5">
        <v>1155.2</v>
      </c>
      <c r="H746" s="5">
        <v>1160</v>
      </c>
      <c r="I746" s="5">
        <v>1159.22</v>
      </c>
      <c r="J746" s="5">
        <v>1159.5</v>
      </c>
      <c r="K746" s="5">
        <v>290</v>
      </c>
      <c r="L746" s="5">
        <v>3.36</v>
      </c>
      <c r="M746" s="5">
        <v>8</v>
      </c>
      <c r="N746" s="5">
        <v>205</v>
      </c>
      <c r="O746" s="5">
        <v>70.69</v>
      </c>
      <c r="P746" s="5">
        <f t="shared" si="60"/>
        <v>-0.77999999999997272</v>
      </c>
      <c r="Q746" s="6">
        <f t="shared" si="61"/>
        <v>-6.724137931034248E-4</v>
      </c>
      <c r="R746" s="5">
        <f t="shared" si="62"/>
        <v>4.7999999999999545</v>
      </c>
      <c r="S746" s="6">
        <f t="shared" si="63"/>
        <v>4.1379310344827197E-3</v>
      </c>
      <c r="T746" s="6">
        <f t="shared" si="64"/>
        <v>-2.4166993928040421E-4</v>
      </c>
    </row>
    <row r="747" spans="1:20" hidden="1" x14ac:dyDescent="0.25">
      <c r="A747" s="4" t="s">
        <v>736</v>
      </c>
      <c r="B747" s="5" t="s">
        <v>395</v>
      </c>
      <c r="C747" s="5" t="s">
        <v>1823</v>
      </c>
      <c r="D747" s="5">
        <v>1341.3</v>
      </c>
      <c r="E747" s="5">
        <v>1346</v>
      </c>
      <c r="F747" s="5">
        <v>1346</v>
      </c>
      <c r="G747" s="5">
        <v>1346</v>
      </c>
      <c r="H747" s="5">
        <v>1346</v>
      </c>
      <c r="I747" s="5">
        <v>1346</v>
      </c>
      <c r="J747" s="5">
        <v>1346</v>
      </c>
      <c r="K747" s="5">
        <v>50</v>
      </c>
      <c r="L747" s="5">
        <v>0.67</v>
      </c>
      <c r="M747" s="5">
        <v>1</v>
      </c>
      <c r="N747" s="5">
        <v>50</v>
      </c>
      <c r="O747" s="5">
        <v>100</v>
      </c>
      <c r="P747" s="5">
        <f t="shared" si="60"/>
        <v>4.7000000000000455</v>
      </c>
      <c r="Q747" s="6">
        <f t="shared" si="61"/>
        <v>3.5040632222471078E-3</v>
      </c>
      <c r="R747" s="5">
        <f t="shared" si="62"/>
        <v>0</v>
      </c>
      <c r="S747" s="6">
        <f t="shared" si="63"/>
        <v>0</v>
      </c>
      <c r="T747" s="6">
        <f t="shared" si="64"/>
        <v>0</v>
      </c>
    </row>
    <row r="748" spans="1:20" hidden="1" x14ac:dyDescent="0.25">
      <c r="A748" s="4" t="s">
        <v>737</v>
      </c>
      <c r="B748" s="5" t="s">
        <v>16</v>
      </c>
      <c r="C748" s="5" t="s">
        <v>1823</v>
      </c>
      <c r="D748" s="5">
        <v>117.7</v>
      </c>
      <c r="E748" s="5">
        <v>117</v>
      </c>
      <c r="F748" s="5">
        <v>117.15</v>
      </c>
      <c r="G748" s="5">
        <v>113.55</v>
      </c>
      <c r="H748" s="5">
        <v>115.05</v>
      </c>
      <c r="I748" s="5">
        <v>115.85</v>
      </c>
      <c r="J748" s="5">
        <v>115.16</v>
      </c>
      <c r="K748" s="5">
        <v>84285</v>
      </c>
      <c r="L748" s="5">
        <v>97.06</v>
      </c>
      <c r="M748" s="5">
        <v>2481</v>
      </c>
      <c r="N748" s="5">
        <v>58196</v>
      </c>
      <c r="O748" s="5">
        <v>69.05</v>
      </c>
      <c r="P748" s="5">
        <f t="shared" si="60"/>
        <v>-1.8500000000000085</v>
      </c>
      <c r="Q748" s="6">
        <f t="shared" si="61"/>
        <v>-1.5717926932880277E-2</v>
      </c>
      <c r="R748" s="5">
        <f t="shared" si="62"/>
        <v>3.6000000000000085</v>
      </c>
      <c r="S748" s="6">
        <f t="shared" si="63"/>
        <v>3.0586236193712903E-2</v>
      </c>
      <c r="T748" s="6">
        <f t="shared" si="64"/>
        <v>5.9540502642648927E-3</v>
      </c>
    </row>
    <row r="749" spans="1:20" hidden="1" x14ac:dyDescent="0.25">
      <c r="A749" s="4" t="s">
        <v>738</v>
      </c>
      <c r="B749" s="5" t="s">
        <v>688</v>
      </c>
      <c r="C749" s="5" t="s">
        <v>1823</v>
      </c>
      <c r="D749" s="5">
        <v>948</v>
      </c>
      <c r="E749" s="5">
        <v>900.1</v>
      </c>
      <c r="F749" s="5">
        <v>920</v>
      </c>
      <c r="G749" s="5">
        <v>900.1</v>
      </c>
      <c r="H749" s="5">
        <v>920</v>
      </c>
      <c r="I749" s="5">
        <v>920</v>
      </c>
      <c r="J749" s="5">
        <v>912.32</v>
      </c>
      <c r="K749" s="5">
        <v>261</v>
      </c>
      <c r="L749" s="5">
        <v>2.38</v>
      </c>
      <c r="M749" s="5">
        <v>11</v>
      </c>
      <c r="N749" s="5">
        <v>231</v>
      </c>
      <c r="O749" s="5">
        <v>88.51</v>
      </c>
      <c r="P749" s="5">
        <f t="shared" si="60"/>
        <v>-28</v>
      </c>
      <c r="Q749" s="6">
        <f t="shared" si="61"/>
        <v>-2.9535864978902954E-2</v>
      </c>
      <c r="R749" s="5">
        <f t="shared" si="62"/>
        <v>19.899999999999977</v>
      </c>
      <c r="S749" s="6">
        <f t="shared" si="63"/>
        <v>2.0991561181434575E-2</v>
      </c>
      <c r="T749" s="6">
        <f t="shared" si="64"/>
        <v>8.4390967529256091E-3</v>
      </c>
    </row>
    <row r="750" spans="1:20" hidden="1" x14ac:dyDescent="0.25">
      <c r="A750" s="4" t="s">
        <v>738</v>
      </c>
      <c r="B750" s="5" t="s">
        <v>399</v>
      </c>
      <c r="C750" s="5" t="s">
        <v>1823</v>
      </c>
      <c r="D750" s="5">
        <v>935.81</v>
      </c>
      <c r="E750" s="5">
        <v>945</v>
      </c>
      <c r="F750" s="5">
        <v>945</v>
      </c>
      <c r="G750" s="5">
        <v>935</v>
      </c>
      <c r="H750" s="5">
        <v>935</v>
      </c>
      <c r="I750" s="5">
        <v>935</v>
      </c>
      <c r="J750" s="5">
        <v>940.52</v>
      </c>
      <c r="K750" s="5">
        <v>714</v>
      </c>
      <c r="L750" s="5">
        <v>6.72</v>
      </c>
      <c r="M750" s="5">
        <v>14</v>
      </c>
      <c r="N750" s="5">
        <v>714</v>
      </c>
      <c r="O750" s="5">
        <v>100</v>
      </c>
      <c r="P750" s="5">
        <f t="shared" si="60"/>
        <v>-0.80999999999994543</v>
      </c>
      <c r="Q750" s="6">
        <f t="shared" si="61"/>
        <v>-8.6556031673090206E-4</v>
      </c>
      <c r="R750" s="5">
        <f t="shared" si="62"/>
        <v>10</v>
      </c>
      <c r="S750" s="6">
        <f t="shared" si="63"/>
        <v>1.0685929836184696E-2</v>
      </c>
      <c r="T750" s="6">
        <f t="shared" si="64"/>
        <v>-5.8723404255318955E-3</v>
      </c>
    </row>
    <row r="751" spans="1:20" hidden="1" x14ac:dyDescent="0.25">
      <c r="A751" s="4" t="s">
        <v>738</v>
      </c>
      <c r="B751" s="5" t="s">
        <v>442</v>
      </c>
      <c r="C751" s="5" t="s">
        <v>1823</v>
      </c>
      <c r="D751" s="5">
        <v>939</v>
      </c>
      <c r="E751" s="5">
        <v>910</v>
      </c>
      <c r="F751" s="5">
        <v>910</v>
      </c>
      <c r="G751" s="5">
        <v>910</v>
      </c>
      <c r="H751" s="5">
        <v>910</v>
      </c>
      <c r="I751" s="5">
        <v>910</v>
      </c>
      <c r="J751" s="5">
        <v>910</v>
      </c>
      <c r="K751" s="5">
        <v>150</v>
      </c>
      <c r="L751" s="5">
        <v>1.37</v>
      </c>
      <c r="M751" s="5">
        <v>2</v>
      </c>
      <c r="N751" s="5">
        <v>150</v>
      </c>
      <c r="O751" s="5">
        <v>100</v>
      </c>
      <c r="P751" s="5">
        <f t="shared" si="60"/>
        <v>-29</v>
      </c>
      <c r="Q751" s="6">
        <f t="shared" si="61"/>
        <v>-3.0883919062832801E-2</v>
      </c>
      <c r="R751" s="5">
        <f t="shared" si="62"/>
        <v>0</v>
      </c>
      <c r="S751" s="6">
        <f t="shared" si="63"/>
        <v>0</v>
      </c>
      <c r="T751" s="6">
        <f t="shared" si="64"/>
        <v>0</v>
      </c>
    </row>
    <row r="752" spans="1:20" hidden="1" x14ac:dyDescent="0.25">
      <c r="A752" s="4" t="s">
        <v>738</v>
      </c>
      <c r="B752" s="5" t="s">
        <v>730</v>
      </c>
      <c r="C752" s="5" t="s">
        <v>1823</v>
      </c>
      <c r="D752" s="5">
        <v>950</v>
      </c>
      <c r="E752" s="5">
        <v>950</v>
      </c>
      <c r="F752" s="5">
        <v>960</v>
      </c>
      <c r="G752" s="5">
        <v>945</v>
      </c>
      <c r="H752" s="5">
        <v>960</v>
      </c>
      <c r="I752" s="5">
        <v>960</v>
      </c>
      <c r="J752" s="5">
        <v>947.7</v>
      </c>
      <c r="K752" s="5">
        <v>335</v>
      </c>
      <c r="L752" s="5">
        <v>3.17</v>
      </c>
      <c r="M752" s="5">
        <v>7</v>
      </c>
      <c r="N752" s="5">
        <v>335</v>
      </c>
      <c r="O752" s="5">
        <v>100</v>
      </c>
      <c r="P752" s="5">
        <f t="shared" si="60"/>
        <v>10</v>
      </c>
      <c r="Q752" s="6">
        <f t="shared" si="61"/>
        <v>1.0526315789473684E-2</v>
      </c>
      <c r="R752" s="5">
        <f t="shared" si="62"/>
        <v>15</v>
      </c>
      <c r="S752" s="6">
        <f t="shared" si="63"/>
        <v>1.5789473684210527E-2</v>
      </c>
      <c r="T752" s="6">
        <f t="shared" si="64"/>
        <v>1.2896461336828261E-2</v>
      </c>
    </row>
    <row r="753" spans="1:20" hidden="1" x14ac:dyDescent="0.25">
      <c r="A753" s="4" t="s">
        <v>738</v>
      </c>
      <c r="B753" s="5" t="s">
        <v>938</v>
      </c>
      <c r="C753" s="5" t="s">
        <v>1823</v>
      </c>
      <c r="D753" s="5">
        <v>950</v>
      </c>
      <c r="E753" s="5">
        <v>950</v>
      </c>
      <c r="F753" s="5">
        <v>950</v>
      </c>
      <c r="G753" s="5">
        <v>950</v>
      </c>
      <c r="H753" s="5">
        <v>950</v>
      </c>
      <c r="I753" s="5">
        <v>950</v>
      </c>
      <c r="J753" s="5">
        <v>950</v>
      </c>
      <c r="K753" s="5">
        <v>50</v>
      </c>
      <c r="L753" s="5">
        <v>0.48</v>
      </c>
      <c r="M753" s="5">
        <v>3</v>
      </c>
      <c r="N753" s="5">
        <v>50</v>
      </c>
      <c r="O753" s="5">
        <v>100</v>
      </c>
      <c r="P753" s="5">
        <f t="shared" si="60"/>
        <v>0</v>
      </c>
      <c r="Q753" s="6">
        <f t="shared" si="61"/>
        <v>0</v>
      </c>
      <c r="R753" s="5">
        <f t="shared" si="62"/>
        <v>0</v>
      </c>
      <c r="S753" s="6">
        <f t="shared" si="63"/>
        <v>0</v>
      </c>
      <c r="T753" s="6">
        <f t="shared" si="64"/>
        <v>0</v>
      </c>
    </row>
    <row r="754" spans="1:20" hidden="1" x14ac:dyDescent="0.25">
      <c r="A754" s="4" t="s">
        <v>738</v>
      </c>
      <c r="B754" s="5" t="s">
        <v>443</v>
      </c>
      <c r="C754" s="5" t="s">
        <v>1823</v>
      </c>
      <c r="D754" s="5">
        <v>985</v>
      </c>
      <c r="E754" s="5">
        <v>985</v>
      </c>
      <c r="F754" s="5">
        <v>985</v>
      </c>
      <c r="G754" s="5">
        <v>975</v>
      </c>
      <c r="H754" s="5">
        <v>985</v>
      </c>
      <c r="I754" s="5">
        <v>985</v>
      </c>
      <c r="J754" s="5">
        <v>981.67</v>
      </c>
      <c r="K754" s="5">
        <v>75</v>
      </c>
      <c r="L754" s="5">
        <v>0.74</v>
      </c>
      <c r="M754" s="5">
        <v>3</v>
      </c>
      <c r="N754" s="5">
        <v>75</v>
      </c>
      <c r="O754" s="5">
        <v>100</v>
      </c>
      <c r="P754" s="5">
        <f t="shared" si="60"/>
        <v>0</v>
      </c>
      <c r="Q754" s="6">
        <f t="shared" si="61"/>
        <v>0</v>
      </c>
      <c r="R754" s="5">
        <f t="shared" si="62"/>
        <v>10</v>
      </c>
      <c r="S754" s="6">
        <f t="shared" si="63"/>
        <v>1.015228426395939E-2</v>
      </c>
      <c r="T754" s="6">
        <f t="shared" si="64"/>
        <v>3.3893129770992785E-3</v>
      </c>
    </row>
    <row r="755" spans="1:20" hidden="1" x14ac:dyDescent="0.25">
      <c r="A755" s="4" t="s">
        <v>739</v>
      </c>
      <c r="B755" s="5" t="s">
        <v>39</v>
      </c>
      <c r="C755" s="5" t="s">
        <v>1823</v>
      </c>
      <c r="D755" s="5">
        <v>25.45</v>
      </c>
      <c r="E755" s="5">
        <v>26.7</v>
      </c>
      <c r="F755" s="5">
        <v>26.7</v>
      </c>
      <c r="G755" s="5">
        <v>26.7</v>
      </c>
      <c r="H755" s="5">
        <v>26.7</v>
      </c>
      <c r="I755" s="5">
        <v>26.7</v>
      </c>
      <c r="J755" s="5">
        <v>26.7</v>
      </c>
      <c r="K755" s="5">
        <v>272034</v>
      </c>
      <c r="L755" s="5">
        <v>72.63</v>
      </c>
      <c r="M755" s="5">
        <v>200</v>
      </c>
      <c r="N755" s="5" t="s">
        <v>25</v>
      </c>
      <c r="O755" s="5" t="s">
        <v>25</v>
      </c>
      <c r="P755" s="5">
        <f t="shared" si="60"/>
        <v>1.25</v>
      </c>
      <c r="Q755" s="6">
        <f t="shared" si="61"/>
        <v>4.9115913555992145E-2</v>
      </c>
      <c r="R755" s="5">
        <f t="shared" si="62"/>
        <v>0</v>
      </c>
      <c r="S755" s="6">
        <f t="shared" si="63"/>
        <v>0</v>
      </c>
      <c r="T755" s="6">
        <f t="shared" si="64"/>
        <v>0</v>
      </c>
    </row>
    <row r="756" spans="1:20" x14ac:dyDescent="0.25">
      <c r="A756" s="4" t="s">
        <v>1229</v>
      </c>
      <c r="B756" s="5" t="s">
        <v>16</v>
      </c>
      <c r="C756" s="5" t="s">
        <v>1823</v>
      </c>
      <c r="D756" s="5">
        <v>12.9</v>
      </c>
      <c r="E756" s="5">
        <v>13.75</v>
      </c>
      <c r="F756" s="5">
        <v>14.25</v>
      </c>
      <c r="G756" s="5">
        <v>13.55</v>
      </c>
      <c r="H756" s="5">
        <v>13.6</v>
      </c>
      <c r="I756" s="5">
        <v>13.65</v>
      </c>
      <c r="J756" s="5">
        <v>13.85</v>
      </c>
      <c r="K756" s="5">
        <v>2100784</v>
      </c>
      <c r="L756" s="5">
        <v>290.95999999999998</v>
      </c>
      <c r="M756" s="5">
        <v>4076</v>
      </c>
      <c r="N756" s="5">
        <v>857200</v>
      </c>
      <c r="O756" s="5">
        <v>40.799999999999997</v>
      </c>
      <c r="P756" s="5">
        <f t="shared" si="60"/>
        <v>0.75</v>
      </c>
      <c r="Q756" s="6">
        <f t="shared" si="61"/>
        <v>5.8139534883720929E-2</v>
      </c>
      <c r="R756" s="5">
        <f t="shared" si="62"/>
        <v>0.69999999999999929</v>
      </c>
      <c r="S756" s="6">
        <f t="shared" si="63"/>
        <v>5.4263565891472812E-2</v>
      </c>
      <c r="T756" s="6">
        <f t="shared" si="64"/>
        <v>-1.4492753623188356E-2</v>
      </c>
    </row>
    <row r="757" spans="1:20" hidden="1" x14ac:dyDescent="0.25">
      <c r="A757" s="4" t="s">
        <v>741</v>
      </c>
      <c r="B757" s="5" t="s">
        <v>480</v>
      </c>
      <c r="C757" s="5" t="s">
        <v>1823</v>
      </c>
      <c r="D757" s="5">
        <v>1001</v>
      </c>
      <c r="E757" s="5">
        <v>1000</v>
      </c>
      <c r="F757" s="5">
        <v>1000</v>
      </c>
      <c r="G757" s="5">
        <v>997</v>
      </c>
      <c r="H757" s="5">
        <v>997</v>
      </c>
      <c r="I757" s="5">
        <v>997</v>
      </c>
      <c r="J757" s="5">
        <v>998.62</v>
      </c>
      <c r="K757" s="5">
        <v>320</v>
      </c>
      <c r="L757" s="5">
        <v>3.2</v>
      </c>
      <c r="M757" s="5">
        <v>15</v>
      </c>
      <c r="N757" s="5">
        <v>320</v>
      </c>
      <c r="O757" s="5">
        <v>100</v>
      </c>
      <c r="P757" s="5">
        <f t="shared" si="60"/>
        <v>-4</v>
      </c>
      <c r="Q757" s="6">
        <f t="shared" si="61"/>
        <v>-3.996003996003996E-3</v>
      </c>
      <c r="R757" s="5">
        <f t="shared" si="62"/>
        <v>3</v>
      </c>
      <c r="S757" s="6">
        <f t="shared" si="63"/>
        <v>2.997002997002997E-3</v>
      </c>
      <c r="T757" s="6">
        <f t="shared" si="64"/>
        <v>-1.6224336504757182E-3</v>
      </c>
    </row>
    <row r="758" spans="1:20" hidden="1" x14ac:dyDescent="0.25">
      <c r="A758" s="4" t="s">
        <v>741</v>
      </c>
      <c r="B758" s="5" t="s">
        <v>254</v>
      </c>
      <c r="C758" s="5" t="s">
        <v>1823</v>
      </c>
      <c r="D758" s="5">
        <v>1820</v>
      </c>
      <c r="E758" s="5">
        <v>1850</v>
      </c>
      <c r="F758" s="5">
        <v>1856</v>
      </c>
      <c r="G758" s="5">
        <v>1850</v>
      </c>
      <c r="H758" s="5">
        <v>1856</v>
      </c>
      <c r="I758" s="5">
        <v>1855.47</v>
      </c>
      <c r="J758" s="5">
        <v>1850.83</v>
      </c>
      <c r="K758" s="5">
        <v>409</v>
      </c>
      <c r="L758" s="5">
        <v>7.57</v>
      </c>
      <c r="M758" s="5">
        <v>14</v>
      </c>
      <c r="N758" s="5">
        <v>407</v>
      </c>
      <c r="O758" s="5">
        <v>99.51</v>
      </c>
      <c r="P758" s="5">
        <f t="shared" si="60"/>
        <v>35.470000000000027</v>
      </c>
      <c r="Q758" s="6">
        <f t="shared" si="61"/>
        <v>1.9489010989011003E-2</v>
      </c>
      <c r="R758" s="5">
        <f t="shared" si="62"/>
        <v>6</v>
      </c>
      <c r="S758" s="6">
        <f t="shared" si="63"/>
        <v>3.2967032967032967E-3</v>
      </c>
      <c r="T758" s="6">
        <f t="shared" si="64"/>
        <v>2.5042265569448973E-3</v>
      </c>
    </row>
    <row r="759" spans="1:20" hidden="1" x14ac:dyDescent="0.25">
      <c r="A759" s="4" t="s">
        <v>1835</v>
      </c>
      <c r="B759" s="5" t="s">
        <v>39</v>
      </c>
      <c r="C759" s="5" t="s">
        <v>1823</v>
      </c>
      <c r="D759" s="5">
        <v>60</v>
      </c>
      <c r="E759" s="5">
        <v>58</v>
      </c>
      <c r="F759" s="5">
        <v>63</v>
      </c>
      <c r="G759" s="5">
        <v>57</v>
      </c>
      <c r="H759" s="5">
        <v>58</v>
      </c>
      <c r="I759" s="5">
        <v>58</v>
      </c>
      <c r="J759" s="5">
        <v>61.57</v>
      </c>
      <c r="K759" s="5">
        <v>9398</v>
      </c>
      <c r="L759" s="5">
        <v>5.79</v>
      </c>
      <c r="M759" s="5">
        <v>25</v>
      </c>
      <c r="N759" s="5" t="s">
        <v>25</v>
      </c>
      <c r="O759" s="5" t="s">
        <v>25</v>
      </c>
      <c r="P759" s="5">
        <f t="shared" si="60"/>
        <v>-2</v>
      </c>
      <c r="Q759" s="6">
        <f t="shared" si="61"/>
        <v>-3.3333333333333333E-2</v>
      </c>
      <c r="R759" s="5">
        <f t="shared" si="62"/>
        <v>6</v>
      </c>
      <c r="S759" s="6">
        <f t="shared" si="63"/>
        <v>0.1</v>
      </c>
      <c r="T759" s="6">
        <f t="shared" si="64"/>
        <v>-6.050847457627119E-2</v>
      </c>
    </row>
    <row r="760" spans="1:20" hidden="1" x14ac:dyDescent="0.25">
      <c r="A760" s="4" t="s">
        <v>742</v>
      </c>
      <c r="B760" s="5" t="s">
        <v>24</v>
      </c>
      <c r="C760" s="5" t="s">
        <v>1823</v>
      </c>
      <c r="D760" s="5">
        <v>4.25</v>
      </c>
      <c r="E760" s="5">
        <v>4.1500000000000004</v>
      </c>
      <c r="F760" s="5">
        <v>4.45</v>
      </c>
      <c r="G760" s="5">
        <v>4.05</v>
      </c>
      <c r="H760" s="5">
        <v>4.4000000000000004</v>
      </c>
      <c r="I760" s="5">
        <v>4.4000000000000004</v>
      </c>
      <c r="J760" s="5">
        <v>4.2699999999999996</v>
      </c>
      <c r="K760" s="5">
        <v>19001</v>
      </c>
      <c r="L760" s="5">
        <v>0.81</v>
      </c>
      <c r="M760" s="5">
        <v>35</v>
      </c>
      <c r="N760" s="5" t="s">
        <v>25</v>
      </c>
      <c r="O760" s="5" t="s">
        <v>25</v>
      </c>
      <c r="P760" s="5">
        <f t="shared" si="60"/>
        <v>0.15000000000000036</v>
      </c>
      <c r="Q760" s="6">
        <f t="shared" si="61"/>
        <v>3.5294117647058906E-2</v>
      </c>
      <c r="R760" s="5">
        <f t="shared" si="62"/>
        <v>0.40000000000000036</v>
      </c>
      <c r="S760" s="6">
        <f t="shared" si="63"/>
        <v>9.4117647058823611E-2</v>
      </c>
      <c r="T760" s="6">
        <f t="shared" si="64"/>
        <v>3.0498533724340353E-2</v>
      </c>
    </row>
    <row r="761" spans="1:20" hidden="1" x14ac:dyDescent="0.25">
      <c r="A761" s="4" t="s">
        <v>743</v>
      </c>
      <c r="B761" s="5" t="s">
        <v>24</v>
      </c>
      <c r="C761" s="5" t="s">
        <v>1823</v>
      </c>
      <c r="D761" s="5">
        <v>2.2000000000000002</v>
      </c>
      <c r="E761" s="5">
        <v>2.2999999999999998</v>
      </c>
      <c r="F761" s="5">
        <v>2.2999999999999998</v>
      </c>
      <c r="G761" s="5">
        <v>2.2999999999999998</v>
      </c>
      <c r="H761" s="5">
        <v>2.2999999999999998</v>
      </c>
      <c r="I761" s="5">
        <v>2.2999999999999998</v>
      </c>
      <c r="J761" s="5">
        <v>2.2999999999999998</v>
      </c>
      <c r="K761" s="5">
        <v>5430</v>
      </c>
      <c r="L761" s="5">
        <v>0.12</v>
      </c>
      <c r="M761" s="5">
        <v>24</v>
      </c>
      <c r="N761" s="5" t="s">
        <v>25</v>
      </c>
      <c r="O761" s="5" t="s">
        <v>25</v>
      </c>
      <c r="P761" s="5">
        <f t="shared" si="60"/>
        <v>9.9999999999999645E-2</v>
      </c>
      <c r="Q761" s="6">
        <f t="shared" si="61"/>
        <v>4.5454545454545289E-2</v>
      </c>
      <c r="R761" s="5">
        <f t="shared" si="62"/>
        <v>0</v>
      </c>
      <c r="S761" s="6">
        <f t="shared" si="63"/>
        <v>0</v>
      </c>
      <c r="T761" s="6">
        <f t="shared" si="64"/>
        <v>0</v>
      </c>
    </row>
    <row r="762" spans="1:20" hidden="1" x14ac:dyDescent="0.25">
      <c r="A762" s="4" t="s">
        <v>744</v>
      </c>
      <c r="B762" s="5" t="s">
        <v>16</v>
      </c>
      <c r="C762" s="5" t="s">
        <v>1823</v>
      </c>
      <c r="D762" s="5">
        <v>190</v>
      </c>
      <c r="E762" s="5">
        <v>187</v>
      </c>
      <c r="F762" s="5">
        <v>189.2</v>
      </c>
      <c r="G762" s="5">
        <v>185.1</v>
      </c>
      <c r="H762" s="5">
        <v>188</v>
      </c>
      <c r="I762" s="5">
        <v>185.9</v>
      </c>
      <c r="J762" s="5">
        <v>187.01</v>
      </c>
      <c r="K762" s="5">
        <v>8624</v>
      </c>
      <c r="L762" s="5">
        <v>16.13</v>
      </c>
      <c r="M762" s="5">
        <v>319</v>
      </c>
      <c r="N762" s="5">
        <v>7041</v>
      </c>
      <c r="O762" s="5">
        <v>81.64</v>
      </c>
      <c r="P762" s="5">
        <f t="shared" si="60"/>
        <v>-4.0999999999999943</v>
      </c>
      <c r="Q762" s="6">
        <f t="shared" si="61"/>
        <v>-2.1578947368421024E-2</v>
      </c>
      <c r="R762" s="5">
        <f t="shared" si="62"/>
        <v>4.0999999999999943</v>
      </c>
      <c r="S762" s="6">
        <f t="shared" si="63"/>
        <v>2.1578947368421024E-2</v>
      </c>
      <c r="T762" s="6">
        <f t="shared" si="64"/>
        <v>-5.9421841541755106E-3</v>
      </c>
    </row>
    <row r="763" spans="1:20" hidden="1" x14ac:dyDescent="0.25">
      <c r="A763" s="4" t="s">
        <v>745</v>
      </c>
      <c r="B763" s="5" t="s">
        <v>16</v>
      </c>
      <c r="C763" s="5" t="s">
        <v>1823</v>
      </c>
      <c r="D763" s="5">
        <v>917.4</v>
      </c>
      <c r="E763" s="5">
        <v>917.4</v>
      </c>
      <c r="F763" s="5">
        <v>935</v>
      </c>
      <c r="G763" s="5">
        <v>908.8</v>
      </c>
      <c r="H763" s="5">
        <v>909</v>
      </c>
      <c r="I763" s="5">
        <v>909.75</v>
      </c>
      <c r="J763" s="5">
        <v>912.27</v>
      </c>
      <c r="K763" s="5">
        <v>885</v>
      </c>
      <c r="L763" s="5">
        <v>8.07</v>
      </c>
      <c r="M763" s="5">
        <v>223</v>
      </c>
      <c r="N763" s="5">
        <v>300</v>
      </c>
      <c r="O763" s="5">
        <v>33.9</v>
      </c>
      <c r="P763" s="5">
        <f t="shared" si="60"/>
        <v>-7.6499999999999773</v>
      </c>
      <c r="Q763" s="6">
        <f t="shared" si="61"/>
        <v>-8.3387835186396093E-3</v>
      </c>
      <c r="R763" s="5">
        <f t="shared" si="62"/>
        <v>26.200000000000045</v>
      </c>
      <c r="S763" s="6">
        <f t="shared" si="63"/>
        <v>2.8558971005014221E-2</v>
      </c>
      <c r="T763" s="6">
        <f t="shared" si="64"/>
        <v>-2.7458832182404901E-3</v>
      </c>
    </row>
    <row r="764" spans="1:20" hidden="1" x14ac:dyDescent="0.25">
      <c r="A764" s="4" t="s">
        <v>746</v>
      </c>
      <c r="B764" s="5" t="s">
        <v>39</v>
      </c>
      <c r="C764" s="5" t="s">
        <v>1823</v>
      </c>
      <c r="D764" s="5">
        <v>0.35</v>
      </c>
      <c r="E764" s="5">
        <v>0.3</v>
      </c>
      <c r="F764" s="5">
        <v>0.3</v>
      </c>
      <c r="G764" s="5">
        <v>0.3</v>
      </c>
      <c r="H764" s="5">
        <v>0.3</v>
      </c>
      <c r="I764" s="5">
        <v>0.3</v>
      </c>
      <c r="J764" s="5">
        <v>0.3</v>
      </c>
      <c r="K764" s="5">
        <v>26330</v>
      </c>
      <c r="L764" s="5">
        <v>0.08</v>
      </c>
      <c r="M764" s="5">
        <v>8</v>
      </c>
      <c r="N764" s="5" t="s">
        <v>25</v>
      </c>
      <c r="O764" s="5" t="s">
        <v>25</v>
      </c>
      <c r="P764" s="5">
        <f t="shared" si="60"/>
        <v>-4.9999999999999989E-2</v>
      </c>
      <c r="Q764" s="6">
        <f t="shared" si="61"/>
        <v>-0.14285714285714282</v>
      </c>
      <c r="R764" s="5">
        <f t="shared" si="62"/>
        <v>0</v>
      </c>
      <c r="S764" s="6">
        <f t="shared" si="63"/>
        <v>0</v>
      </c>
      <c r="T764" s="6">
        <f t="shared" si="64"/>
        <v>0</v>
      </c>
    </row>
    <row r="765" spans="1:20" hidden="1" x14ac:dyDescent="0.25">
      <c r="A765" s="4" t="s">
        <v>747</v>
      </c>
      <c r="B765" s="5" t="s">
        <v>16</v>
      </c>
      <c r="C765" s="5" t="s">
        <v>1823</v>
      </c>
      <c r="D765" s="5">
        <v>7.65</v>
      </c>
      <c r="E765" s="5">
        <v>7.8</v>
      </c>
      <c r="F765" s="5">
        <v>7.85</v>
      </c>
      <c r="G765" s="5">
        <v>7.4</v>
      </c>
      <c r="H765" s="5">
        <v>7.45</v>
      </c>
      <c r="I765" s="5">
        <v>7.5</v>
      </c>
      <c r="J765" s="5">
        <v>7.5</v>
      </c>
      <c r="K765" s="5">
        <v>21360</v>
      </c>
      <c r="L765" s="5">
        <v>1.6</v>
      </c>
      <c r="M765" s="5">
        <v>112</v>
      </c>
      <c r="N765" s="5">
        <v>16188</v>
      </c>
      <c r="O765" s="5">
        <v>75.790000000000006</v>
      </c>
      <c r="P765" s="5">
        <f t="shared" si="60"/>
        <v>-0.15000000000000036</v>
      </c>
      <c r="Q765" s="6">
        <f t="shared" si="61"/>
        <v>-1.9607843137254947E-2</v>
      </c>
      <c r="R765" s="5">
        <f t="shared" si="62"/>
        <v>0.44999999999999929</v>
      </c>
      <c r="S765" s="6">
        <f t="shared" si="63"/>
        <v>5.8823529411764608E-2</v>
      </c>
      <c r="T765" s="6">
        <f t="shared" si="64"/>
        <v>0</v>
      </c>
    </row>
    <row r="766" spans="1:20" x14ac:dyDescent="0.25">
      <c r="A766" s="4" t="s">
        <v>1410</v>
      </c>
      <c r="B766" s="5" t="s">
        <v>16</v>
      </c>
      <c r="C766" s="5" t="s">
        <v>1823</v>
      </c>
      <c r="D766" s="5">
        <v>302.60000000000002</v>
      </c>
      <c r="E766" s="5">
        <v>297</v>
      </c>
      <c r="F766" s="5">
        <v>297.5</v>
      </c>
      <c r="G766" s="5">
        <v>278.7</v>
      </c>
      <c r="H766" s="5">
        <v>279.3</v>
      </c>
      <c r="I766" s="5">
        <v>280.25</v>
      </c>
      <c r="J766" s="5">
        <v>286.26</v>
      </c>
      <c r="K766" s="5">
        <v>73063465</v>
      </c>
      <c r="L766" s="5">
        <v>209150.22</v>
      </c>
      <c r="M766" s="5">
        <v>445272</v>
      </c>
      <c r="N766" s="5">
        <v>29864976</v>
      </c>
      <c r="O766" s="5">
        <v>40.880000000000003</v>
      </c>
      <c r="P766" s="5">
        <f t="shared" si="60"/>
        <v>-22.350000000000023</v>
      </c>
      <c r="Q766" s="6">
        <f t="shared" si="61"/>
        <v>-7.3859881031064181E-2</v>
      </c>
      <c r="R766" s="5">
        <f t="shared" si="62"/>
        <v>18.800000000000011</v>
      </c>
      <c r="S766" s="6">
        <f t="shared" si="63"/>
        <v>6.2128222075347024E-2</v>
      </c>
      <c r="T766" s="6">
        <f t="shared" si="64"/>
        <v>-2.0841822359009894E-2</v>
      </c>
    </row>
    <row r="767" spans="1:20" x14ac:dyDescent="0.25">
      <c r="A767" s="4" t="s">
        <v>1561</v>
      </c>
      <c r="B767" s="5" t="s">
        <v>16</v>
      </c>
      <c r="C767" s="5" t="s">
        <v>1823</v>
      </c>
      <c r="D767" s="5">
        <v>169.15</v>
      </c>
      <c r="E767" s="5">
        <v>168.2</v>
      </c>
      <c r="F767" s="5">
        <v>168.45</v>
      </c>
      <c r="G767" s="5">
        <v>154.75</v>
      </c>
      <c r="H767" s="5">
        <v>155</v>
      </c>
      <c r="I767" s="5">
        <v>156.1</v>
      </c>
      <c r="J767" s="5">
        <v>159.12</v>
      </c>
      <c r="K767" s="5">
        <v>2019655</v>
      </c>
      <c r="L767" s="5">
        <v>3213.72</v>
      </c>
      <c r="M767" s="5">
        <v>24499</v>
      </c>
      <c r="N767" s="5">
        <v>835008</v>
      </c>
      <c r="O767" s="5">
        <v>41.34</v>
      </c>
      <c r="P767" s="5">
        <f t="shared" si="60"/>
        <v>-13.050000000000011</v>
      </c>
      <c r="Q767" s="6">
        <f t="shared" si="61"/>
        <v>-7.7150458173219097E-2</v>
      </c>
      <c r="R767" s="5">
        <f t="shared" si="62"/>
        <v>13.699999999999989</v>
      </c>
      <c r="S767" s="6">
        <f t="shared" si="63"/>
        <v>8.0993201300620682E-2</v>
      </c>
      <c r="T767" s="6">
        <f t="shared" si="64"/>
        <v>-1.865637065637072E-2</v>
      </c>
    </row>
    <row r="768" spans="1:20" x14ac:dyDescent="0.25">
      <c r="A768" s="4" t="s">
        <v>602</v>
      </c>
      <c r="B768" s="5" t="s">
        <v>16</v>
      </c>
      <c r="C768" s="5" t="s">
        <v>1823</v>
      </c>
      <c r="D768" s="5">
        <v>85.25</v>
      </c>
      <c r="E768" s="5">
        <v>86</v>
      </c>
      <c r="F768" s="5">
        <v>87.25</v>
      </c>
      <c r="G768" s="5">
        <v>82.3</v>
      </c>
      <c r="H768" s="5">
        <v>82.6</v>
      </c>
      <c r="I768" s="5">
        <v>82.8</v>
      </c>
      <c r="J768" s="5">
        <v>84.59</v>
      </c>
      <c r="K768" s="5">
        <v>1144593</v>
      </c>
      <c r="L768" s="5">
        <v>968.2</v>
      </c>
      <c r="M768" s="5">
        <v>8770</v>
      </c>
      <c r="N768" s="5">
        <v>474623</v>
      </c>
      <c r="O768" s="5">
        <v>41.47</v>
      </c>
      <c r="P768" s="5">
        <f t="shared" si="60"/>
        <v>-2.4500000000000028</v>
      </c>
      <c r="Q768" s="6">
        <f t="shared" si="61"/>
        <v>-2.8739002932551352E-2</v>
      </c>
      <c r="R768" s="5">
        <f t="shared" si="62"/>
        <v>4.9500000000000028</v>
      </c>
      <c r="S768" s="6">
        <f t="shared" si="63"/>
        <v>5.8064516129032288E-2</v>
      </c>
      <c r="T768" s="6">
        <f t="shared" si="64"/>
        <v>-2.1161519136988396E-2</v>
      </c>
    </row>
    <row r="769" spans="1:20" x14ac:dyDescent="0.25">
      <c r="A769" s="4" t="s">
        <v>1070</v>
      </c>
      <c r="B769" s="5" t="s">
        <v>16</v>
      </c>
      <c r="C769" s="5" t="s">
        <v>1823</v>
      </c>
      <c r="D769" s="5">
        <v>21.75</v>
      </c>
      <c r="E769" s="5">
        <v>19</v>
      </c>
      <c r="F769" s="5">
        <v>19.649999999999999</v>
      </c>
      <c r="G769" s="5">
        <v>17.399999999999999</v>
      </c>
      <c r="H769" s="5">
        <v>17.399999999999999</v>
      </c>
      <c r="I769" s="5">
        <v>17.399999999999999</v>
      </c>
      <c r="J769" s="5">
        <v>18.36</v>
      </c>
      <c r="K769" s="5">
        <v>4427802</v>
      </c>
      <c r="L769" s="5">
        <v>812.91</v>
      </c>
      <c r="M769" s="5">
        <v>9653</v>
      </c>
      <c r="N769" s="5">
        <v>1846586</v>
      </c>
      <c r="O769" s="5">
        <v>41.7</v>
      </c>
      <c r="P769" s="5">
        <f t="shared" si="60"/>
        <v>-4.3500000000000014</v>
      </c>
      <c r="Q769" s="6">
        <f t="shared" si="61"/>
        <v>-0.20000000000000007</v>
      </c>
      <c r="R769" s="5">
        <f t="shared" si="62"/>
        <v>2.25</v>
      </c>
      <c r="S769" s="6">
        <f t="shared" si="63"/>
        <v>0.10344827586206896</v>
      </c>
      <c r="T769" s="6">
        <f t="shared" si="64"/>
        <v>-5.2280462899931983E-2</v>
      </c>
    </row>
    <row r="770" spans="1:20" x14ac:dyDescent="0.25">
      <c r="A770" s="4" t="s">
        <v>1592</v>
      </c>
      <c r="B770" s="5" t="s">
        <v>16</v>
      </c>
      <c r="C770" s="5" t="s">
        <v>1823</v>
      </c>
      <c r="D770" s="5">
        <v>294.14999999999998</v>
      </c>
      <c r="E770" s="5">
        <v>294.95</v>
      </c>
      <c r="F770" s="5">
        <v>304</v>
      </c>
      <c r="G770" s="5">
        <v>287.35000000000002</v>
      </c>
      <c r="H770" s="5">
        <v>289.95</v>
      </c>
      <c r="I770" s="5">
        <v>290.05</v>
      </c>
      <c r="J770" s="5">
        <v>296.73</v>
      </c>
      <c r="K770" s="5">
        <v>432497</v>
      </c>
      <c r="L770" s="5">
        <v>1283.3599999999999</v>
      </c>
      <c r="M770" s="5">
        <v>7008</v>
      </c>
      <c r="N770" s="5">
        <v>180669</v>
      </c>
      <c r="O770" s="5">
        <v>41.77</v>
      </c>
      <c r="P770" s="5">
        <f t="shared" si="60"/>
        <v>-4.0999999999999659</v>
      </c>
      <c r="Q770" s="6">
        <f t="shared" si="61"/>
        <v>-1.3938466768655334E-2</v>
      </c>
      <c r="R770" s="5">
        <f t="shared" si="62"/>
        <v>16.649999999999977</v>
      </c>
      <c r="S770" s="6">
        <f t="shared" si="63"/>
        <v>5.6603773584905585E-2</v>
      </c>
      <c r="T770" s="6">
        <f t="shared" si="64"/>
        <v>-2.2714328218642433E-2</v>
      </c>
    </row>
    <row r="771" spans="1:20" hidden="1" x14ac:dyDescent="0.25">
      <c r="A771" s="4" t="s">
        <v>753</v>
      </c>
      <c r="B771" s="5" t="s">
        <v>39</v>
      </c>
      <c r="C771" s="5" t="s">
        <v>1823</v>
      </c>
      <c r="D771" s="5">
        <v>112.6</v>
      </c>
      <c r="E771" s="5">
        <v>113</v>
      </c>
      <c r="F771" s="5">
        <v>116.5</v>
      </c>
      <c r="G771" s="5">
        <v>113</v>
      </c>
      <c r="H771" s="5">
        <v>116.5</v>
      </c>
      <c r="I771" s="5">
        <v>116.5</v>
      </c>
      <c r="J771" s="5">
        <v>113.51</v>
      </c>
      <c r="K771" s="5">
        <v>255</v>
      </c>
      <c r="L771" s="5">
        <v>0.28999999999999998</v>
      </c>
      <c r="M771" s="5">
        <v>7</v>
      </c>
      <c r="N771" s="5" t="s">
        <v>25</v>
      </c>
      <c r="O771" s="5" t="s">
        <v>25</v>
      </c>
      <c r="P771" s="5">
        <f t="shared" si="60"/>
        <v>3.9000000000000057</v>
      </c>
      <c r="Q771" s="6">
        <f t="shared" si="61"/>
        <v>3.4635879218472519E-2</v>
      </c>
      <c r="R771" s="5">
        <f t="shared" si="62"/>
        <v>3.5</v>
      </c>
      <c r="S771" s="6">
        <f t="shared" si="63"/>
        <v>3.108348134991119E-2</v>
      </c>
      <c r="T771" s="6">
        <f t="shared" si="64"/>
        <v>2.6056644880174246E-2</v>
      </c>
    </row>
    <row r="772" spans="1:20" hidden="1" x14ac:dyDescent="0.25">
      <c r="A772" s="4" t="s">
        <v>754</v>
      </c>
      <c r="B772" s="5" t="s">
        <v>16</v>
      </c>
      <c r="C772" s="5" t="s">
        <v>1823</v>
      </c>
      <c r="D772" s="5">
        <v>286.55</v>
      </c>
      <c r="E772" s="5">
        <v>285.25</v>
      </c>
      <c r="F772" s="5">
        <v>287.55</v>
      </c>
      <c r="G772" s="5">
        <v>280.10000000000002</v>
      </c>
      <c r="H772" s="5">
        <v>280.10000000000002</v>
      </c>
      <c r="I772" s="5">
        <v>281.14999999999998</v>
      </c>
      <c r="J772" s="5">
        <v>283.08999999999997</v>
      </c>
      <c r="K772" s="5">
        <v>7349</v>
      </c>
      <c r="L772" s="5">
        <v>20.8</v>
      </c>
      <c r="M772" s="5">
        <v>264</v>
      </c>
      <c r="N772" s="5">
        <v>5012</v>
      </c>
      <c r="O772" s="5">
        <v>68.2</v>
      </c>
      <c r="P772" s="5">
        <f t="shared" si="60"/>
        <v>-5.4000000000000341</v>
      </c>
      <c r="Q772" s="6">
        <f t="shared" si="61"/>
        <v>-1.88448787297157E-2</v>
      </c>
      <c r="R772" s="5">
        <f t="shared" si="62"/>
        <v>7.4499999999999886</v>
      </c>
      <c r="S772" s="6">
        <f t="shared" si="63"/>
        <v>2.5998953062292753E-2</v>
      </c>
      <c r="T772" s="6">
        <f t="shared" si="64"/>
        <v>-6.8427318019487603E-3</v>
      </c>
    </row>
    <row r="773" spans="1:20" hidden="1" x14ac:dyDescent="0.25">
      <c r="A773" s="4" t="s">
        <v>755</v>
      </c>
      <c r="B773" s="5" t="s">
        <v>16</v>
      </c>
      <c r="C773" s="5" t="s">
        <v>1823</v>
      </c>
      <c r="D773" s="5">
        <v>1817.9</v>
      </c>
      <c r="E773" s="5">
        <v>1822.3</v>
      </c>
      <c r="F773" s="5">
        <v>1830</v>
      </c>
      <c r="G773" s="5">
        <v>1793</v>
      </c>
      <c r="H773" s="5">
        <v>1800.1</v>
      </c>
      <c r="I773" s="5">
        <v>1803.55</v>
      </c>
      <c r="J773" s="5">
        <v>1806.94</v>
      </c>
      <c r="K773" s="5">
        <v>632284</v>
      </c>
      <c r="L773" s="5">
        <v>11424.98</v>
      </c>
      <c r="M773" s="5">
        <v>31363</v>
      </c>
      <c r="N773" s="5">
        <v>130473</v>
      </c>
      <c r="O773" s="5">
        <v>20.64</v>
      </c>
      <c r="P773" s="5">
        <f t="shared" si="60"/>
        <v>-14.350000000000136</v>
      </c>
      <c r="Q773" s="6">
        <f t="shared" si="61"/>
        <v>-7.8937235271467829E-3</v>
      </c>
      <c r="R773" s="5">
        <f t="shared" si="62"/>
        <v>37</v>
      </c>
      <c r="S773" s="6">
        <f t="shared" si="63"/>
        <v>2.0353154738984542E-2</v>
      </c>
      <c r="T773" s="6">
        <f t="shared" si="64"/>
        <v>-1.8706415500390268E-3</v>
      </c>
    </row>
    <row r="774" spans="1:20" hidden="1" x14ac:dyDescent="0.25">
      <c r="A774" s="4" t="s">
        <v>756</v>
      </c>
      <c r="B774" s="5" t="s">
        <v>757</v>
      </c>
      <c r="C774" s="5" t="s">
        <v>1823</v>
      </c>
      <c r="D774" s="5">
        <v>88.98</v>
      </c>
      <c r="E774" s="5">
        <v>88.98</v>
      </c>
      <c r="F774" s="5">
        <v>89.2</v>
      </c>
      <c r="G774" s="5">
        <v>88.98</v>
      </c>
      <c r="H774" s="5">
        <v>89.2</v>
      </c>
      <c r="I774" s="5">
        <v>89.2</v>
      </c>
      <c r="J774" s="5">
        <v>89.19</v>
      </c>
      <c r="K774" s="5">
        <v>316386</v>
      </c>
      <c r="L774" s="5">
        <v>282.18</v>
      </c>
      <c r="M774" s="5">
        <v>20</v>
      </c>
      <c r="N774" s="5">
        <v>316386</v>
      </c>
      <c r="O774" s="5">
        <v>100</v>
      </c>
      <c r="P774" s="5">
        <f t="shared" si="60"/>
        <v>0.21999999999999886</v>
      </c>
      <c r="Q774" s="6">
        <f t="shared" si="61"/>
        <v>2.4724657226342871E-3</v>
      </c>
      <c r="R774" s="5">
        <f t="shared" si="62"/>
        <v>0.21999999999999886</v>
      </c>
      <c r="S774" s="6">
        <f t="shared" si="63"/>
        <v>2.4724657226342871E-3</v>
      </c>
      <c r="T774" s="6">
        <f t="shared" si="64"/>
        <v>1.1224604332703014E-4</v>
      </c>
    </row>
    <row r="775" spans="1:20" hidden="1" x14ac:dyDescent="0.25">
      <c r="A775" s="4" t="s">
        <v>758</v>
      </c>
      <c r="B775" s="5" t="s">
        <v>16</v>
      </c>
      <c r="C775" s="5" t="s">
        <v>1823</v>
      </c>
      <c r="D775" s="5">
        <v>19.5</v>
      </c>
      <c r="E775" s="5">
        <v>18.7</v>
      </c>
      <c r="F775" s="5">
        <v>19.3</v>
      </c>
      <c r="G775" s="5">
        <v>18.55</v>
      </c>
      <c r="H775" s="5">
        <v>18.600000000000001</v>
      </c>
      <c r="I775" s="5">
        <v>18.600000000000001</v>
      </c>
      <c r="J775" s="5">
        <v>18.670000000000002</v>
      </c>
      <c r="K775" s="5">
        <v>618</v>
      </c>
      <c r="L775" s="5">
        <v>0.12</v>
      </c>
      <c r="M775" s="5">
        <v>15</v>
      </c>
      <c r="N775" s="5">
        <v>328</v>
      </c>
      <c r="O775" s="5">
        <v>53.07</v>
      </c>
      <c r="P775" s="5">
        <f t="shared" si="60"/>
        <v>-0.89999999999999858</v>
      </c>
      <c r="Q775" s="6">
        <f t="shared" si="61"/>
        <v>-4.615384615384608E-2</v>
      </c>
      <c r="R775" s="5">
        <f t="shared" si="62"/>
        <v>0.75</v>
      </c>
      <c r="S775" s="6">
        <f t="shared" si="63"/>
        <v>3.8461538461538464E-2</v>
      </c>
      <c r="T775" s="6">
        <f t="shared" si="64"/>
        <v>-3.7258815701929622E-3</v>
      </c>
    </row>
    <row r="776" spans="1:20" hidden="1" x14ac:dyDescent="0.25">
      <c r="A776" s="4" t="s">
        <v>759</v>
      </c>
      <c r="B776" s="5" t="s">
        <v>16</v>
      </c>
      <c r="C776" s="5" t="s">
        <v>1823</v>
      </c>
      <c r="D776" s="5">
        <v>365.65</v>
      </c>
      <c r="E776" s="5">
        <v>360.1</v>
      </c>
      <c r="F776" s="5">
        <v>361.95</v>
      </c>
      <c r="G776" s="5">
        <v>350.5</v>
      </c>
      <c r="H776" s="5">
        <v>354.5</v>
      </c>
      <c r="I776" s="5">
        <v>354</v>
      </c>
      <c r="J776" s="5">
        <v>357.63</v>
      </c>
      <c r="K776" s="5">
        <v>1943</v>
      </c>
      <c r="L776" s="5">
        <v>6.95</v>
      </c>
      <c r="M776" s="5">
        <v>137</v>
      </c>
      <c r="N776" s="5">
        <v>1589</v>
      </c>
      <c r="O776" s="5">
        <v>81.78</v>
      </c>
      <c r="P776" s="5">
        <f t="shared" si="60"/>
        <v>-11.649999999999977</v>
      </c>
      <c r="Q776" s="6">
        <f t="shared" si="61"/>
        <v>-3.1861069328592853E-2</v>
      </c>
      <c r="R776" s="5">
        <f t="shared" si="62"/>
        <v>11.449999999999989</v>
      </c>
      <c r="S776" s="6">
        <f t="shared" si="63"/>
        <v>3.1314098181320908E-2</v>
      </c>
      <c r="T776" s="6">
        <f t="shared" si="64"/>
        <v>-1.0178402439451811E-2</v>
      </c>
    </row>
    <row r="777" spans="1:20" hidden="1" x14ac:dyDescent="0.25">
      <c r="A777" s="4" t="s">
        <v>760</v>
      </c>
      <c r="B777" s="5" t="s">
        <v>16</v>
      </c>
      <c r="C777" s="5" t="s">
        <v>1823</v>
      </c>
      <c r="D777" s="5">
        <v>159.19999999999999</v>
      </c>
      <c r="E777" s="5">
        <v>160.94999999999999</v>
      </c>
      <c r="F777" s="5">
        <v>161.1</v>
      </c>
      <c r="G777" s="5">
        <v>155</v>
      </c>
      <c r="H777" s="5">
        <v>155.55000000000001</v>
      </c>
      <c r="I777" s="5">
        <v>155.75</v>
      </c>
      <c r="J777" s="5">
        <v>157.52000000000001</v>
      </c>
      <c r="K777" s="5">
        <v>7516</v>
      </c>
      <c r="L777" s="5">
        <v>11.84</v>
      </c>
      <c r="M777" s="5">
        <v>318</v>
      </c>
      <c r="N777" s="5">
        <v>5032</v>
      </c>
      <c r="O777" s="5">
        <v>66.95</v>
      </c>
      <c r="P777" s="5">
        <f t="shared" si="60"/>
        <v>-3.4499999999999886</v>
      </c>
      <c r="Q777" s="6">
        <f t="shared" si="61"/>
        <v>-2.1670854271356715E-2</v>
      </c>
      <c r="R777" s="5">
        <f t="shared" si="62"/>
        <v>6.0999999999999943</v>
      </c>
      <c r="S777" s="6">
        <f t="shared" si="63"/>
        <v>3.8316582914572829E-2</v>
      </c>
      <c r="T777" s="6">
        <f t="shared" si="64"/>
        <v>-1.1188369152970988E-2</v>
      </c>
    </row>
    <row r="778" spans="1:20" hidden="1" x14ac:dyDescent="0.25">
      <c r="A778" s="4" t="s">
        <v>761</v>
      </c>
      <c r="B778" s="5" t="s">
        <v>16</v>
      </c>
      <c r="C778" s="5" t="s">
        <v>1823</v>
      </c>
      <c r="D778" s="5">
        <v>33.1</v>
      </c>
      <c r="E778" s="5">
        <v>33</v>
      </c>
      <c r="F778" s="5">
        <v>33.049999999999997</v>
      </c>
      <c r="G778" s="5">
        <v>31.55</v>
      </c>
      <c r="H778" s="5">
        <v>31.7</v>
      </c>
      <c r="I778" s="5">
        <v>32.1</v>
      </c>
      <c r="J778" s="5">
        <v>32.14</v>
      </c>
      <c r="K778" s="5">
        <v>8271</v>
      </c>
      <c r="L778" s="5">
        <v>2.66</v>
      </c>
      <c r="M778" s="5">
        <v>93</v>
      </c>
      <c r="N778" s="5">
        <v>6869</v>
      </c>
      <c r="O778" s="5">
        <v>83.05</v>
      </c>
      <c r="P778" s="5">
        <f t="shared" si="60"/>
        <v>-1</v>
      </c>
      <c r="Q778" s="6">
        <f t="shared" si="61"/>
        <v>-3.0211480362537763E-2</v>
      </c>
      <c r="R778" s="5">
        <f t="shared" si="62"/>
        <v>1.4999999999999964</v>
      </c>
      <c r="S778" s="6">
        <f t="shared" si="63"/>
        <v>4.531722054380654E-2</v>
      </c>
      <c r="T778" s="6">
        <f t="shared" si="64"/>
        <v>-1.233616037008455E-3</v>
      </c>
    </row>
    <row r="779" spans="1:20" hidden="1" x14ac:dyDescent="0.25">
      <c r="A779" s="4" t="s">
        <v>762</v>
      </c>
      <c r="B779" s="5" t="s">
        <v>24</v>
      </c>
      <c r="C779" s="5" t="s">
        <v>1823</v>
      </c>
      <c r="D779" s="5">
        <v>0.4</v>
      </c>
      <c r="E779" s="5">
        <v>0.45</v>
      </c>
      <c r="F779" s="5">
        <v>0.45</v>
      </c>
      <c r="G779" s="5">
        <v>0.4</v>
      </c>
      <c r="H779" s="5">
        <v>0.45</v>
      </c>
      <c r="I779" s="5">
        <v>0.45</v>
      </c>
      <c r="J779" s="5">
        <v>0.42</v>
      </c>
      <c r="K779" s="5">
        <v>281898</v>
      </c>
      <c r="L779" s="5">
        <v>1.18</v>
      </c>
      <c r="M779" s="5">
        <v>101</v>
      </c>
      <c r="N779" s="5" t="s">
        <v>25</v>
      </c>
      <c r="O779" s="5" t="s">
        <v>25</v>
      </c>
      <c r="P779" s="5">
        <f t="shared" si="60"/>
        <v>4.9999999999999989E-2</v>
      </c>
      <c r="Q779" s="6">
        <f t="shared" si="61"/>
        <v>0.12499999999999997</v>
      </c>
      <c r="R779" s="5">
        <f t="shared" si="62"/>
        <v>4.9999999999999989E-2</v>
      </c>
      <c r="S779" s="6">
        <f t="shared" si="63"/>
        <v>0.12499999999999997</v>
      </c>
      <c r="T779" s="6">
        <f t="shared" si="64"/>
        <v>6.857142857142863E-2</v>
      </c>
    </row>
    <row r="780" spans="1:20" hidden="1" x14ac:dyDescent="0.25">
      <c r="A780" s="4" t="s">
        <v>763</v>
      </c>
      <c r="B780" s="5" t="s">
        <v>16</v>
      </c>
      <c r="C780" s="5" t="s">
        <v>1823</v>
      </c>
      <c r="D780" s="5">
        <v>239.95</v>
      </c>
      <c r="E780" s="5">
        <v>241.9</v>
      </c>
      <c r="F780" s="5">
        <v>241.9</v>
      </c>
      <c r="G780" s="5">
        <v>230.5</v>
      </c>
      <c r="H780" s="5">
        <v>233.95</v>
      </c>
      <c r="I780" s="5">
        <v>233.75</v>
      </c>
      <c r="J780" s="5">
        <v>233.33</v>
      </c>
      <c r="K780" s="5">
        <v>24134</v>
      </c>
      <c r="L780" s="5">
        <v>56.31</v>
      </c>
      <c r="M780" s="5">
        <v>1512</v>
      </c>
      <c r="N780" s="5">
        <v>12284</v>
      </c>
      <c r="O780" s="5">
        <v>50.9</v>
      </c>
      <c r="P780" s="5">
        <f t="shared" ref="P780:P843" si="65">I780-D780</f>
        <v>-6.1999999999999886</v>
      </c>
      <c r="Q780" s="6">
        <f t="shared" ref="Q780:Q843" si="66">P780/D780</f>
        <v>-2.5838716399249798E-2</v>
      </c>
      <c r="R780" s="5">
        <f t="shared" ref="R780:R843" si="67">ABS(F780-G780)</f>
        <v>11.400000000000006</v>
      </c>
      <c r="S780" s="6">
        <f t="shared" ref="S780:S843" si="68">R780/D780</f>
        <v>4.7509897895394899E-2</v>
      </c>
      <c r="T780" s="6">
        <f t="shared" ref="T780:T843" si="69">(I780-J780)/AVERAGE(E780:G780,I780)</f>
        <v>1.772058435736459E-3</v>
      </c>
    </row>
    <row r="781" spans="1:20" hidden="1" x14ac:dyDescent="0.25">
      <c r="A781" s="4" t="s">
        <v>764</v>
      </c>
      <c r="B781" s="5" t="s">
        <v>16</v>
      </c>
      <c r="C781" s="5" t="s">
        <v>1823</v>
      </c>
      <c r="D781" s="5">
        <v>91.65</v>
      </c>
      <c r="E781" s="5">
        <v>98</v>
      </c>
      <c r="F781" s="5">
        <v>103.9</v>
      </c>
      <c r="G781" s="5">
        <v>94</v>
      </c>
      <c r="H781" s="5">
        <v>94</v>
      </c>
      <c r="I781" s="5">
        <v>95.4</v>
      </c>
      <c r="J781" s="5">
        <v>97.64</v>
      </c>
      <c r="K781" s="5">
        <v>27839</v>
      </c>
      <c r="L781" s="5">
        <v>27.18</v>
      </c>
      <c r="M781" s="5">
        <v>997</v>
      </c>
      <c r="N781" s="5">
        <v>7427</v>
      </c>
      <c r="O781" s="5">
        <v>26.68</v>
      </c>
      <c r="P781" s="5">
        <f t="shared" si="65"/>
        <v>3.75</v>
      </c>
      <c r="Q781" s="6">
        <f t="shared" si="66"/>
        <v>4.0916530278232402E-2</v>
      </c>
      <c r="R781" s="5">
        <f t="shared" si="67"/>
        <v>9.9000000000000057</v>
      </c>
      <c r="S781" s="6">
        <f t="shared" si="68"/>
        <v>0.1080196399345336</v>
      </c>
      <c r="T781" s="6">
        <f t="shared" si="69"/>
        <v>-2.2898032200357733E-2</v>
      </c>
    </row>
    <row r="782" spans="1:20" hidden="1" x14ac:dyDescent="0.25">
      <c r="A782" s="4" t="s">
        <v>765</v>
      </c>
      <c r="B782" s="5" t="s">
        <v>16</v>
      </c>
      <c r="C782" s="5" t="s">
        <v>1823</v>
      </c>
      <c r="D782" s="5">
        <v>25.3</v>
      </c>
      <c r="E782" s="5">
        <v>25</v>
      </c>
      <c r="F782" s="5">
        <v>26.5</v>
      </c>
      <c r="G782" s="5">
        <v>24</v>
      </c>
      <c r="H782" s="5">
        <v>25.75</v>
      </c>
      <c r="I782" s="5">
        <v>25.05</v>
      </c>
      <c r="J782" s="5">
        <v>25.07</v>
      </c>
      <c r="K782" s="5">
        <v>5829</v>
      </c>
      <c r="L782" s="5">
        <v>1.46</v>
      </c>
      <c r="M782" s="5">
        <v>240</v>
      </c>
      <c r="N782" s="5">
        <v>2834</v>
      </c>
      <c r="O782" s="5">
        <v>48.62</v>
      </c>
      <c r="P782" s="5">
        <f t="shared" si="65"/>
        <v>-0.25</v>
      </c>
      <c r="Q782" s="6">
        <f t="shared" si="66"/>
        <v>-9.881422924901186E-3</v>
      </c>
      <c r="R782" s="5">
        <f t="shared" si="67"/>
        <v>2.5</v>
      </c>
      <c r="S782" s="6">
        <f t="shared" si="68"/>
        <v>9.8814229249011856E-2</v>
      </c>
      <c r="T782" s="6">
        <f t="shared" si="69"/>
        <v>-7.9562406762802881E-4</v>
      </c>
    </row>
    <row r="783" spans="1:20" hidden="1" x14ac:dyDescent="0.25">
      <c r="A783" s="4" t="s">
        <v>766</v>
      </c>
      <c r="B783" s="5" t="s">
        <v>16</v>
      </c>
      <c r="C783" s="5" t="s">
        <v>1823</v>
      </c>
      <c r="D783" s="5">
        <v>3.1</v>
      </c>
      <c r="E783" s="5">
        <v>3.35</v>
      </c>
      <c r="F783" s="5">
        <v>3.35</v>
      </c>
      <c r="G783" s="5">
        <v>3.1</v>
      </c>
      <c r="H783" s="5">
        <v>3.1</v>
      </c>
      <c r="I783" s="5">
        <v>3.1</v>
      </c>
      <c r="J783" s="5">
        <v>3.13</v>
      </c>
      <c r="K783" s="5">
        <v>24305</v>
      </c>
      <c r="L783" s="5">
        <v>0.76</v>
      </c>
      <c r="M783" s="5">
        <v>67</v>
      </c>
      <c r="N783" s="5">
        <v>15421</v>
      </c>
      <c r="O783" s="5">
        <v>63.45</v>
      </c>
      <c r="P783" s="5">
        <f t="shared" si="65"/>
        <v>0</v>
      </c>
      <c r="Q783" s="6">
        <f t="shared" si="66"/>
        <v>0</v>
      </c>
      <c r="R783" s="5">
        <f t="shared" si="67"/>
        <v>0.25</v>
      </c>
      <c r="S783" s="6">
        <f t="shared" si="68"/>
        <v>8.0645161290322578E-2</v>
      </c>
      <c r="T783" s="6">
        <f t="shared" si="69"/>
        <v>-9.302325581395288E-3</v>
      </c>
    </row>
    <row r="784" spans="1:20" hidden="1" x14ac:dyDescent="0.25">
      <c r="A784" s="4" t="s">
        <v>767</v>
      </c>
      <c r="B784" s="5" t="s">
        <v>16</v>
      </c>
      <c r="C784" s="5" t="s">
        <v>1823</v>
      </c>
      <c r="D784" s="5">
        <v>38.15</v>
      </c>
      <c r="E784" s="5">
        <v>38.049999999999997</v>
      </c>
      <c r="F784" s="5">
        <v>38.5</v>
      </c>
      <c r="G784" s="5">
        <v>37.4</v>
      </c>
      <c r="H784" s="5">
        <v>38.15</v>
      </c>
      <c r="I784" s="5">
        <v>37.9</v>
      </c>
      <c r="J784" s="5">
        <v>37.99</v>
      </c>
      <c r="K784" s="5">
        <v>31301</v>
      </c>
      <c r="L784" s="5">
        <v>11.89</v>
      </c>
      <c r="M784" s="5">
        <v>243</v>
      </c>
      <c r="N784" s="5">
        <v>22852</v>
      </c>
      <c r="O784" s="5">
        <v>73.010000000000005</v>
      </c>
      <c r="P784" s="5">
        <f t="shared" si="65"/>
        <v>-0.25</v>
      </c>
      <c r="Q784" s="6">
        <f t="shared" si="66"/>
        <v>-6.5530799475753609E-3</v>
      </c>
      <c r="R784" s="5">
        <f t="shared" si="67"/>
        <v>1.1000000000000014</v>
      </c>
      <c r="S784" s="6">
        <f t="shared" si="68"/>
        <v>2.8833551769331625E-2</v>
      </c>
      <c r="T784" s="6">
        <f t="shared" si="69"/>
        <v>-2.3707606190320292E-3</v>
      </c>
    </row>
    <row r="785" spans="1:20" x14ac:dyDescent="0.25">
      <c r="A785" s="4" t="s">
        <v>274</v>
      </c>
      <c r="B785" s="5" t="s">
        <v>16</v>
      </c>
      <c r="C785" s="5" t="s">
        <v>1823</v>
      </c>
      <c r="D785" s="5">
        <v>73.8</v>
      </c>
      <c r="E785" s="5">
        <v>73.8</v>
      </c>
      <c r="F785" s="5">
        <v>73.8</v>
      </c>
      <c r="G785" s="5">
        <v>68.95</v>
      </c>
      <c r="H785" s="5">
        <v>70.05</v>
      </c>
      <c r="I785" s="5">
        <v>70.05</v>
      </c>
      <c r="J785" s="5">
        <v>70.900000000000006</v>
      </c>
      <c r="K785" s="5">
        <v>1207608</v>
      </c>
      <c r="L785" s="5">
        <v>856.25</v>
      </c>
      <c r="M785" s="5">
        <v>7396</v>
      </c>
      <c r="N785" s="5">
        <v>507427</v>
      </c>
      <c r="O785" s="5">
        <v>42.02</v>
      </c>
      <c r="P785" s="5">
        <f t="shared" si="65"/>
        <v>-3.75</v>
      </c>
      <c r="Q785" s="6">
        <f t="shared" si="66"/>
        <v>-5.08130081300813E-2</v>
      </c>
      <c r="R785" s="5">
        <f t="shared" si="67"/>
        <v>4.8499999999999943</v>
      </c>
      <c r="S785" s="6">
        <f t="shared" si="68"/>
        <v>6.5718157181571743E-2</v>
      </c>
      <c r="T785" s="6">
        <f t="shared" si="69"/>
        <v>-1.1863224005582812E-2</v>
      </c>
    </row>
    <row r="786" spans="1:20" hidden="1" x14ac:dyDescent="0.25">
      <c r="A786" s="4" t="s">
        <v>769</v>
      </c>
      <c r="B786" s="5" t="s">
        <v>16</v>
      </c>
      <c r="C786" s="5" t="s">
        <v>1823</v>
      </c>
      <c r="D786" s="5">
        <v>5.85</v>
      </c>
      <c r="E786" s="5">
        <v>6</v>
      </c>
      <c r="F786" s="5">
        <v>6</v>
      </c>
      <c r="G786" s="5">
        <v>5.6</v>
      </c>
      <c r="H786" s="5">
        <v>5.65</v>
      </c>
      <c r="I786" s="5">
        <v>5.65</v>
      </c>
      <c r="J786" s="5">
        <v>5.8</v>
      </c>
      <c r="K786" s="5">
        <v>26399</v>
      </c>
      <c r="L786" s="5">
        <v>1.53</v>
      </c>
      <c r="M786" s="5">
        <v>107</v>
      </c>
      <c r="N786" s="5">
        <v>24771</v>
      </c>
      <c r="O786" s="5">
        <v>93.83</v>
      </c>
      <c r="P786" s="5">
        <f t="shared" si="65"/>
        <v>-0.19999999999999929</v>
      </c>
      <c r="Q786" s="6">
        <f t="shared" si="66"/>
        <v>-3.4188034188034067E-2</v>
      </c>
      <c r="R786" s="5">
        <f t="shared" si="67"/>
        <v>0.40000000000000036</v>
      </c>
      <c r="S786" s="6">
        <f t="shared" si="68"/>
        <v>6.8376068376068438E-2</v>
      </c>
      <c r="T786" s="6">
        <f t="shared" si="69"/>
        <v>-2.5806451612903136E-2</v>
      </c>
    </row>
    <row r="787" spans="1:20" hidden="1" x14ac:dyDescent="0.25">
      <c r="A787" s="4" t="s">
        <v>770</v>
      </c>
      <c r="B787" s="5" t="s">
        <v>16</v>
      </c>
      <c r="C787" s="5" t="s">
        <v>1823</v>
      </c>
      <c r="D787" s="5">
        <v>89.95</v>
      </c>
      <c r="E787" s="5">
        <v>89.05</v>
      </c>
      <c r="F787" s="5">
        <v>90</v>
      </c>
      <c r="G787" s="5">
        <v>85.5</v>
      </c>
      <c r="H787" s="5">
        <v>87</v>
      </c>
      <c r="I787" s="5">
        <v>87.8</v>
      </c>
      <c r="J787" s="5">
        <v>89.19</v>
      </c>
      <c r="K787" s="5">
        <v>4455</v>
      </c>
      <c r="L787" s="5">
        <v>3.97</v>
      </c>
      <c r="M787" s="5">
        <v>305</v>
      </c>
      <c r="N787" s="5">
        <v>3787</v>
      </c>
      <c r="O787" s="5">
        <v>85.01</v>
      </c>
      <c r="P787" s="5">
        <f t="shared" si="65"/>
        <v>-2.1500000000000057</v>
      </c>
      <c r="Q787" s="6">
        <f t="shared" si="66"/>
        <v>-2.3902167871039527E-2</v>
      </c>
      <c r="R787" s="5">
        <f t="shared" si="67"/>
        <v>4.5</v>
      </c>
      <c r="S787" s="6">
        <f t="shared" si="68"/>
        <v>5.0027793218454693E-2</v>
      </c>
      <c r="T787" s="6">
        <f t="shared" si="69"/>
        <v>-1.5779764438768277E-2</v>
      </c>
    </row>
    <row r="788" spans="1:20" hidden="1" x14ac:dyDescent="0.25">
      <c r="A788" s="4" t="s">
        <v>771</v>
      </c>
      <c r="B788" s="5" t="s">
        <v>16</v>
      </c>
      <c r="C788" s="5" t="s">
        <v>1823</v>
      </c>
      <c r="D788" s="5">
        <v>1516.3</v>
      </c>
      <c r="E788" s="5">
        <v>1509</v>
      </c>
      <c r="F788" s="5">
        <v>1521.05</v>
      </c>
      <c r="G788" s="5">
        <v>1492.55</v>
      </c>
      <c r="H788" s="5">
        <v>1506</v>
      </c>
      <c r="I788" s="5">
        <v>1503.9</v>
      </c>
      <c r="J788" s="5">
        <v>1510.5</v>
      </c>
      <c r="K788" s="5">
        <v>5158518</v>
      </c>
      <c r="L788" s="5">
        <v>77919.27</v>
      </c>
      <c r="M788" s="5">
        <v>142492</v>
      </c>
      <c r="N788" s="5">
        <v>2317978</v>
      </c>
      <c r="O788" s="5">
        <v>44.93</v>
      </c>
      <c r="P788" s="5">
        <f t="shared" si="65"/>
        <v>-12.399999999999864</v>
      </c>
      <c r="Q788" s="6">
        <f t="shared" si="66"/>
        <v>-8.1778012266700943E-3</v>
      </c>
      <c r="R788" s="5">
        <f t="shared" si="67"/>
        <v>28.5</v>
      </c>
      <c r="S788" s="6">
        <f t="shared" si="68"/>
        <v>1.8795752819362924E-2</v>
      </c>
      <c r="T788" s="6">
        <f t="shared" si="69"/>
        <v>-4.3806521198041376E-3</v>
      </c>
    </row>
    <row r="789" spans="1:20" hidden="1" x14ac:dyDescent="0.25">
      <c r="A789" s="4" t="s">
        <v>772</v>
      </c>
      <c r="B789" s="5" t="s">
        <v>16</v>
      </c>
      <c r="C789" s="5" t="s">
        <v>1823</v>
      </c>
      <c r="D789" s="5">
        <v>641.29999999999995</v>
      </c>
      <c r="E789" s="5">
        <v>640.95000000000005</v>
      </c>
      <c r="F789" s="5">
        <v>644</v>
      </c>
      <c r="G789" s="5">
        <v>633</v>
      </c>
      <c r="H789" s="5">
        <v>640</v>
      </c>
      <c r="I789" s="5">
        <v>640.29999999999995</v>
      </c>
      <c r="J789" s="5">
        <v>639.89</v>
      </c>
      <c r="K789" s="5">
        <v>2317</v>
      </c>
      <c r="L789" s="5">
        <v>14.83</v>
      </c>
      <c r="M789" s="5">
        <v>103</v>
      </c>
      <c r="N789" s="5">
        <v>2099</v>
      </c>
      <c r="O789" s="5">
        <v>90.59</v>
      </c>
      <c r="P789" s="5">
        <f t="shared" si="65"/>
        <v>-1</v>
      </c>
      <c r="Q789" s="6">
        <f t="shared" si="66"/>
        <v>-1.5593326056447842E-3</v>
      </c>
      <c r="R789" s="5">
        <f t="shared" si="67"/>
        <v>11</v>
      </c>
      <c r="S789" s="6">
        <f t="shared" si="68"/>
        <v>1.7152658662092625E-2</v>
      </c>
      <c r="T789" s="6">
        <f t="shared" si="69"/>
        <v>6.4106322681515594E-4</v>
      </c>
    </row>
    <row r="790" spans="1:20" x14ac:dyDescent="0.25">
      <c r="A790" s="4" t="s">
        <v>682</v>
      </c>
      <c r="B790" s="5" t="s">
        <v>16</v>
      </c>
      <c r="C790" s="5" t="s">
        <v>1823</v>
      </c>
      <c r="D790" s="5">
        <v>87.45</v>
      </c>
      <c r="E790" s="5">
        <v>87.75</v>
      </c>
      <c r="F790" s="5">
        <v>87.8</v>
      </c>
      <c r="G790" s="5">
        <v>83</v>
      </c>
      <c r="H790" s="5">
        <v>84.7</v>
      </c>
      <c r="I790" s="5">
        <v>84.3</v>
      </c>
      <c r="J790" s="5">
        <v>84.75</v>
      </c>
      <c r="K790" s="5">
        <v>490890</v>
      </c>
      <c r="L790" s="5">
        <v>416.04</v>
      </c>
      <c r="M790" s="5">
        <v>4873</v>
      </c>
      <c r="N790" s="5">
        <v>206694</v>
      </c>
      <c r="O790" s="5">
        <v>42.11</v>
      </c>
      <c r="P790" s="5">
        <f t="shared" si="65"/>
        <v>-3.1500000000000057</v>
      </c>
      <c r="Q790" s="6">
        <f t="shared" si="66"/>
        <v>-3.6020583190394577E-2</v>
      </c>
      <c r="R790" s="5">
        <f t="shared" si="67"/>
        <v>4.7999999999999972</v>
      </c>
      <c r="S790" s="6">
        <f t="shared" si="68"/>
        <v>5.4888507718696362E-2</v>
      </c>
      <c r="T790" s="6">
        <f t="shared" si="69"/>
        <v>-5.2501093772787258E-3</v>
      </c>
    </row>
    <row r="791" spans="1:20" hidden="1" x14ac:dyDescent="0.25">
      <c r="A791" s="4" t="s">
        <v>774</v>
      </c>
      <c r="B791" s="5" t="s">
        <v>16</v>
      </c>
      <c r="C791" s="5" t="s">
        <v>1823</v>
      </c>
      <c r="D791" s="5">
        <v>72.25</v>
      </c>
      <c r="E791" s="5">
        <v>82</v>
      </c>
      <c r="F791" s="5">
        <v>82.9</v>
      </c>
      <c r="G791" s="5">
        <v>70.099999999999994</v>
      </c>
      <c r="H791" s="5">
        <v>72.95</v>
      </c>
      <c r="I791" s="5">
        <v>73.2</v>
      </c>
      <c r="J791" s="5">
        <v>77.2</v>
      </c>
      <c r="K791" s="5">
        <v>50087</v>
      </c>
      <c r="L791" s="5">
        <v>38.67</v>
      </c>
      <c r="M791" s="5">
        <v>814</v>
      </c>
      <c r="N791" s="5">
        <v>27488</v>
      </c>
      <c r="O791" s="5">
        <v>54.88</v>
      </c>
      <c r="P791" s="5">
        <f t="shared" si="65"/>
        <v>0.95000000000000284</v>
      </c>
      <c r="Q791" s="6">
        <f t="shared" si="66"/>
        <v>1.314878892733568E-2</v>
      </c>
      <c r="R791" s="5">
        <f t="shared" si="67"/>
        <v>12.800000000000011</v>
      </c>
      <c r="S791" s="6">
        <f t="shared" si="68"/>
        <v>0.17716262975778563</v>
      </c>
      <c r="T791" s="6">
        <f t="shared" si="69"/>
        <v>-5.191434133679429E-2</v>
      </c>
    </row>
    <row r="792" spans="1:20" hidden="1" x14ac:dyDescent="0.25">
      <c r="A792" s="4" t="s">
        <v>775</v>
      </c>
      <c r="B792" s="5" t="s">
        <v>16</v>
      </c>
      <c r="C792" s="5" t="s">
        <v>1823</v>
      </c>
      <c r="D792" s="5">
        <v>329.21</v>
      </c>
      <c r="E792" s="5">
        <v>329.21</v>
      </c>
      <c r="F792" s="5">
        <v>329.21</v>
      </c>
      <c r="G792" s="5">
        <v>327.88</v>
      </c>
      <c r="H792" s="5">
        <v>329.11</v>
      </c>
      <c r="I792" s="5">
        <v>329.11</v>
      </c>
      <c r="J792" s="5">
        <v>328.53</v>
      </c>
      <c r="K792" s="5">
        <v>21</v>
      </c>
      <c r="L792" s="5">
        <v>7.0000000000000007E-2</v>
      </c>
      <c r="M792" s="5">
        <v>3</v>
      </c>
      <c r="N792" s="5">
        <v>11</v>
      </c>
      <c r="O792" s="5">
        <v>52.38</v>
      </c>
      <c r="P792" s="5">
        <f t="shared" si="65"/>
        <v>-9.9999999999965894E-2</v>
      </c>
      <c r="Q792" s="6">
        <f t="shared" si="66"/>
        <v>-3.0375748002784211E-4</v>
      </c>
      <c r="R792" s="5">
        <f t="shared" si="67"/>
        <v>1.3299999999999841</v>
      </c>
      <c r="S792" s="6">
        <f t="shared" si="68"/>
        <v>4.0399744843716296E-3</v>
      </c>
      <c r="T792" s="6">
        <f t="shared" si="69"/>
        <v>1.763708653575816E-3</v>
      </c>
    </row>
    <row r="793" spans="1:20" x14ac:dyDescent="0.25">
      <c r="A793" s="4" t="s">
        <v>122</v>
      </c>
      <c r="B793" s="5" t="s">
        <v>16</v>
      </c>
      <c r="C793" s="5" t="s">
        <v>1823</v>
      </c>
      <c r="D793" s="5">
        <v>186.25</v>
      </c>
      <c r="E793" s="5">
        <v>186</v>
      </c>
      <c r="F793" s="5">
        <v>187.5</v>
      </c>
      <c r="G793" s="5">
        <v>181.9</v>
      </c>
      <c r="H793" s="5">
        <v>184</v>
      </c>
      <c r="I793" s="5">
        <v>184.95</v>
      </c>
      <c r="J793" s="5">
        <v>184.36</v>
      </c>
      <c r="K793" s="5">
        <v>3128869</v>
      </c>
      <c r="L793" s="5">
        <v>5768.35</v>
      </c>
      <c r="M793" s="5">
        <v>24393</v>
      </c>
      <c r="N793" s="5">
        <v>1324042</v>
      </c>
      <c r="O793" s="5">
        <v>42.32</v>
      </c>
      <c r="P793" s="5">
        <f t="shared" si="65"/>
        <v>-1.3000000000000114</v>
      </c>
      <c r="Q793" s="6">
        <f t="shared" si="66"/>
        <v>-6.979865771812142E-3</v>
      </c>
      <c r="R793" s="5">
        <f t="shared" si="67"/>
        <v>5.5999999999999943</v>
      </c>
      <c r="S793" s="6">
        <f t="shared" si="68"/>
        <v>3.00671140939597E-2</v>
      </c>
      <c r="T793" s="6">
        <f t="shared" si="69"/>
        <v>3.1876815019921661E-3</v>
      </c>
    </row>
    <row r="794" spans="1:20" hidden="1" x14ac:dyDescent="0.25">
      <c r="A794" s="4" t="s">
        <v>777</v>
      </c>
      <c r="B794" s="5" t="s">
        <v>16</v>
      </c>
      <c r="C794" s="5" t="s">
        <v>1823</v>
      </c>
      <c r="D794" s="5">
        <v>794.05</v>
      </c>
      <c r="E794" s="5">
        <v>787.7</v>
      </c>
      <c r="F794" s="5">
        <v>801</v>
      </c>
      <c r="G794" s="5">
        <v>781.65</v>
      </c>
      <c r="H794" s="5">
        <v>790.75</v>
      </c>
      <c r="I794" s="5">
        <v>792.65</v>
      </c>
      <c r="J794" s="5">
        <v>793.69</v>
      </c>
      <c r="K794" s="5">
        <v>9313576</v>
      </c>
      <c r="L794" s="5">
        <v>73920.820000000007</v>
      </c>
      <c r="M794" s="5">
        <v>257048</v>
      </c>
      <c r="N794" s="5">
        <v>4911658</v>
      </c>
      <c r="O794" s="5">
        <v>52.74</v>
      </c>
      <c r="P794" s="5">
        <f t="shared" si="65"/>
        <v>-1.3999999999999773</v>
      </c>
      <c r="Q794" s="6">
        <f t="shared" si="66"/>
        <v>-1.7631131540834675E-3</v>
      </c>
      <c r="R794" s="5">
        <f t="shared" si="67"/>
        <v>19.350000000000023</v>
      </c>
      <c r="S794" s="6">
        <f t="shared" si="68"/>
        <v>2.4368742522511207E-2</v>
      </c>
      <c r="T794" s="6">
        <f t="shared" si="69"/>
        <v>-1.3152070818843848E-3</v>
      </c>
    </row>
    <row r="795" spans="1:20" hidden="1" x14ac:dyDescent="0.25">
      <c r="A795" s="4" t="s">
        <v>778</v>
      </c>
      <c r="B795" s="5" t="s">
        <v>16</v>
      </c>
      <c r="C795" s="5" t="s">
        <v>1823</v>
      </c>
      <c r="D795" s="5">
        <v>633.15</v>
      </c>
      <c r="E795" s="5">
        <v>636</v>
      </c>
      <c r="F795" s="5">
        <v>636</v>
      </c>
      <c r="G795" s="5">
        <v>621.1</v>
      </c>
      <c r="H795" s="5">
        <v>630</v>
      </c>
      <c r="I795" s="5">
        <v>630.20000000000005</v>
      </c>
      <c r="J795" s="5">
        <v>627.80999999999995</v>
      </c>
      <c r="K795" s="5">
        <v>10809</v>
      </c>
      <c r="L795" s="5">
        <v>67.86</v>
      </c>
      <c r="M795" s="5">
        <v>742</v>
      </c>
      <c r="N795" s="5">
        <v>6690</v>
      </c>
      <c r="O795" s="5">
        <v>61.89</v>
      </c>
      <c r="P795" s="5">
        <f t="shared" si="65"/>
        <v>-2.9499999999999318</v>
      </c>
      <c r="Q795" s="6">
        <f t="shared" si="66"/>
        <v>-4.659243465213507E-3</v>
      </c>
      <c r="R795" s="5">
        <f t="shared" si="67"/>
        <v>14.899999999999977</v>
      </c>
      <c r="S795" s="6">
        <f t="shared" si="68"/>
        <v>2.3533128010739916E-2</v>
      </c>
      <c r="T795" s="6">
        <f t="shared" si="69"/>
        <v>3.7886894146555699E-3</v>
      </c>
    </row>
    <row r="796" spans="1:20" hidden="1" x14ac:dyDescent="0.25">
      <c r="A796" s="4" t="s">
        <v>779</v>
      </c>
      <c r="B796" s="5" t="s">
        <v>28</v>
      </c>
      <c r="C796" s="5" t="s">
        <v>1823</v>
      </c>
      <c r="D796" s="5">
        <v>262.25</v>
      </c>
      <c r="E796" s="5">
        <v>250</v>
      </c>
      <c r="F796" s="5">
        <v>250</v>
      </c>
      <c r="G796" s="5">
        <v>250</v>
      </c>
      <c r="H796" s="5">
        <v>250</v>
      </c>
      <c r="I796" s="5">
        <v>250</v>
      </c>
      <c r="J796" s="5">
        <v>250</v>
      </c>
      <c r="K796" s="5">
        <v>400</v>
      </c>
      <c r="L796" s="5">
        <v>1</v>
      </c>
      <c r="M796" s="5">
        <v>1</v>
      </c>
      <c r="N796" s="5">
        <v>400</v>
      </c>
      <c r="O796" s="5">
        <v>100</v>
      </c>
      <c r="P796" s="5">
        <f t="shared" si="65"/>
        <v>-12.25</v>
      </c>
      <c r="Q796" s="6">
        <f t="shared" si="66"/>
        <v>-4.6711153479504289E-2</v>
      </c>
      <c r="R796" s="5">
        <f t="shared" si="67"/>
        <v>0</v>
      </c>
      <c r="S796" s="6">
        <f t="shared" si="68"/>
        <v>0</v>
      </c>
      <c r="T796" s="6">
        <f t="shared" si="69"/>
        <v>0</v>
      </c>
    </row>
    <row r="797" spans="1:20" hidden="1" x14ac:dyDescent="0.25">
      <c r="A797" s="4" t="s">
        <v>780</v>
      </c>
      <c r="B797" s="5" t="s">
        <v>28</v>
      </c>
      <c r="C797" s="5" t="s">
        <v>1823</v>
      </c>
      <c r="D797" s="5">
        <v>14.05</v>
      </c>
      <c r="E797" s="5">
        <v>14.05</v>
      </c>
      <c r="F797" s="5">
        <v>14.7</v>
      </c>
      <c r="G797" s="5">
        <v>13.15</v>
      </c>
      <c r="H797" s="5">
        <v>14.05</v>
      </c>
      <c r="I797" s="5">
        <v>14.05</v>
      </c>
      <c r="J797" s="5">
        <v>14.09</v>
      </c>
      <c r="K797" s="5">
        <v>18000</v>
      </c>
      <c r="L797" s="5">
        <v>2.54</v>
      </c>
      <c r="M797" s="5">
        <v>6</v>
      </c>
      <c r="N797" s="5">
        <v>9000</v>
      </c>
      <c r="O797" s="5">
        <v>50</v>
      </c>
      <c r="P797" s="5">
        <f t="shared" si="65"/>
        <v>0</v>
      </c>
      <c r="Q797" s="6">
        <f t="shared" si="66"/>
        <v>0</v>
      </c>
      <c r="R797" s="5">
        <f t="shared" si="67"/>
        <v>1.5499999999999989</v>
      </c>
      <c r="S797" s="6">
        <f t="shared" si="68"/>
        <v>0.11032028469750882</v>
      </c>
      <c r="T797" s="6">
        <f t="shared" si="69"/>
        <v>-2.8596961572832274E-3</v>
      </c>
    </row>
    <row r="798" spans="1:20" hidden="1" x14ac:dyDescent="0.25">
      <c r="A798" s="4" t="s">
        <v>781</v>
      </c>
      <c r="B798" s="5" t="s">
        <v>16</v>
      </c>
      <c r="C798" s="5" t="s">
        <v>1823</v>
      </c>
      <c r="D798" s="5">
        <v>321.8</v>
      </c>
      <c r="E798" s="5">
        <v>321.8</v>
      </c>
      <c r="F798" s="5">
        <v>327.3</v>
      </c>
      <c r="G798" s="5">
        <v>319</v>
      </c>
      <c r="H798" s="5">
        <v>326</v>
      </c>
      <c r="I798" s="5">
        <v>326.05</v>
      </c>
      <c r="J798" s="5">
        <v>324.49</v>
      </c>
      <c r="K798" s="5">
        <v>89741</v>
      </c>
      <c r="L798" s="5">
        <v>291.2</v>
      </c>
      <c r="M798" s="5">
        <v>3653</v>
      </c>
      <c r="N798" s="5">
        <v>52249</v>
      </c>
      <c r="O798" s="5">
        <v>58.22</v>
      </c>
      <c r="P798" s="5">
        <f t="shared" si="65"/>
        <v>4.25</v>
      </c>
      <c r="Q798" s="6">
        <f t="shared" si="66"/>
        <v>1.3206960845245494E-2</v>
      </c>
      <c r="R798" s="5">
        <f t="shared" si="67"/>
        <v>8.3000000000000114</v>
      </c>
      <c r="S798" s="6">
        <f t="shared" si="68"/>
        <v>2.5792417650714765E-2</v>
      </c>
      <c r="T798" s="6">
        <f t="shared" si="69"/>
        <v>4.8216976393772037E-3</v>
      </c>
    </row>
    <row r="799" spans="1:20" x14ac:dyDescent="0.25">
      <c r="A799" s="4" t="s">
        <v>146</v>
      </c>
      <c r="B799" s="5" t="s">
        <v>16</v>
      </c>
      <c r="C799" s="5" t="s">
        <v>1823</v>
      </c>
      <c r="D799" s="5">
        <v>109.9</v>
      </c>
      <c r="E799" s="5">
        <v>110</v>
      </c>
      <c r="F799" s="5">
        <v>110</v>
      </c>
      <c r="G799" s="5">
        <v>100.9</v>
      </c>
      <c r="H799" s="5">
        <v>104.95</v>
      </c>
      <c r="I799" s="5">
        <v>104.35</v>
      </c>
      <c r="J799" s="5">
        <v>104.79</v>
      </c>
      <c r="K799" s="5">
        <v>462833</v>
      </c>
      <c r="L799" s="5">
        <v>484.99</v>
      </c>
      <c r="M799" s="5">
        <v>6232</v>
      </c>
      <c r="N799" s="5">
        <v>196047</v>
      </c>
      <c r="O799" s="5">
        <v>42.36</v>
      </c>
      <c r="P799" s="5">
        <f t="shared" si="65"/>
        <v>-5.5500000000000114</v>
      </c>
      <c r="Q799" s="6">
        <f t="shared" si="66"/>
        <v>-5.0500454959053788E-2</v>
      </c>
      <c r="R799" s="5">
        <f t="shared" si="67"/>
        <v>9.0999999999999943</v>
      </c>
      <c r="S799" s="6">
        <f t="shared" si="68"/>
        <v>8.2802547770700577E-2</v>
      </c>
      <c r="T799" s="6">
        <f t="shared" si="69"/>
        <v>-4.1387419165198067E-3</v>
      </c>
    </row>
    <row r="800" spans="1:20" hidden="1" x14ac:dyDescent="0.25">
      <c r="A800" s="4" t="s">
        <v>783</v>
      </c>
      <c r="B800" s="5" t="s">
        <v>16</v>
      </c>
      <c r="C800" s="5" t="s">
        <v>1823</v>
      </c>
      <c r="D800" s="5">
        <v>617.20000000000005</v>
      </c>
      <c r="E800" s="5">
        <v>623</v>
      </c>
      <c r="F800" s="5">
        <v>623</v>
      </c>
      <c r="G800" s="5">
        <v>608.85</v>
      </c>
      <c r="H800" s="5">
        <v>613.5</v>
      </c>
      <c r="I800" s="5">
        <v>612.5</v>
      </c>
      <c r="J800" s="5">
        <v>614.9</v>
      </c>
      <c r="K800" s="5">
        <v>3191</v>
      </c>
      <c r="L800" s="5">
        <v>19.62</v>
      </c>
      <c r="M800" s="5">
        <v>315</v>
      </c>
      <c r="N800" s="5">
        <v>1935</v>
      </c>
      <c r="O800" s="5">
        <v>60.64</v>
      </c>
      <c r="P800" s="5">
        <f t="shared" si="65"/>
        <v>-4.7000000000000455</v>
      </c>
      <c r="Q800" s="6">
        <f t="shared" si="66"/>
        <v>-7.6150356448477724E-3</v>
      </c>
      <c r="R800" s="5">
        <f t="shared" si="67"/>
        <v>14.149999999999977</v>
      </c>
      <c r="S800" s="6">
        <f t="shared" si="68"/>
        <v>2.2926117952041438E-2</v>
      </c>
      <c r="T800" s="6">
        <f t="shared" si="69"/>
        <v>-3.8908140312480634E-3</v>
      </c>
    </row>
    <row r="801" spans="1:20" hidden="1" x14ac:dyDescent="0.25">
      <c r="A801" s="4" t="s">
        <v>784</v>
      </c>
      <c r="B801" s="5" t="s">
        <v>16</v>
      </c>
      <c r="C801" s="5" t="s">
        <v>1823</v>
      </c>
      <c r="D801" s="5">
        <v>49.2</v>
      </c>
      <c r="E801" s="5">
        <v>48.05</v>
      </c>
      <c r="F801" s="5">
        <v>51.5</v>
      </c>
      <c r="G801" s="5">
        <v>46.7</v>
      </c>
      <c r="H801" s="5">
        <v>46.95</v>
      </c>
      <c r="I801" s="5">
        <v>47.15</v>
      </c>
      <c r="J801" s="5">
        <v>47.93</v>
      </c>
      <c r="K801" s="5">
        <v>4859</v>
      </c>
      <c r="L801" s="5">
        <v>2.33</v>
      </c>
      <c r="M801" s="5">
        <v>55</v>
      </c>
      <c r="N801" s="5">
        <v>4204</v>
      </c>
      <c r="O801" s="5">
        <v>86.52</v>
      </c>
      <c r="P801" s="5">
        <f t="shared" si="65"/>
        <v>-2.0500000000000043</v>
      </c>
      <c r="Q801" s="6">
        <f t="shared" si="66"/>
        <v>-4.1666666666666748E-2</v>
      </c>
      <c r="R801" s="5">
        <f t="shared" si="67"/>
        <v>4.7999999999999972</v>
      </c>
      <c r="S801" s="6">
        <f t="shared" si="68"/>
        <v>9.7560975609756032E-2</v>
      </c>
      <c r="T801" s="6">
        <f t="shared" si="69"/>
        <v>-1.6132368148914191E-2</v>
      </c>
    </row>
    <row r="802" spans="1:20" hidden="1" x14ac:dyDescent="0.25">
      <c r="A802" s="4" t="s">
        <v>785</v>
      </c>
      <c r="B802" s="5" t="s">
        <v>39</v>
      </c>
      <c r="C802" s="5" t="s">
        <v>1823</v>
      </c>
      <c r="D802" s="5">
        <v>0.15</v>
      </c>
      <c r="E802" s="5">
        <v>0.15</v>
      </c>
      <c r="F802" s="5">
        <v>0.2</v>
      </c>
      <c r="G802" s="5">
        <v>0.15</v>
      </c>
      <c r="H802" s="5">
        <v>0.2</v>
      </c>
      <c r="I802" s="5">
        <v>0.2</v>
      </c>
      <c r="J802" s="5">
        <v>0.16</v>
      </c>
      <c r="K802" s="5">
        <v>2987</v>
      </c>
      <c r="L802" s="5">
        <v>0</v>
      </c>
      <c r="M802" s="5">
        <v>9</v>
      </c>
      <c r="N802" s="5" t="s">
        <v>25</v>
      </c>
      <c r="O802" s="5" t="s">
        <v>25</v>
      </c>
      <c r="P802" s="5">
        <f t="shared" si="65"/>
        <v>5.0000000000000017E-2</v>
      </c>
      <c r="Q802" s="6">
        <f t="shared" si="66"/>
        <v>0.33333333333333348</v>
      </c>
      <c r="R802" s="5">
        <f t="shared" si="67"/>
        <v>5.0000000000000017E-2</v>
      </c>
      <c r="S802" s="6">
        <f t="shared" si="68"/>
        <v>0.33333333333333348</v>
      </c>
      <c r="T802" s="6">
        <f t="shared" si="69"/>
        <v>0.22857142857142862</v>
      </c>
    </row>
    <row r="803" spans="1:20" x14ac:dyDescent="0.25">
      <c r="A803" s="4" t="s">
        <v>1296</v>
      </c>
      <c r="B803" s="5" t="s">
        <v>16</v>
      </c>
      <c r="C803" s="5" t="s">
        <v>1823</v>
      </c>
      <c r="D803" s="5">
        <v>141.05000000000001</v>
      </c>
      <c r="E803" s="5">
        <v>140.85</v>
      </c>
      <c r="F803" s="5">
        <v>140.85</v>
      </c>
      <c r="G803" s="5">
        <v>133.44999999999999</v>
      </c>
      <c r="H803" s="5">
        <v>135</v>
      </c>
      <c r="I803" s="5">
        <v>135.55000000000001</v>
      </c>
      <c r="J803" s="5">
        <v>136.83000000000001</v>
      </c>
      <c r="K803" s="5">
        <v>161386</v>
      </c>
      <c r="L803" s="5">
        <v>220.83</v>
      </c>
      <c r="M803" s="5">
        <v>3722</v>
      </c>
      <c r="N803" s="5">
        <v>69564</v>
      </c>
      <c r="O803" s="5">
        <v>43.1</v>
      </c>
      <c r="P803" s="5">
        <f t="shared" si="65"/>
        <v>-5.5</v>
      </c>
      <c r="Q803" s="6">
        <f t="shared" si="66"/>
        <v>-3.8993264799716411E-2</v>
      </c>
      <c r="R803" s="5">
        <f t="shared" si="67"/>
        <v>7.4000000000000057</v>
      </c>
      <c r="S803" s="6">
        <f t="shared" si="68"/>
        <v>5.2463665366891211E-2</v>
      </c>
      <c r="T803" s="6">
        <f t="shared" si="69"/>
        <v>-9.2972580352278997E-3</v>
      </c>
    </row>
    <row r="804" spans="1:20" hidden="1" x14ac:dyDescent="0.25">
      <c r="A804" s="4" t="s">
        <v>787</v>
      </c>
      <c r="B804" s="5" t="s">
        <v>16</v>
      </c>
      <c r="C804" s="5" t="s">
        <v>1823</v>
      </c>
      <c r="D804" s="5">
        <v>32.200000000000003</v>
      </c>
      <c r="E804" s="5">
        <v>32.9</v>
      </c>
      <c r="F804" s="5">
        <v>34.450000000000003</v>
      </c>
      <c r="G804" s="5">
        <v>31.15</v>
      </c>
      <c r="H804" s="5">
        <v>34.450000000000003</v>
      </c>
      <c r="I804" s="5">
        <v>33.700000000000003</v>
      </c>
      <c r="J804" s="5">
        <v>33.200000000000003</v>
      </c>
      <c r="K804" s="5">
        <v>11919</v>
      </c>
      <c r="L804" s="5">
        <v>3.96</v>
      </c>
      <c r="M804" s="5">
        <v>165</v>
      </c>
      <c r="N804" s="5">
        <v>9685</v>
      </c>
      <c r="O804" s="5">
        <v>81.260000000000005</v>
      </c>
      <c r="P804" s="5">
        <f t="shared" si="65"/>
        <v>1.5</v>
      </c>
      <c r="Q804" s="6">
        <f t="shared" si="66"/>
        <v>4.6583850931677016E-2</v>
      </c>
      <c r="R804" s="5">
        <f t="shared" si="67"/>
        <v>3.3000000000000043</v>
      </c>
      <c r="S804" s="6">
        <f t="shared" si="68"/>
        <v>0.10248447204968957</v>
      </c>
      <c r="T804" s="6">
        <f t="shared" si="69"/>
        <v>1.5128593040847203E-2</v>
      </c>
    </row>
    <row r="805" spans="1:20" hidden="1" x14ac:dyDescent="0.25">
      <c r="A805" s="4" t="s">
        <v>788</v>
      </c>
      <c r="B805" s="5" t="s">
        <v>16</v>
      </c>
      <c r="C805" s="5" t="s">
        <v>1823</v>
      </c>
      <c r="D805" s="5">
        <v>13.45</v>
      </c>
      <c r="E805" s="5">
        <v>13.5</v>
      </c>
      <c r="F805" s="5">
        <v>13.55</v>
      </c>
      <c r="G805" s="5">
        <v>12.6</v>
      </c>
      <c r="H805" s="5">
        <v>13.05</v>
      </c>
      <c r="I805" s="5">
        <v>13.05</v>
      </c>
      <c r="J805" s="5">
        <v>13.1</v>
      </c>
      <c r="K805" s="5">
        <v>18732</v>
      </c>
      <c r="L805" s="5">
        <v>2.4500000000000002</v>
      </c>
      <c r="M805" s="5">
        <v>69</v>
      </c>
      <c r="N805" s="5">
        <v>2418</v>
      </c>
      <c r="O805" s="5">
        <v>12.91</v>
      </c>
      <c r="P805" s="5">
        <f t="shared" si="65"/>
        <v>-0.39999999999999858</v>
      </c>
      <c r="Q805" s="6">
        <f t="shared" si="66"/>
        <v>-2.9739776951672757E-2</v>
      </c>
      <c r="R805" s="5">
        <f t="shared" si="67"/>
        <v>0.95000000000000107</v>
      </c>
      <c r="S805" s="6">
        <f t="shared" si="68"/>
        <v>7.0631970260223137E-2</v>
      </c>
      <c r="T805" s="6">
        <f t="shared" si="69"/>
        <v>-3.7950664136621581E-3</v>
      </c>
    </row>
    <row r="806" spans="1:20" x14ac:dyDescent="0.25">
      <c r="A806" s="4" t="s">
        <v>1554</v>
      </c>
      <c r="B806" s="5" t="s">
        <v>16</v>
      </c>
      <c r="C806" s="5" t="s">
        <v>1823</v>
      </c>
      <c r="D806" s="5">
        <v>99.8</v>
      </c>
      <c r="E806" s="5">
        <v>99.5</v>
      </c>
      <c r="F806" s="5">
        <v>102.3</v>
      </c>
      <c r="G806" s="5">
        <v>95.15</v>
      </c>
      <c r="H806" s="5">
        <v>96</v>
      </c>
      <c r="I806" s="5">
        <v>96.4</v>
      </c>
      <c r="J806" s="5">
        <v>99.61</v>
      </c>
      <c r="K806" s="5">
        <v>718230</v>
      </c>
      <c r="L806" s="5">
        <v>715.45</v>
      </c>
      <c r="M806" s="5">
        <v>6028</v>
      </c>
      <c r="N806" s="5">
        <v>309953</v>
      </c>
      <c r="O806" s="5">
        <v>43.16</v>
      </c>
      <c r="P806" s="5">
        <f t="shared" si="65"/>
        <v>-3.3999999999999915</v>
      </c>
      <c r="Q806" s="6">
        <f t="shared" si="66"/>
        <v>-3.4068136272545006E-2</v>
      </c>
      <c r="R806" s="5">
        <f t="shared" si="67"/>
        <v>7.1499999999999915</v>
      </c>
      <c r="S806" s="6">
        <f t="shared" si="68"/>
        <v>7.1643286573146212E-2</v>
      </c>
      <c r="T806" s="6">
        <f t="shared" si="69"/>
        <v>-3.2642684632007056E-2</v>
      </c>
    </row>
    <row r="807" spans="1:20" x14ac:dyDescent="0.25">
      <c r="A807" s="4" t="s">
        <v>1112</v>
      </c>
      <c r="B807" s="5" t="s">
        <v>16</v>
      </c>
      <c r="C807" s="5" t="s">
        <v>1823</v>
      </c>
      <c r="D807" s="5">
        <v>109.9</v>
      </c>
      <c r="E807" s="5">
        <v>110.95</v>
      </c>
      <c r="F807" s="5">
        <v>113.85</v>
      </c>
      <c r="G807" s="5">
        <v>108.05</v>
      </c>
      <c r="H807" s="5">
        <v>110.05</v>
      </c>
      <c r="I807" s="5">
        <v>109.55</v>
      </c>
      <c r="J807" s="5">
        <v>110.85</v>
      </c>
      <c r="K807" s="5">
        <v>112254</v>
      </c>
      <c r="L807" s="5">
        <v>124.44</v>
      </c>
      <c r="M807" s="5">
        <v>3387</v>
      </c>
      <c r="N807" s="5">
        <v>48793</v>
      </c>
      <c r="O807" s="5">
        <v>43.47</v>
      </c>
      <c r="P807" s="5">
        <f t="shared" si="65"/>
        <v>-0.35000000000000853</v>
      </c>
      <c r="Q807" s="6">
        <f t="shared" si="66"/>
        <v>-3.1847133757962557E-3</v>
      </c>
      <c r="R807" s="5">
        <f t="shared" si="67"/>
        <v>5.7999999999999972</v>
      </c>
      <c r="S807" s="6">
        <f t="shared" si="68"/>
        <v>5.2775250227479496E-2</v>
      </c>
      <c r="T807" s="6">
        <f t="shared" si="69"/>
        <v>-1.1754068716094006E-2</v>
      </c>
    </row>
    <row r="808" spans="1:20" x14ac:dyDescent="0.25">
      <c r="A808" s="4" t="s">
        <v>246</v>
      </c>
      <c r="B808" s="5" t="s">
        <v>16</v>
      </c>
      <c r="C808" s="5" t="s">
        <v>1823</v>
      </c>
      <c r="D808" s="5">
        <v>41.35</v>
      </c>
      <c r="E808" s="5">
        <v>42.7</v>
      </c>
      <c r="F808" s="5">
        <v>43</v>
      </c>
      <c r="G808" s="5">
        <v>38.1</v>
      </c>
      <c r="H808" s="5">
        <v>38.6</v>
      </c>
      <c r="I808" s="5">
        <v>39.35</v>
      </c>
      <c r="J808" s="5">
        <v>41.11</v>
      </c>
      <c r="K808" s="5">
        <v>238316</v>
      </c>
      <c r="L808" s="5">
        <v>97.97</v>
      </c>
      <c r="M808" s="5">
        <v>2109</v>
      </c>
      <c r="N808" s="5">
        <v>103759</v>
      </c>
      <c r="O808" s="5">
        <v>43.54</v>
      </c>
      <c r="P808" s="5">
        <f t="shared" si="65"/>
        <v>-2</v>
      </c>
      <c r="Q808" s="6">
        <f t="shared" si="66"/>
        <v>-4.8367593712212817E-2</v>
      </c>
      <c r="R808" s="5">
        <f t="shared" si="67"/>
        <v>4.8999999999999986</v>
      </c>
      <c r="S808" s="6">
        <f t="shared" si="68"/>
        <v>0.11850060459492136</v>
      </c>
      <c r="T808" s="6">
        <f t="shared" si="69"/>
        <v>-4.3150475022984934E-2</v>
      </c>
    </row>
    <row r="809" spans="1:20" hidden="1" x14ac:dyDescent="0.25">
      <c r="A809" s="4" t="s">
        <v>792</v>
      </c>
      <c r="B809" s="5" t="s">
        <v>16</v>
      </c>
      <c r="C809" s="5" t="s">
        <v>1823</v>
      </c>
      <c r="D809" s="5">
        <v>437.2</v>
      </c>
      <c r="E809" s="5">
        <v>431</v>
      </c>
      <c r="F809" s="5">
        <v>438</v>
      </c>
      <c r="G809" s="5">
        <v>422.85</v>
      </c>
      <c r="H809" s="5">
        <v>434</v>
      </c>
      <c r="I809" s="5">
        <v>431.05</v>
      </c>
      <c r="J809" s="5">
        <v>429.67</v>
      </c>
      <c r="K809" s="5">
        <v>22903</v>
      </c>
      <c r="L809" s="5">
        <v>98.41</v>
      </c>
      <c r="M809" s="5">
        <v>940</v>
      </c>
      <c r="N809" s="5">
        <v>11177</v>
      </c>
      <c r="O809" s="5">
        <v>48.8</v>
      </c>
      <c r="P809" s="5">
        <f t="shared" si="65"/>
        <v>-6.1499999999999773</v>
      </c>
      <c r="Q809" s="6">
        <f t="shared" si="66"/>
        <v>-1.4066788655077716E-2</v>
      </c>
      <c r="R809" s="5">
        <f t="shared" si="67"/>
        <v>15.149999999999977</v>
      </c>
      <c r="S809" s="6">
        <f t="shared" si="68"/>
        <v>3.4652333028362257E-2</v>
      </c>
      <c r="T809" s="6">
        <f t="shared" si="69"/>
        <v>3.2039004004875398E-3</v>
      </c>
    </row>
    <row r="810" spans="1:20" hidden="1" x14ac:dyDescent="0.25">
      <c r="A810" s="4" t="s">
        <v>793</v>
      </c>
      <c r="B810" s="5" t="s">
        <v>16</v>
      </c>
      <c r="C810" s="5" t="s">
        <v>1823</v>
      </c>
      <c r="D810" s="5">
        <v>954.1</v>
      </c>
      <c r="E810" s="5">
        <v>963.9</v>
      </c>
      <c r="F810" s="5">
        <v>963.9</v>
      </c>
      <c r="G810" s="5">
        <v>925</v>
      </c>
      <c r="H810" s="5">
        <v>929.9</v>
      </c>
      <c r="I810" s="5">
        <v>930.6</v>
      </c>
      <c r="J810" s="5">
        <v>939.46</v>
      </c>
      <c r="K810" s="5">
        <v>83199</v>
      </c>
      <c r="L810" s="5">
        <v>781.62</v>
      </c>
      <c r="M810" s="5">
        <v>8672</v>
      </c>
      <c r="N810" s="5">
        <v>57536</v>
      </c>
      <c r="O810" s="5">
        <v>69.150000000000006</v>
      </c>
      <c r="P810" s="5">
        <f t="shared" si="65"/>
        <v>-23.5</v>
      </c>
      <c r="Q810" s="6">
        <f t="shared" si="66"/>
        <v>-2.4630541871921183E-2</v>
      </c>
      <c r="R810" s="5">
        <f t="shared" si="67"/>
        <v>38.899999999999977</v>
      </c>
      <c r="S810" s="6">
        <f t="shared" si="68"/>
        <v>4.0771407609265252E-2</v>
      </c>
      <c r="T810" s="6">
        <f t="shared" si="69"/>
        <v>-9.3672358196331476E-3</v>
      </c>
    </row>
    <row r="811" spans="1:20" x14ac:dyDescent="0.25">
      <c r="A811" s="4" t="s">
        <v>1668</v>
      </c>
      <c r="B811" s="5" t="s">
        <v>16</v>
      </c>
      <c r="C811" s="5" t="s">
        <v>1823</v>
      </c>
      <c r="D811" s="5">
        <v>77.95</v>
      </c>
      <c r="E811" s="5">
        <v>78</v>
      </c>
      <c r="F811" s="5">
        <v>79.75</v>
      </c>
      <c r="G811" s="5">
        <v>76</v>
      </c>
      <c r="H811" s="5">
        <v>76.75</v>
      </c>
      <c r="I811" s="5">
        <v>76.8</v>
      </c>
      <c r="J811" s="5">
        <v>78.069999999999993</v>
      </c>
      <c r="K811" s="5">
        <v>298531</v>
      </c>
      <c r="L811" s="5">
        <v>233.08</v>
      </c>
      <c r="M811" s="5">
        <v>3004</v>
      </c>
      <c r="N811" s="5">
        <v>130363</v>
      </c>
      <c r="O811" s="5">
        <v>43.67</v>
      </c>
      <c r="P811" s="5">
        <f t="shared" si="65"/>
        <v>-1.1500000000000057</v>
      </c>
      <c r="Q811" s="6">
        <f t="shared" si="66"/>
        <v>-1.4753046824887822E-2</v>
      </c>
      <c r="R811" s="5">
        <f t="shared" si="67"/>
        <v>3.75</v>
      </c>
      <c r="S811" s="6">
        <f t="shared" si="68"/>
        <v>4.8107761385503524E-2</v>
      </c>
      <c r="T811" s="6">
        <f t="shared" si="69"/>
        <v>-1.6358074384157088E-2</v>
      </c>
    </row>
    <row r="812" spans="1:20" hidden="1" x14ac:dyDescent="0.25">
      <c r="A812" s="4" t="s">
        <v>795</v>
      </c>
      <c r="B812" s="5" t="s">
        <v>757</v>
      </c>
      <c r="C812" s="5" t="s">
        <v>1823</v>
      </c>
      <c r="D812" s="5">
        <v>63.8</v>
      </c>
      <c r="E812" s="5">
        <v>63.52</v>
      </c>
      <c r="F812" s="5">
        <v>63.8</v>
      </c>
      <c r="G812" s="5">
        <v>63.25</v>
      </c>
      <c r="H812" s="5">
        <v>63.63</v>
      </c>
      <c r="I812" s="5">
        <v>63.44</v>
      </c>
      <c r="J812" s="5">
        <v>63.58</v>
      </c>
      <c r="K812" s="5">
        <v>630000</v>
      </c>
      <c r="L812" s="5">
        <v>400.55</v>
      </c>
      <c r="M812" s="5">
        <v>75</v>
      </c>
      <c r="N812" s="5">
        <v>615000</v>
      </c>
      <c r="O812" s="5">
        <v>97.62</v>
      </c>
      <c r="P812" s="5">
        <f t="shared" si="65"/>
        <v>-0.35999999999999943</v>
      </c>
      <c r="Q812" s="6">
        <f t="shared" si="66"/>
        <v>-5.6426332288401163E-3</v>
      </c>
      <c r="R812" s="5">
        <f t="shared" si="67"/>
        <v>0.54999999999999716</v>
      </c>
      <c r="S812" s="6">
        <f t="shared" si="68"/>
        <v>8.6206896551723703E-3</v>
      </c>
      <c r="T812" s="6">
        <f t="shared" si="69"/>
        <v>-2.2046376126924226E-3</v>
      </c>
    </row>
    <row r="813" spans="1:20" x14ac:dyDescent="0.25">
      <c r="A813" s="4" t="s">
        <v>1064</v>
      </c>
      <c r="B813" s="5" t="s">
        <v>16</v>
      </c>
      <c r="C813" s="5" t="s">
        <v>1823</v>
      </c>
      <c r="D813" s="5">
        <v>128.5</v>
      </c>
      <c r="E813" s="5">
        <v>126.35</v>
      </c>
      <c r="F813" s="5">
        <v>130.69999999999999</v>
      </c>
      <c r="G813" s="5">
        <v>124</v>
      </c>
      <c r="H813" s="5">
        <v>124.1</v>
      </c>
      <c r="I813" s="5">
        <v>125.2</v>
      </c>
      <c r="J813" s="5">
        <v>127.77</v>
      </c>
      <c r="K813" s="5">
        <v>276777</v>
      </c>
      <c r="L813" s="5">
        <v>353.64</v>
      </c>
      <c r="M813" s="5">
        <v>3820</v>
      </c>
      <c r="N813" s="5">
        <v>121070</v>
      </c>
      <c r="O813" s="5">
        <v>43.74</v>
      </c>
      <c r="P813" s="5">
        <f t="shared" si="65"/>
        <v>-3.2999999999999972</v>
      </c>
      <c r="Q813" s="6">
        <f t="shared" si="66"/>
        <v>-2.5680933852140056E-2</v>
      </c>
      <c r="R813" s="5">
        <f t="shared" si="67"/>
        <v>6.6999999999999886</v>
      </c>
      <c r="S813" s="6">
        <f t="shared" si="68"/>
        <v>5.2140077821011585E-2</v>
      </c>
      <c r="T813" s="6">
        <f t="shared" si="69"/>
        <v>-2.0306172839506122E-2</v>
      </c>
    </row>
    <row r="814" spans="1:20" hidden="1" x14ac:dyDescent="0.25">
      <c r="A814" s="4" t="s">
        <v>797</v>
      </c>
      <c r="B814" s="5" t="s">
        <v>439</v>
      </c>
      <c r="C814" s="5" t="s">
        <v>1823</v>
      </c>
      <c r="D814" s="5">
        <v>1235</v>
      </c>
      <c r="E814" s="5">
        <v>1250</v>
      </c>
      <c r="F814" s="5">
        <v>1250</v>
      </c>
      <c r="G814" s="5">
        <v>1250</v>
      </c>
      <c r="H814" s="5">
        <v>1250</v>
      </c>
      <c r="I814" s="5">
        <v>1250</v>
      </c>
      <c r="J814" s="5">
        <v>1250</v>
      </c>
      <c r="K814" s="5">
        <v>10</v>
      </c>
      <c r="L814" s="5">
        <v>0.13</v>
      </c>
      <c r="M814" s="5">
        <v>1</v>
      </c>
      <c r="N814" s="5">
        <v>10</v>
      </c>
      <c r="O814" s="5">
        <v>100</v>
      </c>
      <c r="P814" s="5">
        <f t="shared" si="65"/>
        <v>15</v>
      </c>
      <c r="Q814" s="6">
        <f t="shared" si="66"/>
        <v>1.2145748987854251E-2</v>
      </c>
      <c r="R814" s="5">
        <f t="shared" si="67"/>
        <v>0</v>
      </c>
      <c r="S814" s="6">
        <f t="shared" si="68"/>
        <v>0</v>
      </c>
      <c r="T814" s="6">
        <f t="shared" si="69"/>
        <v>0</v>
      </c>
    </row>
    <row r="815" spans="1:20" hidden="1" x14ac:dyDescent="0.25">
      <c r="A815" s="4" t="s">
        <v>797</v>
      </c>
      <c r="B815" s="5" t="s">
        <v>396</v>
      </c>
      <c r="C815" s="5" t="s">
        <v>1823</v>
      </c>
      <c r="D815" s="5">
        <v>1325</v>
      </c>
      <c r="E815" s="5">
        <v>1308.44</v>
      </c>
      <c r="F815" s="5">
        <v>1308.44</v>
      </c>
      <c r="G815" s="5">
        <v>1308.44</v>
      </c>
      <c r="H815" s="5">
        <v>1308.44</v>
      </c>
      <c r="I815" s="5">
        <v>1308.44</v>
      </c>
      <c r="J815" s="5">
        <v>1308.44</v>
      </c>
      <c r="K815" s="5">
        <v>100</v>
      </c>
      <c r="L815" s="5">
        <v>1.31</v>
      </c>
      <c r="M815" s="5">
        <v>1</v>
      </c>
      <c r="N815" s="5">
        <v>100</v>
      </c>
      <c r="O815" s="5">
        <v>100</v>
      </c>
      <c r="P815" s="5">
        <f t="shared" si="65"/>
        <v>-16.559999999999945</v>
      </c>
      <c r="Q815" s="6">
        <f t="shared" si="66"/>
        <v>-1.2498113207547129E-2</v>
      </c>
      <c r="R815" s="5">
        <f t="shared" si="67"/>
        <v>0</v>
      </c>
      <c r="S815" s="6">
        <f t="shared" si="68"/>
        <v>0</v>
      </c>
      <c r="T815" s="6">
        <f t="shared" si="69"/>
        <v>0</v>
      </c>
    </row>
    <row r="816" spans="1:20" hidden="1" x14ac:dyDescent="0.25">
      <c r="A816" s="4" t="s">
        <v>798</v>
      </c>
      <c r="B816" s="5" t="s">
        <v>700</v>
      </c>
      <c r="C816" s="5" t="s">
        <v>1823</v>
      </c>
      <c r="D816" s="5">
        <v>1130</v>
      </c>
      <c r="E816" s="5">
        <v>1130</v>
      </c>
      <c r="F816" s="5">
        <v>1134</v>
      </c>
      <c r="G816" s="5">
        <v>1130</v>
      </c>
      <c r="H816" s="5">
        <v>1134</v>
      </c>
      <c r="I816" s="5">
        <v>1131.69</v>
      </c>
      <c r="J816" s="5">
        <v>1130.75</v>
      </c>
      <c r="K816" s="5">
        <v>704</v>
      </c>
      <c r="L816" s="5">
        <v>7.96</v>
      </c>
      <c r="M816" s="5">
        <v>15</v>
      </c>
      <c r="N816" s="5">
        <v>553</v>
      </c>
      <c r="O816" s="5">
        <v>78.55</v>
      </c>
      <c r="P816" s="5">
        <f t="shared" si="65"/>
        <v>1.6900000000000546</v>
      </c>
      <c r="Q816" s="6">
        <f t="shared" si="66"/>
        <v>1.4955752212389864E-3</v>
      </c>
      <c r="R816" s="5">
        <f t="shared" si="67"/>
        <v>4</v>
      </c>
      <c r="S816" s="6">
        <f t="shared" si="68"/>
        <v>3.5398230088495575E-3</v>
      </c>
      <c r="T816" s="6">
        <f t="shared" si="69"/>
        <v>8.3081253908248644E-4</v>
      </c>
    </row>
    <row r="817" spans="1:20" hidden="1" x14ac:dyDescent="0.25">
      <c r="A817" s="4" t="s">
        <v>798</v>
      </c>
      <c r="B817" s="5" t="s">
        <v>254</v>
      </c>
      <c r="C817" s="5" t="s">
        <v>1823</v>
      </c>
      <c r="D817" s="5">
        <v>1125</v>
      </c>
      <c r="E817" s="5">
        <v>1114</v>
      </c>
      <c r="F817" s="5">
        <v>1114</v>
      </c>
      <c r="G817" s="5">
        <v>1114</v>
      </c>
      <c r="H817" s="5">
        <v>1114</v>
      </c>
      <c r="I817" s="5">
        <v>1114</v>
      </c>
      <c r="J817" s="5">
        <v>1114</v>
      </c>
      <c r="K817" s="5">
        <v>1</v>
      </c>
      <c r="L817" s="5">
        <v>0.01</v>
      </c>
      <c r="M817" s="5">
        <v>1</v>
      </c>
      <c r="N817" s="5">
        <v>1</v>
      </c>
      <c r="O817" s="5">
        <v>100</v>
      </c>
      <c r="P817" s="5">
        <f t="shared" si="65"/>
        <v>-11</v>
      </c>
      <c r="Q817" s="6">
        <f t="shared" si="66"/>
        <v>-9.7777777777777776E-3</v>
      </c>
      <c r="R817" s="5">
        <f t="shared" si="67"/>
        <v>0</v>
      </c>
      <c r="S817" s="6">
        <f t="shared" si="68"/>
        <v>0</v>
      </c>
      <c r="T817" s="6">
        <f t="shared" si="69"/>
        <v>0</v>
      </c>
    </row>
    <row r="818" spans="1:20" hidden="1" x14ac:dyDescent="0.25">
      <c r="A818" s="4" t="s">
        <v>798</v>
      </c>
      <c r="B818" s="5" t="s">
        <v>694</v>
      </c>
      <c r="C818" s="5" t="s">
        <v>1823</v>
      </c>
      <c r="D818" s="5">
        <v>1214</v>
      </c>
      <c r="E818" s="5">
        <v>1186.5999999999999</v>
      </c>
      <c r="F818" s="5">
        <v>1224.75</v>
      </c>
      <c r="G818" s="5">
        <v>1186.5</v>
      </c>
      <c r="H818" s="5">
        <v>1224</v>
      </c>
      <c r="I818" s="5">
        <v>1224</v>
      </c>
      <c r="J818" s="5">
        <v>1191.29</v>
      </c>
      <c r="K818" s="5">
        <v>22600</v>
      </c>
      <c r="L818" s="5">
        <v>269.23</v>
      </c>
      <c r="M818" s="5">
        <v>21</v>
      </c>
      <c r="N818" s="5">
        <v>21500</v>
      </c>
      <c r="O818" s="5">
        <v>95.13</v>
      </c>
      <c r="P818" s="5">
        <f t="shared" si="65"/>
        <v>10</v>
      </c>
      <c r="Q818" s="6">
        <f t="shared" si="66"/>
        <v>8.2372322899505763E-3</v>
      </c>
      <c r="R818" s="5">
        <f t="shared" si="67"/>
        <v>38.25</v>
      </c>
      <c r="S818" s="6">
        <f t="shared" si="68"/>
        <v>3.1507413509060958E-2</v>
      </c>
      <c r="T818" s="6">
        <f t="shared" si="69"/>
        <v>2.7134813401495306E-2</v>
      </c>
    </row>
    <row r="819" spans="1:20" hidden="1" x14ac:dyDescent="0.25">
      <c r="A819" s="4" t="s">
        <v>798</v>
      </c>
      <c r="B819" s="5" t="s">
        <v>687</v>
      </c>
      <c r="C819" s="5" t="s">
        <v>1823</v>
      </c>
      <c r="D819" s="5">
        <v>1184.99</v>
      </c>
      <c r="E819" s="5">
        <v>1181</v>
      </c>
      <c r="F819" s="5">
        <v>1181</v>
      </c>
      <c r="G819" s="5">
        <v>1066</v>
      </c>
      <c r="H819" s="5">
        <v>1066</v>
      </c>
      <c r="I819" s="5">
        <v>1157.22</v>
      </c>
      <c r="J819" s="5">
        <v>1158.98</v>
      </c>
      <c r="K819" s="5">
        <v>122</v>
      </c>
      <c r="L819" s="5">
        <v>1.41</v>
      </c>
      <c r="M819" s="5">
        <v>5</v>
      </c>
      <c r="N819" s="5">
        <v>100</v>
      </c>
      <c r="O819" s="5">
        <v>81.97</v>
      </c>
      <c r="P819" s="5">
        <f t="shared" si="65"/>
        <v>-27.769999999999982</v>
      </c>
      <c r="Q819" s="6">
        <f t="shared" si="66"/>
        <v>-2.3434796918117437E-2</v>
      </c>
      <c r="R819" s="5">
        <f t="shared" si="67"/>
        <v>115</v>
      </c>
      <c r="S819" s="6">
        <f t="shared" si="68"/>
        <v>9.7047232466096756E-2</v>
      </c>
      <c r="T819" s="6">
        <f t="shared" si="69"/>
        <v>-1.535367986705101E-3</v>
      </c>
    </row>
    <row r="820" spans="1:20" hidden="1" x14ac:dyDescent="0.25">
      <c r="A820" s="4" t="s">
        <v>798</v>
      </c>
      <c r="B820" s="5" t="s">
        <v>397</v>
      </c>
      <c r="C820" s="5" t="s">
        <v>1823</v>
      </c>
      <c r="D820" s="5">
        <v>1251.01</v>
      </c>
      <c r="E820" s="5">
        <v>1245.0999999999999</v>
      </c>
      <c r="F820" s="5">
        <v>1245.0999999999999</v>
      </c>
      <c r="G820" s="5">
        <v>1245.0999999999999</v>
      </c>
      <c r="H820" s="5">
        <v>1245.0999999999999</v>
      </c>
      <c r="I820" s="5">
        <v>1245.0999999999999</v>
      </c>
      <c r="J820" s="5">
        <v>1245.0999999999999</v>
      </c>
      <c r="K820" s="5">
        <v>10</v>
      </c>
      <c r="L820" s="5">
        <v>0.12</v>
      </c>
      <c r="M820" s="5">
        <v>1</v>
      </c>
      <c r="N820" s="5">
        <v>10</v>
      </c>
      <c r="O820" s="5">
        <v>100</v>
      </c>
      <c r="P820" s="5">
        <f t="shared" si="65"/>
        <v>-5.9100000000000819</v>
      </c>
      <c r="Q820" s="6">
        <f t="shared" si="66"/>
        <v>-4.7241828602489844E-3</v>
      </c>
      <c r="R820" s="5">
        <f t="shared" si="67"/>
        <v>0</v>
      </c>
      <c r="S820" s="6">
        <f t="shared" si="68"/>
        <v>0</v>
      </c>
      <c r="T820" s="6">
        <f t="shared" si="69"/>
        <v>0</v>
      </c>
    </row>
    <row r="821" spans="1:20" hidden="1" x14ac:dyDescent="0.25">
      <c r="A821" s="4" t="s">
        <v>798</v>
      </c>
      <c r="B821" s="5" t="s">
        <v>688</v>
      </c>
      <c r="C821" s="5" t="s">
        <v>1823</v>
      </c>
      <c r="D821" s="5">
        <v>1142.5</v>
      </c>
      <c r="E821" s="5">
        <v>1144</v>
      </c>
      <c r="F821" s="5">
        <v>1144</v>
      </c>
      <c r="G821" s="5">
        <v>1140</v>
      </c>
      <c r="H821" s="5">
        <v>1140.05</v>
      </c>
      <c r="I821" s="5">
        <v>1140.05</v>
      </c>
      <c r="J821" s="5">
        <v>1141.99</v>
      </c>
      <c r="K821" s="5">
        <v>201</v>
      </c>
      <c r="L821" s="5">
        <v>2.2999999999999998</v>
      </c>
      <c r="M821" s="5">
        <v>3</v>
      </c>
      <c r="N821" s="5">
        <v>201</v>
      </c>
      <c r="O821" s="5">
        <v>100</v>
      </c>
      <c r="P821" s="5">
        <f t="shared" si="65"/>
        <v>-2.4500000000000455</v>
      </c>
      <c r="Q821" s="6">
        <f t="shared" si="66"/>
        <v>-2.144420131291068E-3</v>
      </c>
      <c r="R821" s="5">
        <f t="shared" si="67"/>
        <v>4</v>
      </c>
      <c r="S821" s="6">
        <f t="shared" si="68"/>
        <v>3.50109409190372E-3</v>
      </c>
      <c r="T821" s="6">
        <f t="shared" si="69"/>
        <v>-1.698755486476772E-3</v>
      </c>
    </row>
    <row r="822" spans="1:20" hidden="1" x14ac:dyDescent="0.25">
      <c r="A822" s="4" t="s">
        <v>798</v>
      </c>
      <c r="B822" s="5" t="s">
        <v>399</v>
      </c>
      <c r="C822" s="5" t="s">
        <v>1823</v>
      </c>
      <c r="D822" s="5">
        <v>1069</v>
      </c>
      <c r="E822" s="5">
        <v>1108.5999999999999</v>
      </c>
      <c r="F822" s="5">
        <v>1108.5999999999999</v>
      </c>
      <c r="G822" s="5">
        <v>1108.5999999999999</v>
      </c>
      <c r="H822" s="5">
        <v>1108.5999999999999</v>
      </c>
      <c r="I822" s="5">
        <v>1108.5999999999999</v>
      </c>
      <c r="J822" s="5">
        <v>1108.5999999999999</v>
      </c>
      <c r="K822" s="5">
        <v>100</v>
      </c>
      <c r="L822" s="5">
        <v>1.1100000000000001</v>
      </c>
      <c r="M822" s="5">
        <v>1</v>
      </c>
      <c r="N822" s="5">
        <v>100</v>
      </c>
      <c r="O822" s="5">
        <v>100</v>
      </c>
      <c r="P822" s="5">
        <f t="shared" si="65"/>
        <v>39.599999999999909</v>
      </c>
      <c r="Q822" s="6">
        <f t="shared" si="66"/>
        <v>3.7043966323666896E-2</v>
      </c>
      <c r="R822" s="5">
        <f t="shared" si="67"/>
        <v>0</v>
      </c>
      <c r="S822" s="6">
        <f t="shared" si="68"/>
        <v>0</v>
      </c>
      <c r="T822" s="6">
        <f t="shared" si="69"/>
        <v>0</v>
      </c>
    </row>
    <row r="823" spans="1:20" hidden="1" x14ac:dyDescent="0.25">
      <c r="A823" s="4" t="s">
        <v>798</v>
      </c>
      <c r="B823" s="5" t="s">
        <v>938</v>
      </c>
      <c r="C823" s="5" t="s">
        <v>1823</v>
      </c>
      <c r="D823" s="5">
        <v>1130</v>
      </c>
      <c r="E823" s="5">
        <v>1120</v>
      </c>
      <c r="F823" s="5">
        <v>1137</v>
      </c>
      <c r="G823" s="5">
        <v>1120</v>
      </c>
      <c r="H823" s="5">
        <v>1137</v>
      </c>
      <c r="I823" s="5">
        <v>1137</v>
      </c>
      <c r="J823" s="5">
        <v>1129.52</v>
      </c>
      <c r="K823" s="5">
        <v>198</v>
      </c>
      <c r="L823" s="5">
        <v>2.2400000000000002</v>
      </c>
      <c r="M823" s="5">
        <v>10</v>
      </c>
      <c r="N823" s="5">
        <v>129</v>
      </c>
      <c r="O823" s="5">
        <v>65.150000000000006</v>
      </c>
      <c r="P823" s="5">
        <f t="shared" si="65"/>
        <v>7</v>
      </c>
      <c r="Q823" s="6">
        <f t="shared" si="66"/>
        <v>6.1946902654867256E-3</v>
      </c>
      <c r="R823" s="5">
        <f t="shared" si="67"/>
        <v>17</v>
      </c>
      <c r="S823" s="6">
        <f t="shared" si="68"/>
        <v>1.5044247787610619E-2</v>
      </c>
      <c r="T823" s="6">
        <f t="shared" si="69"/>
        <v>6.6282676118741852E-3</v>
      </c>
    </row>
    <row r="824" spans="1:20" hidden="1" x14ac:dyDescent="0.25">
      <c r="A824" s="4" t="s">
        <v>798</v>
      </c>
      <c r="B824" s="5" t="s">
        <v>443</v>
      </c>
      <c r="C824" s="5" t="s">
        <v>1823</v>
      </c>
      <c r="D824" s="5">
        <v>1215</v>
      </c>
      <c r="E824" s="5">
        <v>1220</v>
      </c>
      <c r="F824" s="5">
        <v>1220</v>
      </c>
      <c r="G824" s="5">
        <v>1210</v>
      </c>
      <c r="H824" s="5">
        <v>1220</v>
      </c>
      <c r="I824" s="5">
        <v>1220</v>
      </c>
      <c r="J824" s="5">
        <v>1212.0999999999999</v>
      </c>
      <c r="K824" s="5">
        <v>790</v>
      </c>
      <c r="L824" s="5">
        <v>9.58</v>
      </c>
      <c r="M824" s="5">
        <v>6</v>
      </c>
      <c r="N824" s="5">
        <v>790</v>
      </c>
      <c r="O824" s="5">
        <v>100</v>
      </c>
      <c r="P824" s="5">
        <f t="shared" si="65"/>
        <v>5</v>
      </c>
      <c r="Q824" s="6">
        <f t="shared" si="66"/>
        <v>4.11522633744856E-3</v>
      </c>
      <c r="R824" s="5">
        <f t="shared" si="67"/>
        <v>10</v>
      </c>
      <c r="S824" s="6">
        <f t="shared" si="68"/>
        <v>8.23045267489712E-3</v>
      </c>
      <c r="T824" s="6">
        <f t="shared" si="69"/>
        <v>6.488706365503155E-3</v>
      </c>
    </row>
    <row r="825" spans="1:20" hidden="1" x14ac:dyDescent="0.25">
      <c r="A825" s="4" t="s">
        <v>798</v>
      </c>
      <c r="B825" s="5" t="s">
        <v>400</v>
      </c>
      <c r="C825" s="5" t="s">
        <v>1823</v>
      </c>
      <c r="D825" s="5">
        <v>1130.6500000000001</v>
      </c>
      <c r="E825" s="5">
        <v>1147</v>
      </c>
      <c r="F825" s="5">
        <v>1147</v>
      </c>
      <c r="G825" s="5">
        <v>1147</v>
      </c>
      <c r="H825" s="5">
        <v>1147</v>
      </c>
      <c r="I825" s="5">
        <v>1147</v>
      </c>
      <c r="J825" s="5">
        <v>1147</v>
      </c>
      <c r="K825" s="5">
        <v>115</v>
      </c>
      <c r="L825" s="5">
        <v>1.32</v>
      </c>
      <c r="M825" s="5">
        <v>1</v>
      </c>
      <c r="N825" s="5">
        <v>115</v>
      </c>
      <c r="O825" s="5">
        <v>100</v>
      </c>
      <c r="P825" s="5">
        <f t="shared" si="65"/>
        <v>16.349999999999909</v>
      </c>
      <c r="Q825" s="6">
        <f t="shared" si="66"/>
        <v>1.4460708442046529E-2</v>
      </c>
      <c r="R825" s="5">
        <f t="shared" si="67"/>
        <v>0</v>
      </c>
      <c r="S825" s="6">
        <f t="shared" si="68"/>
        <v>0</v>
      </c>
      <c r="T825" s="6">
        <f t="shared" si="69"/>
        <v>0</v>
      </c>
    </row>
    <row r="826" spans="1:20" hidden="1" x14ac:dyDescent="0.25">
      <c r="A826" s="4" t="s">
        <v>798</v>
      </c>
      <c r="B826" s="5" t="s">
        <v>445</v>
      </c>
      <c r="C826" s="5" t="s">
        <v>1823</v>
      </c>
      <c r="D826" s="5">
        <v>1229.96</v>
      </c>
      <c r="E826" s="5">
        <v>1220</v>
      </c>
      <c r="F826" s="5">
        <v>1220</v>
      </c>
      <c r="G826" s="5">
        <v>1220</v>
      </c>
      <c r="H826" s="5">
        <v>1220</v>
      </c>
      <c r="I826" s="5">
        <v>1220</v>
      </c>
      <c r="J826" s="5">
        <v>1220</v>
      </c>
      <c r="K826" s="5">
        <v>55</v>
      </c>
      <c r="L826" s="5">
        <v>0.67</v>
      </c>
      <c r="M826" s="5">
        <v>2</v>
      </c>
      <c r="N826" s="5">
        <v>55</v>
      </c>
      <c r="O826" s="5">
        <v>100</v>
      </c>
      <c r="P826" s="5">
        <f t="shared" si="65"/>
        <v>-9.9600000000000364</v>
      </c>
      <c r="Q826" s="6">
        <f t="shared" si="66"/>
        <v>-8.0978243194900941E-3</v>
      </c>
      <c r="R826" s="5">
        <f t="shared" si="67"/>
        <v>0</v>
      </c>
      <c r="S826" s="6">
        <f t="shared" si="68"/>
        <v>0</v>
      </c>
      <c r="T826" s="6">
        <f t="shared" si="69"/>
        <v>0</v>
      </c>
    </row>
    <row r="827" spans="1:20" x14ac:dyDescent="0.25">
      <c r="A827" s="4" t="s">
        <v>1265</v>
      </c>
      <c r="B827" s="5" t="s">
        <v>16</v>
      </c>
      <c r="C827" s="5" t="s">
        <v>1823</v>
      </c>
      <c r="D827" s="5">
        <v>119.35</v>
      </c>
      <c r="E827" s="5">
        <v>118.25</v>
      </c>
      <c r="F827" s="5">
        <v>120.3</v>
      </c>
      <c r="G827" s="5">
        <v>116.55</v>
      </c>
      <c r="H827" s="5">
        <v>119.7</v>
      </c>
      <c r="I827" s="5">
        <v>119.45</v>
      </c>
      <c r="J827" s="5">
        <v>118.55</v>
      </c>
      <c r="K827" s="5">
        <v>2278730</v>
      </c>
      <c r="L827" s="5">
        <v>2701.48</v>
      </c>
      <c r="M827" s="5">
        <v>17966</v>
      </c>
      <c r="N827" s="5">
        <v>1001075</v>
      </c>
      <c r="O827" s="5">
        <v>43.93</v>
      </c>
      <c r="P827" s="5">
        <f t="shared" si="65"/>
        <v>0.10000000000000853</v>
      </c>
      <c r="Q827" s="6">
        <f t="shared" si="66"/>
        <v>8.3787180561381255E-4</v>
      </c>
      <c r="R827" s="5">
        <f t="shared" si="67"/>
        <v>3.75</v>
      </c>
      <c r="S827" s="6">
        <f t="shared" si="68"/>
        <v>3.1420192710515292E-2</v>
      </c>
      <c r="T827" s="6">
        <f t="shared" si="69"/>
        <v>7.5861342324307713E-3</v>
      </c>
    </row>
    <row r="828" spans="1:20" hidden="1" x14ac:dyDescent="0.25">
      <c r="A828" s="4" t="s">
        <v>801</v>
      </c>
      <c r="B828" s="5" t="s">
        <v>39</v>
      </c>
      <c r="C828" s="5" t="s">
        <v>1823</v>
      </c>
      <c r="D828" s="5">
        <v>88.9</v>
      </c>
      <c r="E828" s="5">
        <v>88.5</v>
      </c>
      <c r="F828" s="5">
        <v>93.2</v>
      </c>
      <c r="G828" s="5">
        <v>86.05</v>
      </c>
      <c r="H828" s="5">
        <v>87.05</v>
      </c>
      <c r="I828" s="5">
        <v>87.05</v>
      </c>
      <c r="J828" s="5">
        <v>92.46</v>
      </c>
      <c r="K828" s="5">
        <v>773</v>
      </c>
      <c r="L828" s="5">
        <v>0.71</v>
      </c>
      <c r="M828" s="5">
        <v>16</v>
      </c>
      <c r="N828" s="5" t="s">
        <v>25</v>
      </c>
      <c r="O828" s="5" t="s">
        <v>25</v>
      </c>
      <c r="P828" s="5">
        <f t="shared" si="65"/>
        <v>-1.8500000000000085</v>
      </c>
      <c r="Q828" s="6">
        <f t="shared" si="66"/>
        <v>-2.0809898762654763E-2</v>
      </c>
      <c r="R828" s="5">
        <f t="shared" si="67"/>
        <v>7.1500000000000057</v>
      </c>
      <c r="S828" s="6">
        <f t="shared" si="68"/>
        <v>8.0427446569178912E-2</v>
      </c>
      <c r="T828" s="6">
        <f t="shared" si="69"/>
        <v>-6.0992108229988684E-2</v>
      </c>
    </row>
    <row r="829" spans="1:20" hidden="1" x14ac:dyDescent="0.25">
      <c r="A829" s="4" t="s">
        <v>802</v>
      </c>
      <c r="B829" s="5" t="s">
        <v>16</v>
      </c>
      <c r="C829" s="5" t="s">
        <v>1823</v>
      </c>
      <c r="D829" s="5">
        <v>4.2</v>
      </c>
      <c r="E829" s="5">
        <v>4.5999999999999996</v>
      </c>
      <c r="F829" s="5">
        <v>4.5999999999999996</v>
      </c>
      <c r="G829" s="5">
        <v>4.1500000000000004</v>
      </c>
      <c r="H829" s="5">
        <v>4.2</v>
      </c>
      <c r="I829" s="5">
        <v>4.1500000000000004</v>
      </c>
      <c r="J829" s="5">
        <v>4.28</v>
      </c>
      <c r="K829" s="5">
        <v>39093</v>
      </c>
      <c r="L829" s="5">
        <v>1.67</v>
      </c>
      <c r="M829" s="5">
        <v>74</v>
      </c>
      <c r="N829" s="5">
        <v>31824</v>
      </c>
      <c r="O829" s="5">
        <v>81.41</v>
      </c>
      <c r="P829" s="5">
        <f t="shared" si="65"/>
        <v>-4.9999999999999822E-2</v>
      </c>
      <c r="Q829" s="6">
        <f t="shared" si="66"/>
        <v>-1.1904761904761862E-2</v>
      </c>
      <c r="R829" s="5">
        <f t="shared" si="67"/>
        <v>0.44999999999999929</v>
      </c>
      <c r="S829" s="6">
        <f t="shared" si="68"/>
        <v>0.10714285714285697</v>
      </c>
      <c r="T829" s="6">
        <f t="shared" si="69"/>
        <v>-2.971428571428569E-2</v>
      </c>
    </row>
    <row r="830" spans="1:20" x14ac:dyDescent="0.25">
      <c r="A830" s="4" t="s">
        <v>691</v>
      </c>
      <c r="B830" s="5" t="s">
        <v>16</v>
      </c>
      <c r="C830" s="5" t="s">
        <v>1823</v>
      </c>
      <c r="D830" s="5">
        <v>59.6</v>
      </c>
      <c r="E830" s="5">
        <v>59.55</v>
      </c>
      <c r="F830" s="5">
        <v>59.7</v>
      </c>
      <c r="G830" s="5">
        <v>56.15</v>
      </c>
      <c r="H830" s="5">
        <v>56.4</v>
      </c>
      <c r="I830" s="5">
        <v>57.25</v>
      </c>
      <c r="J830" s="5">
        <v>57.65</v>
      </c>
      <c r="K830" s="5">
        <v>2978741</v>
      </c>
      <c r="L830" s="5">
        <v>1717.32</v>
      </c>
      <c r="M830" s="5">
        <v>16946</v>
      </c>
      <c r="N830" s="5">
        <v>1317013</v>
      </c>
      <c r="O830" s="5">
        <v>44.21</v>
      </c>
      <c r="P830" s="5">
        <f t="shared" si="65"/>
        <v>-2.3500000000000014</v>
      </c>
      <c r="Q830" s="6">
        <f t="shared" si="66"/>
        <v>-3.9429530201342308E-2</v>
      </c>
      <c r="R830" s="5">
        <f t="shared" si="67"/>
        <v>3.5500000000000043</v>
      </c>
      <c r="S830" s="6">
        <f t="shared" si="68"/>
        <v>5.9563758389261812E-2</v>
      </c>
      <c r="T830" s="6">
        <f t="shared" si="69"/>
        <v>-6.8772834730281293E-3</v>
      </c>
    </row>
    <row r="831" spans="1:20" x14ac:dyDescent="0.25">
      <c r="A831" s="4" t="s">
        <v>1254</v>
      </c>
      <c r="B831" s="5" t="s">
        <v>16</v>
      </c>
      <c r="C831" s="5" t="s">
        <v>1823</v>
      </c>
      <c r="D831" s="5">
        <v>685.55</v>
      </c>
      <c r="E831" s="5">
        <v>681.05</v>
      </c>
      <c r="F831" s="5">
        <v>700</v>
      </c>
      <c r="G831" s="5">
        <v>676.25</v>
      </c>
      <c r="H831" s="5">
        <v>682.8</v>
      </c>
      <c r="I831" s="5">
        <v>680.2</v>
      </c>
      <c r="J831" s="5">
        <v>684.06</v>
      </c>
      <c r="K831" s="5">
        <v>114095</v>
      </c>
      <c r="L831" s="5">
        <v>780.48</v>
      </c>
      <c r="M831" s="5">
        <v>4421</v>
      </c>
      <c r="N831" s="5">
        <v>50438</v>
      </c>
      <c r="O831" s="5">
        <v>44.21</v>
      </c>
      <c r="P831" s="5">
        <f t="shared" si="65"/>
        <v>-5.3499999999999091</v>
      </c>
      <c r="Q831" s="6">
        <f t="shared" si="66"/>
        <v>-7.8039530304134042E-3</v>
      </c>
      <c r="R831" s="5">
        <f t="shared" si="67"/>
        <v>23.75</v>
      </c>
      <c r="S831" s="6">
        <f t="shared" si="68"/>
        <v>3.4643716723798415E-2</v>
      </c>
      <c r="T831" s="6">
        <f t="shared" si="69"/>
        <v>-5.6401826484016801E-3</v>
      </c>
    </row>
    <row r="832" spans="1:20" x14ac:dyDescent="0.25">
      <c r="A832" s="4" t="s">
        <v>588</v>
      </c>
      <c r="B832" s="5" t="s">
        <v>16</v>
      </c>
      <c r="C832" s="5" t="s">
        <v>1823</v>
      </c>
      <c r="D832" s="5">
        <v>103.1</v>
      </c>
      <c r="E832" s="5">
        <v>103.15</v>
      </c>
      <c r="F832" s="5">
        <v>104</v>
      </c>
      <c r="G832" s="5">
        <v>100.1</v>
      </c>
      <c r="H832" s="5">
        <v>101.95</v>
      </c>
      <c r="I832" s="5">
        <v>101.75</v>
      </c>
      <c r="J832" s="5">
        <v>101.79</v>
      </c>
      <c r="K832" s="5">
        <v>278607</v>
      </c>
      <c r="L832" s="5">
        <v>283.60000000000002</v>
      </c>
      <c r="M832" s="5">
        <v>2573</v>
      </c>
      <c r="N832" s="5">
        <v>123864</v>
      </c>
      <c r="O832" s="5">
        <v>44.46</v>
      </c>
      <c r="P832" s="5">
        <f t="shared" si="65"/>
        <v>-1.3499999999999943</v>
      </c>
      <c r="Q832" s="6">
        <f t="shared" si="66"/>
        <v>-1.3094083414160955E-2</v>
      </c>
      <c r="R832" s="5">
        <f t="shared" si="67"/>
        <v>3.9000000000000057</v>
      </c>
      <c r="S832" s="6">
        <f t="shared" si="68"/>
        <v>3.782735208535408E-2</v>
      </c>
      <c r="T832" s="6">
        <f t="shared" si="69"/>
        <v>-3.9119804400984112E-4</v>
      </c>
    </row>
    <row r="833" spans="1:20" x14ac:dyDescent="0.25">
      <c r="A833" s="4" t="s">
        <v>1521</v>
      </c>
      <c r="B833" s="5" t="s">
        <v>16</v>
      </c>
      <c r="C833" s="5" t="s">
        <v>1823</v>
      </c>
      <c r="D833" s="5">
        <v>149</v>
      </c>
      <c r="E833" s="5">
        <v>149.9</v>
      </c>
      <c r="F833" s="5">
        <v>150.6</v>
      </c>
      <c r="G833" s="5">
        <v>143.6</v>
      </c>
      <c r="H833" s="5">
        <v>144</v>
      </c>
      <c r="I833" s="5">
        <v>144.35</v>
      </c>
      <c r="J833" s="5">
        <v>146.02000000000001</v>
      </c>
      <c r="K833" s="5">
        <v>461776</v>
      </c>
      <c r="L833" s="5">
        <v>674.31</v>
      </c>
      <c r="M833" s="5">
        <v>6685</v>
      </c>
      <c r="N833" s="5">
        <v>205357</v>
      </c>
      <c r="O833" s="5">
        <v>44.47</v>
      </c>
      <c r="P833" s="5">
        <f t="shared" si="65"/>
        <v>-4.6500000000000057</v>
      </c>
      <c r="Q833" s="6">
        <f t="shared" si="66"/>
        <v>-3.1208053691275207E-2</v>
      </c>
      <c r="R833" s="5">
        <f t="shared" si="67"/>
        <v>7</v>
      </c>
      <c r="S833" s="6">
        <f t="shared" si="68"/>
        <v>4.6979865771812082E-2</v>
      </c>
      <c r="T833" s="6">
        <f t="shared" si="69"/>
        <v>-1.13518565723512E-2</v>
      </c>
    </row>
    <row r="834" spans="1:20" hidden="1" x14ac:dyDescent="0.25">
      <c r="A834" s="4" t="s">
        <v>807</v>
      </c>
      <c r="B834" s="5" t="s">
        <v>16</v>
      </c>
      <c r="C834" s="5" t="s">
        <v>1823</v>
      </c>
      <c r="D834" s="5">
        <v>3.55</v>
      </c>
      <c r="E834" s="5">
        <v>3.4</v>
      </c>
      <c r="F834" s="5">
        <v>3.55</v>
      </c>
      <c r="G834" s="5">
        <v>3.4</v>
      </c>
      <c r="H834" s="5">
        <v>3.45</v>
      </c>
      <c r="I834" s="5">
        <v>3.45</v>
      </c>
      <c r="J834" s="5">
        <v>3.43</v>
      </c>
      <c r="K834" s="5">
        <v>57514</v>
      </c>
      <c r="L834" s="5">
        <v>1.97</v>
      </c>
      <c r="M834" s="5">
        <v>107</v>
      </c>
      <c r="N834" s="5">
        <v>56142</v>
      </c>
      <c r="O834" s="5">
        <v>97.61</v>
      </c>
      <c r="P834" s="5">
        <f t="shared" si="65"/>
        <v>-9.9999999999999645E-2</v>
      </c>
      <c r="Q834" s="6">
        <f t="shared" si="66"/>
        <v>-2.8169014084506942E-2</v>
      </c>
      <c r="R834" s="5">
        <f t="shared" si="67"/>
        <v>0.14999999999999991</v>
      </c>
      <c r="S834" s="6">
        <f t="shared" si="68"/>
        <v>4.2253521126760542E-2</v>
      </c>
      <c r="T834" s="6">
        <f t="shared" si="69"/>
        <v>5.7971014492753676E-3</v>
      </c>
    </row>
    <row r="835" spans="1:20" hidden="1" x14ac:dyDescent="0.25">
      <c r="A835" s="4" t="s">
        <v>808</v>
      </c>
      <c r="B835" s="5" t="s">
        <v>16</v>
      </c>
      <c r="C835" s="5" t="s">
        <v>1823</v>
      </c>
      <c r="D835" s="5">
        <v>67.95</v>
      </c>
      <c r="E835" s="5">
        <v>64.650000000000006</v>
      </c>
      <c r="F835" s="5">
        <v>67.95</v>
      </c>
      <c r="G835" s="5">
        <v>64.650000000000006</v>
      </c>
      <c r="H835" s="5">
        <v>64.650000000000006</v>
      </c>
      <c r="I835" s="5">
        <v>64.650000000000006</v>
      </c>
      <c r="J835" s="5">
        <v>65.75</v>
      </c>
      <c r="K835" s="5">
        <v>3</v>
      </c>
      <c r="L835" s="5">
        <v>0</v>
      </c>
      <c r="M835" s="5">
        <v>3</v>
      </c>
      <c r="N835" s="5">
        <v>1</v>
      </c>
      <c r="O835" s="5">
        <v>33.33</v>
      </c>
      <c r="P835" s="5">
        <f t="shared" si="65"/>
        <v>-3.2999999999999972</v>
      </c>
      <c r="Q835" s="6">
        <f t="shared" si="66"/>
        <v>-4.8565121412803489E-2</v>
      </c>
      <c r="R835" s="5">
        <f t="shared" si="67"/>
        <v>3.2999999999999972</v>
      </c>
      <c r="S835" s="6">
        <f t="shared" si="68"/>
        <v>4.8565121412803489E-2</v>
      </c>
      <c r="T835" s="6">
        <f t="shared" si="69"/>
        <v>-1.6800305460099186E-2</v>
      </c>
    </row>
    <row r="836" spans="1:20" hidden="1" x14ac:dyDescent="0.25">
      <c r="A836" s="4" t="s">
        <v>809</v>
      </c>
      <c r="B836" s="5" t="s">
        <v>16</v>
      </c>
      <c r="C836" s="5" t="s">
        <v>1823</v>
      </c>
      <c r="D836" s="5">
        <v>3425</v>
      </c>
      <c r="E836" s="5">
        <v>3412</v>
      </c>
      <c r="F836" s="5">
        <v>3421</v>
      </c>
      <c r="G836" s="5">
        <v>3412</v>
      </c>
      <c r="H836" s="5">
        <v>3421</v>
      </c>
      <c r="I836" s="5">
        <v>3421</v>
      </c>
      <c r="J836" s="5">
        <v>3415.94</v>
      </c>
      <c r="K836" s="5">
        <v>16</v>
      </c>
      <c r="L836" s="5">
        <v>0.55000000000000004</v>
      </c>
      <c r="M836" s="5">
        <v>13</v>
      </c>
      <c r="N836" s="5">
        <v>12</v>
      </c>
      <c r="O836" s="5">
        <v>75</v>
      </c>
      <c r="P836" s="5">
        <f t="shared" si="65"/>
        <v>-4</v>
      </c>
      <c r="Q836" s="6">
        <f t="shared" si="66"/>
        <v>-1.1678832116788322E-3</v>
      </c>
      <c r="R836" s="5">
        <f t="shared" si="67"/>
        <v>9</v>
      </c>
      <c r="S836" s="6">
        <f t="shared" si="68"/>
        <v>2.6277372262773721E-3</v>
      </c>
      <c r="T836" s="6">
        <f t="shared" si="69"/>
        <v>1.4810478559929593E-3</v>
      </c>
    </row>
    <row r="837" spans="1:20" hidden="1" x14ac:dyDescent="0.25">
      <c r="A837" s="4" t="s">
        <v>810</v>
      </c>
      <c r="B837" s="5" t="s">
        <v>16</v>
      </c>
      <c r="C837" s="5" t="s">
        <v>1823</v>
      </c>
      <c r="D837" s="5">
        <v>33.4</v>
      </c>
      <c r="E837" s="5">
        <v>34</v>
      </c>
      <c r="F837" s="5">
        <v>34.75</v>
      </c>
      <c r="G837" s="5">
        <v>33</v>
      </c>
      <c r="H837" s="5">
        <v>34</v>
      </c>
      <c r="I837" s="5">
        <v>33.950000000000003</v>
      </c>
      <c r="J837" s="5">
        <v>33.35</v>
      </c>
      <c r="K837" s="5">
        <v>6205</v>
      </c>
      <c r="L837" s="5">
        <v>2.0699999999999998</v>
      </c>
      <c r="M837" s="5">
        <v>108</v>
      </c>
      <c r="N837" s="5">
        <v>4628</v>
      </c>
      <c r="O837" s="5">
        <v>74.59</v>
      </c>
      <c r="P837" s="5">
        <f t="shared" si="65"/>
        <v>0.55000000000000426</v>
      </c>
      <c r="Q837" s="6">
        <f t="shared" si="66"/>
        <v>1.6467065868263603E-2</v>
      </c>
      <c r="R837" s="5">
        <f t="shared" si="67"/>
        <v>1.75</v>
      </c>
      <c r="S837" s="6">
        <f t="shared" si="68"/>
        <v>5.2395209580838327E-2</v>
      </c>
      <c r="T837" s="6">
        <f t="shared" si="69"/>
        <v>1.7686072218128266E-2</v>
      </c>
    </row>
    <row r="838" spans="1:20" x14ac:dyDescent="0.25">
      <c r="A838" s="4" t="s">
        <v>734</v>
      </c>
      <c r="B838" s="5" t="s">
        <v>16</v>
      </c>
      <c r="C838" s="5" t="s">
        <v>1823</v>
      </c>
      <c r="D838" s="5">
        <v>361.95</v>
      </c>
      <c r="E838" s="5">
        <v>360</v>
      </c>
      <c r="F838" s="5">
        <v>360.95</v>
      </c>
      <c r="G838" s="5">
        <v>347.5</v>
      </c>
      <c r="H838" s="5">
        <v>347.5</v>
      </c>
      <c r="I838" s="5">
        <v>348.7</v>
      </c>
      <c r="J838" s="5">
        <v>352.1</v>
      </c>
      <c r="K838" s="5">
        <v>1719973</v>
      </c>
      <c r="L838" s="5">
        <v>6056.06</v>
      </c>
      <c r="M838" s="5">
        <v>35223</v>
      </c>
      <c r="N838" s="5">
        <v>771213</v>
      </c>
      <c r="O838" s="5">
        <v>44.84</v>
      </c>
      <c r="P838" s="5">
        <f t="shared" si="65"/>
        <v>-13.25</v>
      </c>
      <c r="Q838" s="6">
        <f t="shared" si="66"/>
        <v>-3.6607266196988536E-2</v>
      </c>
      <c r="R838" s="5">
        <f t="shared" si="67"/>
        <v>13.449999999999989</v>
      </c>
      <c r="S838" s="6">
        <f t="shared" si="68"/>
        <v>3.7159828705622296E-2</v>
      </c>
      <c r="T838" s="6">
        <f t="shared" si="69"/>
        <v>-9.5967258229546163E-3</v>
      </c>
    </row>
    <row r="839" spans="1:20" hidden="1" x14ac:dyDescent="0.25">
      <c r="A839" s="4" t="s">
        <v>812</v>
      </c>
      <c r="B839" s="5" t="s">
        <v>16</v>
      </c>
      <c r="C839" s="5" t="s">
        <v>1823</v>
      </c>
      <c r="D839" s="5">
        <v>66</v>
      </c>
      <c r="E839" s="5">
        <v>65.900000000000006</v>
      </c>
      <c r="F839" s="5">
        <v>65.900000000000006</v>
      </c>
      <c r="G839" s="5">
        <v>64</v>
      </c>
      <c r="H839" s="5">
        <v>64.099999999999994</v>
      </c>
      <c r="I839" s="5">
        <v>64.25</v>
      </c>
      <c r="J839" s="5">
        <v>64.67</v>
      </c>
      <c r="K839" s="5">
        <v>72666</v>
      </c>
      <c r="L839" s="5">
        <v>46.99</v>
      </c>
      <c r="M839" s="5">
        <v>1600</v>
      </c>
      <c r="N839" s="5">
        <v>55201</v>
      </c>
      <c r="O839" s="5">
        <v>75.97</v>
      </c>
      <c r="P839" s="5">
        <f t="shared" si="65"/>
        <v>-1.75</v>
      </c>
      <c r="Q839" s="6">
        <f t="shared" si="66"/>
        <v>-2.6515151515151516E-2</v>
      </c>
      <c r="R839" s="5">
        <f t="shared" si="67"/>
        <v>1.9000000000000057</v>
      </c>
      <c r="S839" s="6">
        <f t="shared" si="68"/>
        <v>2.8787878787878873E-2</v>
      </c>
      <c r="T839" s="6">
        <f t="shared" si="69"/>
        <v>-6.460296096904467E-3</v>
      </c>
    </row>
    <row r="840" spans="1:20" hidden="1" x14ac:dyDescent="0.25">
      <c r="A840" s="4" t="s">
        <v>813</v>
      </c>
      <c r="B840" s="5" t="s">
        <v>16</v>
      </c>
      <c r="C840" s="5" t="s">
        <v>1823</v>
      </c>
      <c r="D840" s="5">
        <v>25.85</v>
      </c>
      <c r="E840" s="5">
        <v>25.85</v>
      </c>
      <c r="F840" s="5">
        <v>26.7</v>
      </c>
      <c r="G840" s="5">
        <v>24.55</v>
      </c>
      <c r="H840" s="5">
        <v>25</v>
      </c>
      <c r="I840" s="5">
        <v>25.15</v>
      </c>
      <c r="J840" s="5">
        <v>25.37</v>
      </c>
      <c r="K840" s="5">
        <v>12093</v>
      </c>
      <c r="L840" s="5">
        <v>3.07</v>
      </c>
      <c r="M840" s="5">
        <v>158</v>
      </c>
      <c r="N840" s="5">
        <v>8957</v>
      </c>
      <c r="O840" s="5">
        <v>74.069999999999993</v>
      </c>
      <c r="P840" s="5">
        <f t="shared" si="65"/>
        <v>-0.70000000000000284</v>
      </c>
      <c r="Q840" s="6">
        <f t="shared" si="66"/>
        <v>-2.7079303675048464E-2</v>
      </c>
      <c r="R840" s="5">
        <f t="shared" si="67"/>
        <v>2.1499999999999986</v>
      </c>
      <c r="S840" s="6">
        <f t="shared" si="68"/>
        <v>8.3172147001934177E-2</v>
      </c>
      <c r="T840" s="6">
        <f t="shared" si="69"/>
        <v>-8.6063569682152535E-3</v>
      </c>
    </row>
    <row r="841" spans="1:20" hidden="1" x14ac:dyDescent="0.25">
      <c r="A841" s="4" t="s">
        <v>814</v>
      </c>
      <c r="B841" s="5" t="s">
        <v>16</v>
      </c>
      <c r="C841" s="5" t="s">
        <v>1823</v>
      </c>
      <c r="D841" s="5">
        <v>20.3</v>
      </c>
      <c r="E841" s="5">
        <v>19.45</v>
      </c>
      <c r="F841" s="5">
        <v>20.6</v>
      </c>
      <c r="G841" s="5">
        <v>19.3</v>
      </c>
      <c r="H841" s="5">
        <v>19.3</v>
      </c>
      <c r="I841" s="5">
        <v>19.3</v>
      </c>
      <c r="J841" s="5">
        <v>19.399999999999999</v>
      </c>
      <c r="K841" s="5">
        <v>4934</v>
      </c>
      <c r="L841" s="5">
        <v>0.96</v>
      </c>
      <c r="M841" s="5">
        <v>32</v>
      </c>
      <c r="N841" s="5">
        <v>4608</v>
      </c>
      <c r="O841" s="5">
        <v>93.39</v>
      </c>
      <c r="P841" s="5">
        <f t="shared" si="65"/>
        <v>-1</v>
      </c>
      <c r="Q841" s="6">
        <f t="shared" si="66"/>
        <v>-4.926108374384236E-2</v>
      </c>
      <c r="R841" s="5">
        <f t="shared" si="67"/>
        <v>1.3000000000000007</v>
      </c>
      <c r="S841" s="6">
        <f t="shared" si="68"/>
        <v>6.4039408866995107E-2</v>
      </c>
      <c r="T841" s="6">
        <f t="shared" si="69"/>
        <v>-5.085823267641342E-3</v>
      </c>
    </row>
    <row r="842" spans="1:20" x14ac:dyDescent="0.25">
      <c r="A842" s="4" t="s">
        <v>751</v>
      </c>
      <c r="B842" s="5" t="s">
        <v>16</v>
      </c>
      <c r="C842" s="5" t="s">
        <v>1823</v>
      </c>
      <c r="D842" s="5">
        <v>1857.9</v>
      </c>
      <c r="E842" s="5">
        <v>1880</v>
      </c>
      <c r="F842" s="5">
        <v>1970</v>
      </c>
      <c r="G842" s="5">
        <v>1843.1</v>
      </c>
      <c r="H842" s="5">
        <v>1860</v>
      </c>
      <c r="I842" s="5">
        <v>1875.45</v>
      </c>
      <c r="J842" s="5">
        <v>1914.77</v>
      </c>
      <c r="K842" s="5">
        <v>113431</v>
      </c>
      <c r="L842" s="5">
        <v>2171.9499999999998</v>
      </c>
      <c r="M842" s="5">
        <v>10964</v>
      </c>
      <c r="N842" s="5">
        <v>50887</v>
      </c>
      <c r="O842" s="5">
        <v>44.86</v>
      </c>
      <c r="P842" s="5">
        <f t="shared" si="65"/>
        <v>17.549999999999955</v>
      </c>
      <c r="Q842" s="6">
        <f t="shared" si="66"/>
        <v>9.4461488777651936E-3</v>
      </c>
      <c r="R842" s="5">
        <f t="shared" si="67"/>
        <v>126.90000000000009</v>
      </c>
      <c r="S842" s="6">
        <f t="shared" si="68"/>
        <v>6.830292265461009E-2</v>
      </c>
      <c r="T842" s="6">
        <f t="shared" si="69"/>
        <v>-2.0780730787270975E-2</v>
      </c>
    </row>
    <row r="843" spans="1:20" hidden="1" x14ac:dyDescent="0.25">
      <c r="A843" s="4" t="s">
        <v>1836</v>
      </c>
      <c r="B843" s="5" t="s">
        <v>24</v>
      </c>
      <c r="C843" s="5" t="s">
        <v>1823</v>
      </c>
      <c r="D843" s="5">
        <v>0.75</v>
      </c>
      <c r="E843" s="5">
        <v>0.75</v>
      </c>
      <c r="F843" s="5">
        <v>0.75</v>
      </c>
      <c r="G843" s="5">
        <v>0.75</v>
      </c>
      <c r="H843" s="5">
        <v>0.75</v>
      </c>
      <c r="I843" s="5">
        <v>0.75</v>
      </c>
      <c r="J843" s="5">
        <v>0.75</v>
      </c>
      <c r="K843" s="5">
        <v>402</v>
      </c>
      <c r="L843" s="5">
        <v>0</v>
      </c>
      <c r="M843" s="5">
        <v>2</v>
      </c>
      <c r="N843" s="5" t="s">
        <v>25</v>
      </c>
      <c r="O843" s="5" t="s">
        <v>25</v>
      </c>
      <c r="P843" s="5">
        <f t="shared" si="65"/>
        <v>0</v>
      </c>
      <c r="Q843" s="6">
        <f t="shared" si="66"/>
        <v>0</v>
      </c>
      <c r="R843" s="5">
        <f t="shared" si="67"/>
        <v>0</v>
      </c>
      <c r="S843" s="6">
        <f t="shared" si="68"/>
        <v>0</v>
      </c>
      <c r="T843" s="6">
        <f t="shared" si="69"/>
        <v>0</v>
      </c>
    </row>
    <row r="844" spans="1:20" x14ac:dyDescent="0.25">
      <c r="A844" s="4" t="s">
        <v>1423</v>
      </c>
      <c r="B844" s="5" t="s">
        <v>16</v>
      </c>
      <c r="C844" s="5" t="s">
        <v>1823</v>
      </c>
      <c r="D844" s="5">
        <v>84.15</v>
      </c>
      <c r="E844" s="5">
        <v>84.55</v>
      </c>
      <c r="F844" s="5">
        <v>84.55</v>
      </c>
      <c r="G844" s="5">
        <v>79.099999999999994</v>
      </c>
      <c r="H844" s="5">
        <v>79.099999999999994</v>
      </c>
      <c r="I844" s="5">
        <v>79.8</v>
      </c>
      <c r="J844" s="5">
        <v>81.11</v>
      </c>
      <c r="K844" s="5">
        <v>394326</v>
      </c>
      <c r="L844" s="5">
        <v>319.82</v>
      </c>
      <c r="M844" s="5">
        <v>1917</v>
      </c>
      <c r="N844" s="5">
        <v>177123</v>
      </c>
      <c r="O844" s="5">
        <v>44.92</v>
      </c>
      <c r="P844" s="5">
        <f t="shared" ref="P844:P907" si="70">I844-D844</f>
        <v>-4.3500000000000085</v>
      </c>
      <c r="Q844" s="6">
        <f t="shared" ref="Q844:Q907" si="71">P844/D844</f>
        <v>-5.1693404634581205E-2</v>
      </c>
      <c r="R844" s="5">
        <f t="shared" ref="R844:R907" si="72">ABS(F844-G844)</f>
        <v>5.4500000000000028</v>
      </c>
      <c r="S844" s="6">
        <f t="shared" ref="S844:S907" si="73">R844/D844</f>
        <v>6.4765300059417732E-2</v>
      </c>
      <c r="T844" s="6">
        <f t="shared" ref="T844:T907" si="74">(I844-J844)/AVERAGE(E844:G844,I844)</f>
        <v>-1.5975609756097589E-2</v>
      </c>
    </row>
    <row r="845" spans="1:20" hidden="1" x14ac:dyDescent="0.25">
      <c r="A845" s="4" t="s">
        <v>1837</v>
      </c>
      <c r="B845" s="5" t="s">
        <v>28</v>
      </c>
      <c r="C845" s="5" t="s">
        <v>1823</v>
      </c>
      <c r="D845" s="5">
        <v>102</v>
      </c>
      <c r="E845" s="5">
        <v>93.25</v>
      </c>
      <c r="F845" s="5">
        <v>93.25</v>
      </c>
      <c r="G845" s="5">
        <v>93.25</v>
      </c>
      <c r="H845" s="5">
        <v>93.25</v>
      </c>
      <c r="I845" s="5">
        <v>93.25</v>
      </c>
      <c r="J845" s="5">
        <v>93.25</v>
      </c>
      <c r="K845" s="5">
        <v>1200</v>
      </c>
      <c r="L845" s="5">
        <v>1.1200000000000001</v>
      </c>
      <c r="M845" s="5">
        <v>1</v>
      </c>
      <c r="N845" s="5">
        <v>1200</v>
      </c>
      <c r="O845" s="5">
        <v>100</v>
      </c>
      <c r="P845" s="5">
        <f t="shared" si="70"/>
        <v>-8.75</v>
      </c>
      <c r="Q845" s="6">
        <f t="shared" si="71"/>
        <v>-8.5784313725490197E-2</v>
      </c>
      <c r="R845" s="5">
        <f t="shared" si="72"/>
        <v>0</v>
      </c>
      <c r="S845" s="6">
        <f t="shared" si="73"/>
        <v>0</v>
      </c>
      <c r="T845" s="6">
        <f t="shared" si="74"/>
        <v>0</v>
      </c>
    </row>
    <row r="846" spans="1:20" x14ac:dyDescent="0.25">
      <c r="A846" s="4" t="s">
        <v>628</v>
      </c>
      <c r="B846" s="5" t="s">
        <v>16</v>
      </c>
      <c r="C846" s="5" t="s">
        <v>1823</v>
      </c>
      <c r="D846" s="5">
        <v>21</v>
      </c>
      <c r="E846" s="5">
        <v>21</v>
      </c>
      <c r="F846" s="5">
        <v>21.1</v>
      </c>
      <c r="G846" s="5">
        <v>19.100000000000001</v>
      </c>
      <c r="H846" s="5">
        <v>19.850000000000001</v>
      </c>
      <c r="I846" s="5">
        <v>19.850000000000001</v>
      </c>
      <c r="J846" s="5">
        <v>19.93</v>
      </c>
      <c r="K846" s="5">
        <v>277735</v>
      </c>
      <c r="L846" s="5">
        <v>55.36</v>
      </c>
      <c r="M846" s="5">
        <v>1356</v>
      </c>
      <c r="N846" s="5">
        <v>125150</v>
      </c>
      <c r="O846" s="5">
        <v>45.06</v>
      </c>
      <c r="P846" s="5">
        <f t="shared" si="70"/>
        <v>-1.1499999999999986</v>
      </c>
      <c r="Q846" s="6">
        <f t="shared" si="71"/>
        <v>-5.4761904761904692E-2</v>
      </c>
      <c r="R846" s="5">
        <f t="shared" si="72"/>
        <v>2</v>
      </c>
      <c r="S846" s="6">
        <f t="shared" si="73"/>
        <v>9.5238095238095233E-2</v>
      </c>
      <c r="T846" s="6">
        <f t="shared" si="74"/>
        <v>-3.9481801357186073E-3</v>
      </c>
    </row>
    <row r="847" spans="1:20" x14ac:dyDescent="0.25">
      <c r="A847" s="4" t="s">
        <v>231</v>
      </c>
      <c r="B847" s="5" t="s">
        <v>16</v>
      </c>
      <c r="C847" s="5" t="s">
        <v>1823</v>
      </c>
      <c r="D847" s="5">
        <v>460.2</v>
      </c>
      <c r="E847" s="5">
        <v>458.5</v>
      </c>
      <c r="F847" s="5">
        <v>459.1</v>
      </c>
      <c r="G847" s="5">
        <v>436.7</v>
      </c>
      <c r="H847" s="5">
        <v>439</v>
      </c>
      <c r="I847" s="5">
        <v>442.3</v>
      </c>
      <c r="J847" s="5">
        <v>443.67</v>
      </c>
      <c r="K847" s="5">
        <v>1587444</v>
      </c>
      <c r="L847" s="5">
        <v>7042.97</v>
      </c>
      <c r="M847" s="5">
        <v>40577</v>
      </c>
      <c r="N847" s="5">
        <v>722095</v>
      </c>
      <c r="O847" s="5">
        <v>45.49</v>
      </c>
      <c r="P847" s="5">
        <f t="shared" si="70"/>
        <v>-17.899999999999977</v>
      </c>
      <c r="Q847" s="6">
        <f t="shared" si="71"/>
        <v>-3.8896132116471048E-2</v>
      </c>
      <c r="R847" s="5">
        <f t="shared" si="72"/>
        <v>22.400000000000034</v>
      </c>
      <c r="S847" s="6">
        <f t="shared" si="73"/>
        <v>4.8674489352455531E-2</v>
      </c>
      <c r="T847" s="6">
        <f t="shared" si="74"/>
        <v>-3.0502059445619606E-3</v>
      </c>
    </row>
    <row r="848" spans="1:20" hidden="1" x14ac:dyDescent="0.25">
      <c r="A848" s="4" t="s">
        <v>819</v>
      </c>
      <c r="B848" s="5" t="s">
        <v>16</v>
      </c>
      <c r="C848" s="5" t="s">
        <v>1823</v>
      </c>
      <c r="D848" s="5">
        <v>4.8499999999999996</v>
      </c>
      <c r="E848" s="5">
        <v>5</v>
      </c>
      <c r="F848" s="5">
        <v>5</v>
      </c>
      <c r="G848" s="5">
        <v>4.7</v>
      </c>
      <c r="H848" s="5">
        <v>4.95</v>
      </c>
      <c r="I848" s="5">
        <v>4.9000000000000004</v>
      </c>
      <c r="J848" s="5">
        <v>4.82</v>
      </c>
      <c r="K848" s="5">
        <v>10312</v>
      </c>
      <c r="L848" s="5">
        <v>0.5</v>
      </c>
      <c r="M848" s="5">
        <v>63</v>
      </c>
      <c r="N848" s="5">
        <v>6962</v>
      </c>
      <c r="O848" s="5">
        <v>67.510000000000005</v>
      </c>
      <c r="P848" s="5">
        <f t="shared" si="70"/>
        <v>5.0000000000000711E-2</v>
      </c>
      <c r="Q848" s="6">
        <f t="shared" si="71"/>
        <v>1.0309278350515611E-2</v>
      </c>
      <c r="R848" s="5">
        <f t="shared" si="72"/>
        <v>0.29999999999999982</v>
      </c>
      <c r="S848" s="6">
        <f t="shared" si="73"/>
        <v>6.1855670103092751E-2</v>
      </c>
      <c r="T848" s="6">
        <f t="shared" si="74"/>
        <v>1.632653061224491E-2</v>
      </c>
    </row>
    <row r="849" spans="1:20" hidden="1" x14ac:dyDescent="0.25">
      <c r="A849" s="4" t="s">
        <v>820</v>
      </c>
      <c r="B849" s="5" t="s">
        <v>16</v>
      </c>
      <c r="C849" s="5" t="s">
        <v>1823</v>
      </c>
      <c r="D849" s="5">
        <v>54.05</v>
      </c>
      <c r="E849" s="5">
        <v>54</v>
      </c>
      <c r="F849" s="5">
        <v>54.75</v>
      </c>
      <c r="G849" s="5">
        <v>52.5</v>
      </c>
      <c r="H849" s="5">
        <v>53.8</v>
      </c>
      <c r="I849" s="5">
        <v>53.05</v>
      </c>
      <c r="J849" s="5">
        <v>53.62</v>
      </c>
      <c r="K849" s="5">
        <v>96200</v>
      </c>
      <c r="L849" s="5">
        <v>51.58</v>
      </c>
      <c r="M849" s="5">
        <v>1248</v>
      </c>
      <c r="N849" s="5">
        <v>17349</v>
      </c>
      <c r="O849" s="5">
        <v>18.03</v>
      </c>
      <c r="P849" s="5">
        <f t="shared" si="70"/>
        <v>-1</v>
      </c>
      <c r="Q849" s="6">
        <f t="shared" si="71"/>
        <v>-1.8501387604070305E-2</v>
      </c>
      <c r="R849" s="5">
        <f t="shared" si="72"/>
        <v>2.25</v>
      </c>
      <c r="S849" s="6">
        <f t="shared" si="73"/>
        <v>4.1628122109158186E-2</v>
      </c>
      <c r="T849" s="6">
        <f t="shared" si="74"/>
        <v>-1.0639290713952409E-2</v>
      </c>
    </row>
    <row r="850" spans="1:20" x14ac:dyDescent="0.25">
      <c r="A850" s="4" t="s">
        <v>1133</v>
      </c>
      <c r="B850" s="5" t="s">
        <v>16</v>
      </c>
      <c r="C850" s="5" t="s">
        <v>1823</v>
      </c>
      <c r="D850" s="5">
        <v>26.65</v>
      </c>
      <c r="E850" s="5">
        <v>26.75</v>
      </c>
      <c r="F850" s="5">
        <v>27.2</v>
      </c>
      <c r="G850" s="5">
        <v>25.8</v>
      </c>
      <c r="H850" s="5">
        <v>25.95</v>
      </c>
      <c r="I850" s="5">
        <v>26.15</v>
      </c>
      <c r="J850" s="5">
        <v>26.77</v>
      </c>
      <c r="K850" s="5">
        <v>1783789</v>
      </c>
      <c r="L850" s="5">
        <v>477.59</v>
      </c>
      <c r="M850" s="5">
        <v>4321</v>
      </c>
      <c r="N850" s="5">
        <v>817082</v>
      </c>
      <c r="O850" s="5">
        <v>45.81</v>
      </c>
      <c r="P850" s="5">
        <f t="shared" si="70"/>
        <v>-0.5</v>
      </c>
      <c r="Q850" s="6">
        <f t="shared" si="71"/>
        <v>-1.8761726078799251E-2</v>
      </c>
      <c r="R850" s="5">
        <f t="shared" si="72"/>
        <v>1.3999999999999986</v>
      </c>
      <c r="S850" s="6">
        <f t="shared" si="73"/>
        <v>5.2532833020637847E-2</v>
      </c>
      <c r="T850" s="6">
        <f t="shared" si="74"/>
        <v>-2.341831916902742E-2</v>
      </c>
    </row>
    <row r="851" spans="1:20" hidden="1" x14ac:dyDescent="0.25">
      <c r="A851" s="4" t="s">
        <v>822</v>
      </c>
      <c r="B851" s="5" t="s">
        <v>16</v>
      </c>
      <c r="C851" s="5" t="s">
        <v>1823</v>
      </c>
      <c r="D851" s="5">
        <v>8.75</v>
      </c>
      <c r="E851" s="5">
        <v>8.6999999999999993</v>
      </c>
      <c r="F851" s="5">
        <v>8.6999999999999993</v>
      </c>
      <c r="G851" s="5">
        <v>8.35</v>
      </c>
      <c r="H851" s="5">
        <v>8.35</v>
      </c>
      <c r="I851" s="5">
        <v>8.35</v>
      </c>
      <c r="J851" s="5">
        <v>8.35</v>
      </c>
      <c r="K851" s="5">
        <v>4872</v>
      </c>
      <c r="L851" s="5">
        <v>0.41</v>
      </c>
      <c r="M851" s="5">
        <v>31</v>
      </c>
      <c r="N851" s="5">
        <v>4872</v>
      </c>
      <c r="O851" s="5">
        <v>100</v>
      </c>
      <c r="P851" s="5">
        <f t="shared" si="70"/>
        <v>-0.40000000000000036</v>
      </c>
      <c r="Q851" s="6">
        <f t="shared" si="71"/>
        <v>-4.5714285714285756E-2</v>
      </c>
      <c r="R851" s="5">
        <f t="shared" si="72"/>
        <v>0.34999999999999964</v>
      </c>
      <c r="S851" s="6">
        <f t="shared" si="73"/>
        <v>3.9999999999999959E-2</v>
      </c>
      <c r="T851" s="6">
        <f t="shared" si="74"/>
        <v>0</v>
      </c>
    </row>
    <row r="852" spans="1:20" x14ac:dyDescent="0.25">
      <c r="A852" s="4" t="s">
        <v>994</v>
      </c>
      <c r="B852" s="5" t="s">
        <v>16</v>
      </c>
      <c r="C852" s="5" t="s">
        <v>1823</v>
      </c>
      <c r="D852" s="5">
        <v>174.45</v>
      </c>
      <c r="E852" s="5">
        <v>174.7</v>
      </c>
      <c r="F852" s="5">
        <v>175.85</v>
      </c>
      <c r="G852" s="5">
        <v>165.95</v>
      </c>
      <c r="H852" s="5">
        <v>170.55</v>
      </c>
      <c r="I852" s="5">
        <v>173.1</v>
      </c>
      <c r="J852" s="5">
        <v>170.51</v>
      </c>
      <c r="K852" s="5">
        <v>187230</v>
      </c>
      <c r="L852" s="5">
        <v>319.24</v>
      </c>
      <c r="M852" s="5">
        <v>6008</v>
      </c>
      <c r="N852" s="5">
        <v>85907</v>
      </c>
      <c r="O852" s="5">
        <v>45.88</v>
      </c>
      <c r="P852" s="5">
        <f t="shared" si="70"/>
        <v>-1.3499999999999943</v>
      </c>
      <c r="Q852" s="6">
        <f t="shared" si="71"/>
        <v>-7.738607050730836E-3</v>
      </c>
      <c r="R852" s="5">
        <f t="shared" si="72"/>
        <v>9.9000000000000057</v>
      </c>
      <c r="S852" s="6">
        <f t="shared" si="73"/>
        <v>5.6749785038693074E-2</v>
      </c>
      <c r="T852" s="6">
        <f t="shared" si="74"/>
        <v>1.5023201856148511E-2</v>
      </c>
    </row>
    <row r="853" spans="1:20" hidden="1" x14ac:dyDescent="0.25">
      <c r="A853" s="4" t="s">
        <v>824</v>
      </c>
      <c r="B853" s="5" t="s">
        <v>16</v>
      </c>
      <c r="C853" s="5" t="s">
        <v>1823</v>
      </c>
      <c r="D853" s="5">
        <v>1855.2</v>
      </c>
      <c r="E853" s="5">
        <v>1860</v>
      </c>
      <c r="F853" s="5">
        <v>1889.8</v>
      </c>
      <c r="G853" s="5">
        <v>1840</v>
      </c>
      <c r="H853" s="5">
        <v>1854</v>
      </c>
      <c r="I853" s="5">
        <v>1857.05</v>
      </c>
      <c r="J853" s="5">
        <v>1858.49</v>
      </c>
      <c r="K853" s="5">
        <v>3314</v>
      </c>
      <c r="L853" s="5">
        <v>61.59</v>
      </c>
      <c r="M853" s="5">
        <v>315</v>
      </c>
      <c r="N853" s="5">
        <v>2396</v>
      </c>
      <c r="O853" s="5">
        <v>72.3</v>
      </c>
      <c r="P853" s="5">
        <f t="shared" si="70"/>
        <v>1.8499999999999091</v>
      </c>
      <c r="Q853" s="6">
        <f t="shared" si="71"/>
        <v>9.9719706770154642E-4</v>
      </c>
      <c r="R853" s="5">
        <f t="shared" si="72"/>
        <v>49.799999999999955</v>
      </c>
      <c r="S853" s="6">
        <f t="shared" si="73"/>
        <v>2.6843467011642926E-2</v>
      </c>
      <c r="T853" s="6">
        <f t="shared" si="74"/>
        <v>-7.7348140488934494E-4</v>
      </c>
    </row>
    <row r="854" spans="1:20" hidden="1" x14ac:dyDescent="0.25">
      <c r="A854" s="4" t="s">
        <v>825</v>
      </c>
      <c r="B854" s="5" t="s">
        <v>24</v>
      </c>
      <c r="C854" s="5" t="s">
        <v>1823</v>
      </c>
      <c r="D854" s="5">
        <v>32.200000000000003</v>
      </c>
      <c r="E854" s="5">
        <v>32.950000000000003</v>
      </c>
      <c r="F854" s="5">
        <v>33.4</v>
      </c>
      <c r="G854" s="5">
        <v>30.7</v>
      </c>
      <c r="H854" s="5">
        <v>31.2</v>
      </c>
      <c r="I854" s="5">
        <v>31.5</v>
      </c>
      <c r="J854" s="5">
        <v>31.64</v>
      </c>
      <c r="K854" s="5">
        <v>61279</v>
      </c>
      <c r="L854" s="5">
        <v>19.39</v>
      </c>
      <c r="M854" s="5">
        <v>591</v>
      </c>
      <c r="N854" s="5" t="s">
        <v>25</v>
      </c>
      <c r="O854" s="5" t="s">
        <v>25</v>
      </c>
      <c r="P854" s="5">
        <f t="shared" si="70"/>
        <v>-0.70000000000000284</v>
      </c>
      <c r="Q854" s="6">
        <f t="shared" si="71"/>
        <v>-2.1739130434782695E-2</v>
      </c>
      <c r="R854" s="5">
        <f t="shared" si="72"/>
        <v>2.6999999999999993</v>
      </c>
      <c r="S854" s="6">
        <f t="shared" si="73"/>
        <v>8.3850931677018598E-2</v>
      </c>
      <c r="T854" s="6">
        <f t="shared" si="74"/>
        <v>-4.3562816024893215E-3</v>
      </c>
    </row>
    <row r="855" spans="1:20" hidden="1" x14ac:dyDescent="0.25">
      <c r="A855" s="4" t="s">
        <v>1838</v>
      </c>
      <c r="B855" s="5" t="s">
        <v>28</v>
      </c>
      <c r="C855" s="5" t="s">
        <v>1823</v>
      </c>
      <c r="D855" s="5">
        <v>21.65</v>
      </c>
      <c r="E855" s="5">
        <v>20.6</v>
      </c>
      <c r="F855" s="5">
        <v>20.6</v>
      </c>
      <c r="G855" s="5">
        <v>20.6</v>
      </c>
      <c r="H855" s="5">
        <v>20.6</v>
      </c>
      <c r="I855" s="5">
        <v>20.6</v>
      </c>
      <c r="J855" s="5">
        <v>20.6</v>
      </c>
      <c r="K855" s="5">
        <v>4000</v>
      </c>
      <c r="L855" s="5">
        <v>0.82</v>
      </c>
      <c r="M855" s="5">
        <v>1</v>
      </c>
      <c r="N855" s="5">
        <v>4000</v>
      </c>
      <c r="O855" s="5">
        <v>100</v>
      </c>
      <c r="P855" s="5">
        <f t="shared" si="70"/>
        <v>-1.0499999999999972</v>
      </c>
      <c r="Q855" s="6">
        <f t="shared" si="71"/>
        <v>-4.8498845265588786E-2</v>
      </c>
      <c r="R855" s="5">
        <f t="shared" si="72"/>
        <v>0</v>
      </c>
      <c r="S855" s="6">
        <f t="shared" si="73"/>
        <v>0</v>
      </c>
      <c r="T855" s="6">
        <f t="shared" si="74"/>
        <v>0</v>
      </c>
    </row>
    <row r="856" spans="1:20" hidden="1" x14ac:dyDescent="0.25">
      <c r="A856" s="4" t="s">
        <v>826</v>
      </c>
      <c r="B856" s="5" t="s">
        <v>16</v>
      </c>
      <c r="C856" s="5" t="s">
        <v>1823</v>
      </c>
      <c r="D856" s="5">
        <v>18.3</v>
      </c>
      <c r="E856" s="5">
        <v>18.2</v>
      </c>
      <c r="F856" s="5">
        <v>18.399999999999999</v>
      </c>
      <c r="G856" s="5">
        <v>17.600000000000001</v>
      </c>
      <c r="H856" s="5">
        <v>17.649999999999999</v>
      </c>
      <c r="I856" s="5">
        <v>17.8</v>
      </c>
      <c r="J856" s="5">
        <v>17.96</v>
      </c>
      <c r="K856" s="5">
        <v>32275</v>
      </c>
      <c r="L856" s="5">
        <v>5.8</v>
      </c>
      <c r="M856" s="5">
        <v>535</v>
      </c>
      <c r="N856" s="5">
        <v>23665</v>
      </c>
      <c r="O856" s="5">
        <v>73.319999999999993</v>
      </c>
      <c r="P856" s="5">
        <f t="shared" si="70"/>
        <v>-0.5</v>
      </c>
      <c r="Q856" s="6">
        <f t="shared" si="71"/>
        <v>-2.7322404371584699E-2</v>
      </c>
      <c r="R856" s="5">
        <f t="shared" si="72"/>
        <v>0.79999999999999716</v>
      </c>
      <c r="S856" s="6">
        <f t="shared" si="73"/>
        <v>4.3715846994535359E-2</v>
      </c>
      <c r="T856" s="6">
        <f t="shared" si="74"/>
        <v>-8.8888888888888976E-3</v>
      </c>
    </row>
    <row r="857" spans="1:20" hidden="1" x14ac:dyDescent="0.25">
      <c r="A857" s="4" t="s">
        <v>1839</v>
      </c>
      <c r="B857" s="5" t="s">
        <v>39</v>
      </c>
      <c r="C857" s="5" t="s">
        <v>1823</v>
      </c>
      <c r="D857" s="5">
        <v>0.4</v>
      </c>
      <c r="E857" s="5">
        <v>0.4</v>
      </c>
      <c r="F857" s="5">
        <v>0.4</v>
      </c>
      <c r="G857" s="5">
        <v>0.4</v>
      </c>
      <c r="H857" s="5">
        <v>0.4</v>
      </c>
      <c r="I857" s="5">
        <v>0.4</v>
      </c>
      <c r="J857" s="5">
        <v>0.4</v>
      </c>
      <c r="K857" s="5">
        <v>1</v>
      </c>
      <c r="L857" s="5">
        <v>0</v>
      </c>
      <c r="M857" s="5">
        <v>1</v>
      </c>
      <c r="N857" s="5" t="s">
        <v>25</v>
      </c>
      <c r="O857" s="5" t="s">
        <v>25</v>
      </c>
      <c r="P857" s="5">
        <f t="shared" si="70"/>
        <v>0</v>
      </c>
      <c r="Q857" s="6">
        <f t="shared" si="71"/>
        <v>0</v>
      </c>
      <c r="R857" s="5">
        <f t="shared" si="72"/>
        <v>0</v>
      </c>
      <c r="S857" s="6">
        <f t="shared" si="73"/>
        <v>0</v>
      </c>
      <c r="T857" s="6">
        <f t="shared" si="74"/>
        <v>0</v>
      </c>
    </row>
    <row r="858" spans="1:20" hidden="1" x14ac:dyDescent="0.25">
      <c r="A858" s="4" t="s">
        <v>827</v>
      </c>
      <c r="B858" s="5" t="s">
        <v>39</v>
      </c>
      <c r="C858" s="5" t="s">
        <v>1823</v>
      </c>
      <c r="D858" s="5">
        <v>16.850000000000001</v>
      </c>
      <c r="E858" s="5">
        <v>17.600000000000001</v>
      </c>
      <c r="F858" s="5">
        <v>17.649999999999999</v>
      </c>
      <c r="G858" s="5">
        <v>16.25</v>
      </c>
      <c r="H858" s="5">
        <v>16.5</v>
      </c>
      <c r="I858" s="5">
        <v>16.5</v>
      </c>
      <c r="J858" s="5">
        <v>16.98</v>
      </c>
      <c r="K858" s="5">
        <v>2931</v>
      </c>
      <c r="L858" s="5">
        <v>0.5</v>
      </c>
      <c r="M858" s="5">
        <v>23</v>
      </c>
      <c r="N858" s="5" t="s">
        <v>25</v>
      </c>
      <c r="O858" s="5" t="s">
        <v>25</v>
      </c>
      <c r="P858" s="5">
        <f t="shared" si="70"/>
        <v>-0.35000000000000142</v>
      </c>
      <c r="Q858" s="6">
        <f t="shared" si="71"/>
        <v>-2.0771513353115809E-2</v>
      </c>
      <c r="R858" s="5">
        <f t="shared" si="72"/>
        <v>1.3999999999999986</v>
      </c>
      <c r="S858" s="6">
        <f t="shared" si="73"/>
        <v>8.3086053412462821E-2</v>
      </c>
      <c r="T858" s="6">
        <f t="shared" si="74"/>
        <v>-2.8235294117647084E-2</v>
      </c>
    </row>
    <row r="859" spans="1:20" hidden="1" x14ac:dyDescent="0.25">
      <c r="A859" s="4" t="s">
        <v>828</v>
      </c>
      <c r="B859" s="5" t="s">
        <v>16</v>
      </c>
      <c r="C859" s="5" t="s">
        <v>1823</v>
      </c>
      <c r="D859" s="5">
        <v>242.9</v>
      </c>
      <c r="E859" s="5">
        <v>240.15</v>
      </c>
      <c r="F859" s="5">
        <v>245.5</v>
      </c>
      <c r="G859" s="5">
        <v>238.35</v>
      </c>
      <c r="H859" s="5">
        <v>240</v>
      </c>
      <c r="I859" s="5">
        <v>241.25</v>
      </c>
      <c r="J859" s="5">
        <v>242.21</v>
      </c>
      <c r="K859" s="5">
        <v>17005</v>
      </c>
      <c r="L859" s="5">
        <v>41.19</v>
      </c>
      <c r="M859" s="5">
        <v>1008</v>
      </c>
      <c r="N859" s="5">
        <v>7873</v>
      </c>
      <c r="O859" s="5">
        <v>46.3</v>
      </c>
      <c r="P859" s="5">
        <f t="shared" si="70"/>
        <v>-1.6500000000000057</v>
      </c>
      <c r="Q859" s="6">
        <f t="shared" si="71"/>
        <v>-6.7929188966653177E-3</v>
      </c>
      <c r="R859" s="5">
        <f t="shared" si="72"/>
        <v>7.1500000000000057</v>
      </c>
      <c r="S859" s="6">
        <f t="shared" si="73"/>
        <v>2.943598188554963E-2</v>
      </c>
      <c r="T859" s="6">
        <f t="shared" si="74"/>
        <v>-3.9782439782440112E-3</v>
      </c>
    </row>
    <row r="860" spans="1:20" x14ac:dyDescent="0.25">
      <c r="A860" s="4" t="s">
        <v>1784</v>
      </c>
      <c r="B860" s="5" t="s">
        <v>16</v>
      </c>
      <c r="C860" s="5" t="s">
        <v>1823</v>
      </c>
      <c r="D860" s="5">
        <v>101.75</v>
      </c>
      <c r="E860" s="5">
        <v>101.5</v>
      </c>
      <c r="F860" s="5">
        <v>102.3</v>
      </c>
      <c r="G860" s="5">
        <v>95.55</v>
      </c>
      <c r="H860" s="5">
        <v>95.8</v>
      </c>
      <c r="I860" s="5">
        <v>96.15</v>
      </c>
      <c r="J860" s="5">
        <v>98.15</v>
      </c>
      <c r="K860" s="5">
        <v>150646</v>
      </c>
      <c r="L860" s="5">
        <v>147.86000000000001</v>
      </c>
      <c r="M860" s="5">
        <v>3777</v>
      </c>
      <c r="N860" s="5">
        <v>69315</v>
      </c>
      <c r="O860" s="5">
        <v>46.01</v>
      </c>
      <c r="P860" s="5">
        <f t="shared" si="70"/>
        <v>-5.5999999999999943</v>
      </c>
      <c r="Q860" s="6">
        <f t="shared" si="71"/>
        <v>-5.503685503685498E-2</v>
      </c>
      <c r="R860" s="5">
        <f t="shared" si="72"/>
        <v>6.75</v>
      </c>
      <c r="S860" s="6">
        <f t="shared" si="73"/>
        <v>6.6339066339066333E-2</v>
      </c>
      <c r="T860" s="6">
        <f t="shared" si="74"/>
        <v>-2.0227560050568902E-2</v>
      </c>
    </row>
    <row r="861" spans="1:20" x14ac:dyDescent="0.25">
      <c r="A861" s="4" t="s">
        <v>1670</v>
      </c>
      <c r="B861" s="5" t="s">
        <v>16</v>
      </c>
      <c r="C861" s="5" t="s">
        <v>1823</v>
      </c>
      <c r="D861" s="5">
        <v>1292.6500000000001</v>
      </c>
      <c r="E861" s="5">
        <v>1296.1500000000001</v>
      </c>
      <c r="F861" s="5">
        <v>1314.9</v>
      </c>
      <c r="G861" s="5">
        <v>1262.8</v>
      </c>
      <c r="H861" s="5">
        <v>1266</v>
      </c>
      <c r="I861" s="5">
        <v>1268.9000000000001</v>
      </c>
      <c r="J861" s="5">
        <v>1281.5899999999999</v>
      </c>
      <c r="K861" s="5">
        <v>3928117</v>
      </c>
      <c r="L861" s="5">
        <v>50342.49</v>
      </c>
      <c r="M861" s="5">
        <v>131600</v>
      </c>
      <c r="N861" s="5">
        <v>1809805</v>
      </c>
      <c r="O861" s="5">
        <v>46.07</v>
      </c>
      <c r="P861" s="5">
        <f t="shared" si="70"/>
        <v>-23.75</v>
      </c>
      <c r="Q861" s="6">
        <f t="shared" si="71"/>
        <v>-1.8373109503732641E-2</v>
      </c>
      <c r="R861" s="5">
        <f t="shared" si="72"/>
        <v>52.100000000000136</v>
      </c>
      <c r="S861" s="6">
        <f t="shared" si="73"/>
        <v>4.0304800216609392E-2</v>
      </c>
      <c r="T861" s="6">
        <f t="shared" si="74"/>
        <v>-9.870205629283809E-3</v>
      </c>
    </row>
    <row r="862" spans="1:20" hidden="1" x14ac:dyDescent="0.25">
      <c r="A862" s="4" t="s">
        <v>831</v>
      </c>
      <c r="B862" s="5" t="s">
        <v>39</v>
      </c>
      <c r="C862" s="5" t="s">
        <v>1823</v>
      </c>
      <c r="D862" s="5">
        <v>2.4</v>
      </c>
      <c r="E862" s="5">
        <v>2.5</v>
      </c>
      <c r="F862" s="5">
        <v>2.5</v>
      </c>
      <c r="G862" s="5">
        <v>2.2999999999999998</v>
      </c>
      <c r="H862" s="5">
        <v>2.2999999999999998</v>
      </c>
      <c r="I862" s="5">
        <v>2.2999999999999998</v>
      </c>
      <c r="J862" s="5">
        <v>2.35</v>
      </c>
      <c r="K862" s="5">
        <v>12836</v>
      </c>
      <c r="L862" s="5">
        <v>0.3</v>
      </c>
      <c r="M862" s="5">
        <v>31</v>
      </c>
      <c r="N862" s="5" t="s">
        <v>25</v>
      </c>
      <c r="O862" s="5" t="s">
        <v>25</v>
      </c>
      <c r="P862" s="5">
        <f t="shared" si="70"/>
        <v>-0.10000000000000009</v>
      </c>
      <c r="Q862" s="6">
        <f t="shared" si="71"/>
        <v>-4.1666666666666706E-2</v>
      </c>
      <c r="R862" s="5">
        <f t="shared" si="72"/>
        <v>0.20000000000000018</v>
      </c>
      <c r="S862" s="6">
        <f t="shared" si="73"/>
        <v>8.3333333333333412E-2</v>
      </c>
      <c r="T862" s="6">
        <f t="shared" si="74"/>
        <v>-2.0833333333333447E-2</v>
      </c>
    </row>
    <row r="863" spans="1:20" hidden="1" x14ac:dyDescent="0.25">
      <c r="A863" s="4" t="s">
        <v>832</v>
      </c>
      <c r="B863" s="5" t="s">
        <v>16</v>
      </c>
      <c r="C863" s="5" t="s">
        <v>1823</v>
      </c>
      <c r="D863" s="5">
        <v>83.6</v>
      </c>
      <c r="E863" s="5">
        <v>83.1</v>
      </c>
      <c r="F863" s="5">
        <v>85.75</v>
      </c>
      <c r="G863" s="5">
        <v>81.55</v>
      </c>
      <c r="H863" s="5">
        <v>83</v>
      </c>
      <c r="I863" s="5">
        <v>83.8</v>
      </c>
      <c r="J863" s="5">
        <v>84.3</v>
      </c>
      <c r="K863" s="5">
        <v>4724</v>
      </c>
      <c r="L863" s="5">
        <v>3.98</v>
      </c>
      <c r="M863" s="5">
        <v>122</v>
      </c>
      <c r="N863" s="5">
        <v>2931</v>
      </c>
      <c r="O863" s="5">
        <v>62.04</v>
      </c>
      <c r="P863" s="5">
        <f t="shared" si="70"/>
        <v>0.20000000000000284</v>
      </c>
      <c r="Q863" s="6">
        <f t="shared" si="71"/>
        <v>2.3923444976076897E-3</v>
      </c>
      <c r="R863" s="5">
        <f t="shared" si="72"/>
        <v>4.2000000000000028</v>
      </c>
      <c r="S863" s="6">
        <f t="shared" si="73"/>
        <v>5.0239234449760806E-2</v>
      </c>
      <c r="T863" s="6">
        <f t="shared" si="74"/>
        <v>-5.9844404548174751E-3</v>
      </c>
    </row>
    <row r="864" spans="1:20" x14ac:dyDescent="0.25">
      <c r="A864" s="4" t="s">
        <v>37</v>
      </c>
      <c r="B864" s="5" t="s">
        <v>16</v>
      </c>
      <c r="C864" s="5" t="s">
        <v>1823</v>
      </c>
      <c r="D864" s="5">
        <v>211.45</v>
      </c>
      <c r="E864" s="5">
        <v>208.55</v>
      </c>
      <c r="F864" s="5">
        <v>213.65</v>
      </c>
      <c r="G864" s="5">
        <v>204.25</v>
      </c>
      <c r="H864" s="5">
        <v>213.05</v>
      </c>
      <c r="I864" s="5">
        <v>209.8</v>
      </c>
      <c r="J864" s="5">
        <v>207.95</v>
      </c>
      <c r="K864" s="5">
        <v>225326</v>
      </c>
      <c r="L864" s="5">
        <v>468.56</v>
      </c>
      <c r="M864" s="5">
        <v>4016</v>
      </c>
      <c r="N864" s="5">
        <v>104280</v>
      </c>
      <c r="O864" s="5">
        <v>46.28</v>
      </c>
      <c r="P864" s="5">
        <f t="shared" si="70"/>
        <v>-1.6499999999999773</v>
      </c>
      <c r="Q864" s="6">
        <f t="shared" si="71"/>
        <v>-7.8032631827854217E-3</v>
      </c>
      <c r="R864" s="5">
        <f t="shared" si="72"/>
        <v>9.4000000000000057</v>
      </c>
      <c r="S864" s="6">
        <f t="shared" si="73"/>
        <v>4.4454953889808496E-2</v>
      </c>
      <c r="T864" s="6">
        <f t="shared" si="74"/>
        <v>8.8490284005980167E-3</v>
      </c>
    </row>
    <row r="865" spans="1:20" hidden="1" x14ac:dyDescent="0.25">
      <c r="A865" s="4" t="s">
        <v>834</v>
      </c>
      <c r="B865" s="5" t="s">
        <v>16</v>
      </c>
      <c r="C865" s="5" t="s">
        <v>1823</v>
      </c>
      <c r="D865" s="5">
        <v>16.899999999999999</v>
      </c>
      <c r="E865" s="5">
        <v>16.899999999999999</v>
      </c>
      <c r="F865" s="5">
        <v>17.3</v>
      </c>
      <c r="G865" s="5">
        <v>16.2</v>
      </c>
      <c r="H865" s="5">
        <v>16.3</v>
      </c>
      <c r="I865" s="5">
        <v>16.3</v>
      </c>
      <c r="J865" s="5">
        <v>16.62</v>
      </c>
      <c r="K865" s="5">
        <v>6750</v>
      </c>
      <c r="L865" s="5">
        <v>1.1200000000000001</v>
      </c>
      <c r="M865" s="5">
        <v>63</v>
      </c>
      <c r="N865" s="5">
        <v>4386</v>
      </c>
      <c r="O865" s="5">
        <v>64.98</v>
      </c>
      <c r="P865" s="5">
        <f t="shared" si="70"/>
        <v>-0.59999999999999787</v>
      </c>
      <c r="Q865" s="6">
        <f t="shared" si="71"/>
        <v>-3.5502958579881533E-2</v>
      </c>
      <c r="R865" s="5">
        <f t="shared" si="72"/>
        <v>1.1000000000000014</v>
      </c>
      <c r="S865" s="6">
        <f t="shared" si="73"/>
        <v>6.5088757396449801E-2</v>
      </c>
      <c r="T865" s="6">
        <f t="shared" si="74"/>
        <v>-1.9190404797601215E-2</v>
      </c>
    </row>
    <row r="866" spans="1:20" x14ac:dyDescent="0.25">
      <c r="A866" s="4" t="s">
        <v>581</v>
      </c>
      <c r="B866" s="5" t="s">
        <v>16</v>
      </c>
      <c r="C866" s="5" t="s">
        <v>1823</v>
      </c>
      <c r="D866" s="5">
        <v>121</v>
      </c>
      <c r="E866" s="5">
        <v>121.75</v>
      </c>
      <c r="F866" s="5">
        <v>130.65</v>
      </c>
      <c r="G866" s="5">
        <v>121</v>
      </c>
      <c r="H866" s="5">
        <v>125</v>
      </c>
      <c r="I866" s="5">
        <v>125.25</v>
      </c>
      <c r="J866" s="5">
        <v>126.72</v>
      </c>
      <c r="K866" s="5">
        <v>155596</v>
      </c>
      <c r="L866" s="5">
        <v>197.17</v>
      </c>
      <c r="M866" s="5">
        <v>3749</v>
      </c>
      <c r="N866" s="5">
        <v>73028</v>
      </c>
      <c r="O866" s="5">
        <v>46.93</v>
      </c>
      <c r="P866" s="5">
        <f t="shared" si="70"/>
        <v>4.25</v>
      </c>
      <c r="Q866" s="6">
        <f t="shared" si="71"/>
        <v>3.5123966942148761E-2</v>
      </c>
      <c r="R866" s="5">
        <f t="shared" si="72"/>
        <v>9.6500000000000057</v>
      </c>
      <c r="S866" s="6">
        <f t="shared" si="73"/>
        <v>7.9752066115702527E-2</v>
      </c>
      <c r="T866" s="6">
        <f t="shared" si="74"/>
        <v>-1.1791837962498738E-2</v>
      </c>
    </row>
    <row r="867" spans="1:20" hidden="1" x14ac:dyDescent="0.25">
      <c r="A867" s="4" t="s">
        <v>836</v>
      </c>
      <c r="B867" s="5" t="s">
        <v>39</v>
      </c>
      <c r="C867" s="5" t="s">
        <v>1823</v>
      </c>
      <c r="D867" s="5">
        <v>7.7</v>
      </c>
      <c r="E867" s="5">
        <v>7.6</v>
      </c>
      <c r="F867" s="5">
        <v>8</v>
      </c>
      <c r="G867" s="5">
        <v>7.55</v>
      </c>
      <c r="H867" s="5">
        <v>7.55</v>
      </c>
      <c r="I867" s="5">
        <v>7.55</v>
      </c>
      <c r="J867" s="5">
        <v>7.63</v>
      </c>
      <c r="K867" s="5">
        <v>2535</v>
      </c>
      <c r="L867" s="5">
        <v>0.19</v>
      </c>
      <c r="M867" s="5">
        <v>16</v>
      </c>
      <c r="N867" s="5" t="s">
        <v>25</v>
      </c>
      <c r="O867" s="5" t="s">
        <v>25</v>
      </c>
      <c r="P867" s="5">
        <f t="shared" si="70"/>
        <v>-0.15000000000000036</v>
      </c>
      <c r="Q867" s="6">
        <f t="shared" si="71"/>
        <v>-1.9480519480519525E-2</v>
      </c>
      <c r="R867" s="5">
        <f t="shared" si="72"/>
        <v>0.45000000000000018</v>
      </c>
      <c r="S867" s="6">
        <f t="shared" si="73"/>
        <v>5.8441558441558461E-2</v>
      </c>
      <c r="T867" s="6">
        <f t="shared" si="74"/>
        <v>-1.0423452768729651E-2</v>
      </c>
    </row>
    <row r="868" spans="1:20" x14ac:dyDescent="0.25">
      <c r="A868" s="4" t="s">
        <v>1040</v>
      </c>
      <c r="B868" s="5" t="s">
        <v>16</v>
      </c>
      <c r="C868" s="5" t="s">
        <v>1823</v>
      </c>
      <c r="D868" s="5">
        <v>59.75</v>
      </c>
      <c r="E868" s="5">
        <v>59.65</v>
      </c>
      <c r="F868" s="5">
        <v>59.65</v>
      </c>
      <c r="G868" s="5">
        <v>56.7</v>
      </c>
      <c r="H868" s="5">
        <v>57.1</v>
      </c>
      <c r="I868" s="5">
        <v>57.1</v>
      </c>
      <c r="J868" s="5">
        <v>57.76</v>
      </c>
      <c r="K868" s="5">
        <v>545818</v>
      </c>
      <c r="L868" s="5">
        <v>315.29000000000002</v>
      </c>
      <c r="M868" s="5">
        <v>3316</v>
      </c>
      <c r="N868" s="5">
        <v>256789</v>
      </c>
      <c r="O868" s="5">
        <v>47.05</v>
      </c>
      <c r="P868" s="5">
        <f t="shared" si="70"/>
        <v>-2.6499999999999986</v>
      </c>
      <c r="Q868" s="6">
        <f t="shared" si="71"/>
        <v>-4.4351464435146419E-2</v>
      </c>
      <c r="R868" s="5">
        <f t="shared" si="72"/>
        <v>2.9499999999999957</v>
      </c>
      <c r="S868" s="6">
        <f t="shared" si="73"/>
        <v>4.9372384937238424E-2</v>
      </c>
      <c r="T868" s="6">
        <f t="shared" si="74"/>
        <v>-1.1325611325611268E-2</v>
      </c>
    </row>
    <row r="869" spans="1:20" x14ac:dyDescent="0.25">
      <c r="A869" s="4" t="s">
        <v>36</v>
      </c>
      <c r="B869" s="5" t="s">
        <v>16</v>
      </c>
      <c r="C869" s="5" t="s">
        <v>1823</v>
      </c>
      <c r="D869" s="5">
        <v>90.85</v>
      </c>
      <c r="E869" s="5">
        <v>90.45</v>
      </c>
      <c r="F869" s="5">
        <v>93.4</v>
      </c>
      <c r="G869" s="5">
        <v>88.9</v>
      </c>
      <c r="H869" s="5">
        <v>92.4</v>
      </c>
      <c r="I869" s="5">
        <v>92.55</v>
      </c>
      <c r="J869" s="5">
        <v>91.75</v>
      </c>
      <c r="K869" s="5">
        <v>2408272</v>
      </c>
      <c r="L869" s="5">
        <v>2209.5700000000002</v>
      </c>
      <c r="M869" s="5">
        <v>24061</v>
      </c>
      <c r="N869" s="5">
        <v>1135326</v>
      </c>
      <c r="O869" s="5">
        <v>47.14</v>
      </c>
      <c r="P869" s="5">
        <f t="shared" si="70"/>
        <v>1.7000000000000028</v>
      </c>
      <c r="Q869" s="6">
        <f t="shared" si="71"/>
        <v>1.8712162905888861E-2</v>
      </c>
      <c r="R869" s="5">
        <f t="shared" si="72"/>
        <v>4.5</v>
      </c>
      <c r="S869" s="6">
        <f t="shared" si="73"/>
        <v>4.9532195927352779E-2</v>
      </c>
      <c r="T869" s="6">
        <f t="shared" si="74"/>
        <v>8.7599233506706498E-3</v>
      </c>
    </row>
    <row r="870" spans="1:20" x14ac:dyDescent="0.25">
      <c r="A870" s="4" t="s">
        <v>1527</v>
      </c>
      <c r="B870" s="5" t="s">
        <v>16</v>
      </c>
      <c r="C870" s="5" t="s">
        <v>1823</v>
      </c>
      <c r="D870" s="5">
        <v>130.44999999999999</v>
      </c>
      <c r="E870" s="5">
        <v>133</v>
      </c>
      <c r="F870" s="5">
        <v>134.30000000000001</v>
      </c>
      <c r="G870" s="5">
        <v>128.15</v>
      </c>
      <c r="H870" s="5">
        <v>128.69999999999999</v>
      </c>
      <c r="I870" s="5">
        <v>129.19999999999999</v>
      </c>
      <c r="J870" s="5">
        <v>131.84</v>
      </c>
      <c r="K870" s="5">
        <v>3761173</v>
      </c>
      <c r="L870" s="5">
        <v>4958.6099999999997</v>
      </c>
      <c r="M870" s="5">
        <v>51332</v>
      </c>
      <c r="N870" s="5">
        <v>1773213</v>
      </c>
      <c r="O870" s="5">
        <v>47.15</v>
      </c>
      <c r="P870" s="5">
        <f t="shared" si="70"/>
        <v>-1.25</v>
      </c>
      <c r="Q870" s="6">
        <f t="shared" si="71"/>
        <v>-9.582215408202378E-3</v>
      </c>
      <c r="R870" s="5">
        <f t="shared" si="72"/>
        <v>6.1500000000000057</v>
      </c>
      <c r="S870" s="6">
        <f t="shared" si="73"/>
        <v>4.7144499808355743E-2</v>
      </c>
      <c r="T870" s="6">
        <f t="shared" si="74"/>
        <v>-2.012770418374165E-2</v>
      </c>
    </row>
    <row r="871" spans="1:20" hidden="1" x14ac:dyDescent="0.25">
      <c r="A871" s="4" t="s">
        <v>840</v>
      </c>
      <c r="B871" s="5" t="s">
        <v>16</v>
      </c>
      <c r="C871" s="5" t="s">
        <v>1823</v>
      </c>
      <c r="D871" s="5">
        <v>326.2</v>
      </c>
      <c r="E871" s="5">
        <v>322.7</v>
      </c>
      <c r="F871" s="5">
        <v>326.75</v>
      </c>
      <c r="G871" s="5">
        <v>320</v>
      </c>
      <c r="H871" s="5">
        <v>321</v>
      </c>
      <c r="I871" s="5">
        <v>322.35000000000002</v>
      </c>
      <c r="J871" s="5">
        <v>322.37</v>
      </c>
      <c r="K871" s="5">
        <v>84023</v>
      </c>
      <c r="L871" s="5">
        <v>270.87</v>
      </c>
      <c r="M871" s="5">
        <v>1904</v>
      </c>
      <c r="N871" s="5">
        <v>75916</v>
      </c>
      <c r="O871" s="5">
        <v>90.35</v>
      </c>
      <c r="P871" s="5">
        <f t="shared" si="70"/>
        <v>-3.8499999999999659</v>
      </c>
      <c r="Q871" s="6">
        <f t="shared" si="71"/>
        <v>-1.1802575107296032E-2</v>
      </c>
      <c r="R871" s="5">
        <f t="shared" si="72"/>
        <v>6.75</v>
      </c>
      <c r="S871" s="6">
        <f t="shared" si="73"/>
        <v>2.0692826486817903E-2</v>
      </c>
      <c r="T871" s="6">
        <f t="shared" si="74"/>
        <v>-6.1929091190530451E-5</v>
      </c>
    </row>
    <row r="872" spans="1:20" x14ac:dyDescent="0.25">
      <c r="A872" s="4" t="s">
        <v>829</v>
      </c>
      <c r="B872" s="5" t="s">
        <v>16</v>
      </c>
      <c r="C872" s="5" t="s">
        <v>1823</v>
      </c>
      <c r="D872" s="5">
        <v>84.7</v>
      </c>
      <c r="E872" s="5">
        <v>84.5</v>
      </c>
      <c r="F872" s="5">
        <v>85.4</v>
      </c>
      <c r="G872" s="5">
        <v>81.5</v>
      </c>
      <c r="H872" s="5">
        <v>81.5</v>
      </c>
      <c r="I872" s="5">
        <v>81.95</v>
      </c>
      <c r="J872" s="5">
        <v>83.29</v>
      </c>
      <c r="K872" s="5">
        <v>419159</v>
      </c>
      <c r="L872" s="5">
        <v>349.12</v>
      </c>
      <c r="M872" s="5">
        <v>3667</v>
      </c>
      <c r="N872" s="5">
        <v>198700</v>
      </c>
      <c r="O872" s="5">
        <v>47.4</v>
      </c>
      <c r="P872" s="5">
        <f t="shared" si="70"/>
        <v>-2.75</v>
      </c>
      <c r="Q872" s="6">
        <f t="shared" si="71"/>
        <v>-3.2467532467532464E-2</v>
      </c>
      <c r="R872" s="5">
        <f t="shared" si="72"/>
        <v>3.9000000000000057</v>
      </c>
      <c r="S872" s="6">
        <f t="shared" si="73"/>
        <v>4.6044864226682476E-2</v>
      </c>
      <c r="T872" s="6">
        <f t="shared" si="74"/>
        <v>-1.6079196040198029E-2</v>
      </c>
    </row>
    <row r="873" spans="1:20" x14ac:dyDescent="0.25">
      <c r="A873" s="4" t="s">
        <v>1681</v>
      </c>
      <c r="B873" s="5" t="s">
        <v>16</v>
      </c>
      <c r="C873" s="5" t="s">
        <v>1823</v>
      </c>
      <c r="D873" s="5">
        <v>110.35</v>
      </c>
      <c r="E873" s="5">
        <v>116.3</v>
      </c>
      <c r="F873" s="5">
        <v>117.4</v>
      </c>
      <c r="G873" s="5">
        <v>109.2</v>
      </c>
      <c r="H873" s="5">
        <v>109.7</v>
      </c>
      <c r="I873" s="5">
        <v>110.4</v>
      </c>
      <c r="J873" s="5">
        <v>113.25</v>
      </c>
      <c r="K873" s="5">
        <v>149525</v>
      </c>
      <c r="L873" s="5">
        <v>169.34</v>
      </c>
      <c r="M873" s="5">
        <v>2288</v>
      </c>
      <c r="N873" s="5">
        <v>70899</v>
      </c>
      <c r="O873" s="5">
        <v>47.42</v>
      </c>
      <c r="P873" s="5">
        <f t="shared" si="70"/>
        <v>5.0000000000011369E-2</v>
      </c>
      <c r="Q873" s="6">
        <f t="shared" si="71"/>
        <v>4.5310376076131739E-4</v>
      </c>
      <c r="R873" s="5">
        <f t="shared" si="72"/>
        <v>8.2000000000000028</v>
      </c>
      <c r="S873" s="6">
        <f t="shared" si="73"/>
        <v>7.4309016764839184E-2</v>
      </c>
      <c r="T873" s="6">
        <f t="shared" si="74"/>
        <v>-2.5148908007941714E-2</v>
      </c>
    </row>
    <row r="874" spans="1:20" hidden="1" x14ac:dyDescent="0.25">
      <c r="A874" s="4" t="s">
        <v>843</v>
      </c>
      <c r="B874" s="5" t="s">
        <v>16</v>
      </c>
      <c r="C874" s="5" t="s">
        <v>1823</v>
      </c>
      <c r="D874" s="5">
        <v>25.5</v>
      </c>
      <c r="E874" s="5">
        <v>24</v>
      </c>
      <c r="F874" s="5">
        <v>27.3</v>
      </c>
      <c r="G874" s="5">
        <v>24</v>
      </c>
      <c r="H874" s="5">
        <v>25</v>
      </c>
      <c r="I874" s="5">
        <v>25</v>
      </c>
      <c r="J874" s="5">
        <v>24.62</v>
      </c>
      <c r="K874" s="5">
        <v>6412</v>
      </c>
      <c r="L874" s="5">
        <v>1.58</v>
      </c>
      <c r="M874" s="5">
        <v>46</v>
      </c>
      <c r="N874" s="5">
        <v>5702</v>
      </c>
      <c r="O874" s="5">
        <v>88.93</v>
      </c>
      <c r="P874" s="5">
        <f t="shared" si="70"/>
        <v>-0.5</v>
      </c>
      <c r="Q874" s="6">
        <f t="shared" si="71"/>
        <v>-1.9607843137254902E-2</v>
      </c>
      <c r="R874" s="5">
        <f t="shared" si="72"/>
        <v>3.3000000000000007</v>
      </c>
      <c r="S874" s="6">
        <f t="shared" si="73"/>
        <v>0.12941176470588239</v>
      </c>
      <c r="T874" s="6">
        <f t="shared" si="74"/>
        <v>1.5154536390827478E-2</v>
      </c>
    </row>
    <row r="875" spans="1:20" hidden="1" x14ac:dyDescent="0.25">
      <c r="A875" s="4" t="s">
        <v>844</v>
      </c>
      <c r="B875" s="5" t="s">
        <v>16</v>
      </c>
      <c r="C875" s="5" t="s">
        <v>1823</v>
      </c>
      <c r="D875" s="5">
        <v>118.5</v>
      </c>
      <c r="E875" s="5">
        <v>119.9</v>
      </c>
      <c r="F875" s="5">
        <v>119.9</v>
      </c>
      <c r="G875" s="5">
        <v>116.1</v>
      </c>
      <c r="H875" s="5">
        <v>118.5</v>
      </c>
      <c r="I875" s="5">
        <v>118.05</v>
      </c>
      <c r="J875" s="5">
        <v>117.45</v>
      </c>
      <c r="K875" s="5">
        <v>26273</v>
      </c>
      <c r="L875" s="5">
        <v>30.86</v>
      </c>
      <c r="M875" s="5">
        <v>610</v>
      </c>
      <c r="N875" s="5">
        <v>15062</v>
      </c>
      <c r="O875" s="5">
        <v>57.33</v>
      </c>
      <c r="P875" s="5">
        <f t="shared" si="70"/>
        <v>-0.45000000000000284</v>
      </c>
      <c r="Q875" s="6">
        <f t="shared" si="71"/>
        <v>-3.7974683544304039E-3</v>
      </c>
      <c r="R875" s="5">
        <f t="shared" si="72"/>
        <v>3.8000000000000114</v>
      </c>
      <c r="S875" s="6">
        <f t="shared" si="73"/>
        <v>3.2067510548523304E-2</v>
      </c>
      <c r="T875" s="6">
        <f t="shared" si="74"/>
        <v>5.0638252980271699E-3</v>
      </c>
    </row>
    <row r="876" spans="1:20" hidden="1" x14ac:dyDescent="0.25">
      <c r="A876" s="4" t="s">
        <v>845</v>
      </c>
      <c r="B876" s="5" t="s">
        <v>16</v>
      </c>
      <c r="C876" s="5" t="s">
        <v>1823</v>
      </c>
      <c r="D876" s="5">
        <v>83.4</v>
      </c>
      <c r="E876" s="5">
        <v>83</v>
      </c>
      <c r="F876" s="5">
        <v>83.45</v>
      </c>
      <c r="G876" s="5">
        <v>81</v>
      </c>
      <c r="H876" s="5">
        <v>83</v>
      </c>
      <c r="I876" s="5">
        <v>82.5</v>
      </c>
      <c r="J876" s="5">
        <v>82.42</v>
      </c>
      <c r="K876" s="5">
        <v>371932</v>
      </c>
      <c r="L876" s="5">
        <v>306.56</v>
      </c>
      <c r="M876" s="5">
        <v>13192</v>
      </c>
      <c r="N876" s="5">
        <v>239262</v>
      </c>
      <c r="O876" s="5">
        <v>64.33</v>
      </c>
      <c r="P876" s="5">
        <f t="shared" si="70"/>
        <v>-0.90000000000000568</v>
      </c>
      <c r="Q876" s="6">
        <f t="shared" si="71"/>
        <v>-1.0791366906474888E-2</v>
      </c>
      <c r="R876" s="5">
        <f t="shared" si="72"/>
        <v>2.4500000000000028</v>
      </c>
      <c r="S876" s="6">
        <f t="shared" si="73"/>
        <v>2.9376498800959265E-2</v>
      </c>
      <c r="T876" s="6">
        <f t="shared" si="74"/>
        <v>9.6984391574478921E-4</v>
      </c>
    </row>
    <row r="877" spans="1:20" hidden="1" x14ac:dyDescent="0.25">
      <c r="A877" s="4" t="s">
        <v>846</v>
      </c>
      <c r="B877" s="5" t="s">
        <v>16</v>
      </c>
      <c r="C877" s="5" t="s">
        <v>1823</v>
      </c>
      <c r="D877" s="5">
        <v>1.3</v>
      </c>
      <c r="E877" s="5">
        <v>1.3</v>
      </c>
      <c r="F877" s="5">
        <v>1.3</v>
      </c>
      <c r="G877" s="5">
        <v>1.25</v>
      </c>
      <c r="H877" s="5">
        <v>1.25</v>
      </c>
      <c r="I877" s="5">
        <v>1.25</v>
      </c>
      <c r="J877" s="5">
        <v>1.25</v>
      </c>
      <c r="K877" s="5">
        <v>39532</v>
      </c>
      <c r="L877" s="5">
        <v>0.5</v>
      </c>
      <c r="M877" s="5">
        <v>45</v>
      </c>
      <c r="N877" s="5">
        <v>39432</v>
      </c>
      <c r="O877" s="5">
        <v>99.75</v>
      </c>
      <c r="P877" s="5">
        <f t="shared" si="70"/>
        <v>-5.0000000000000044E-2</v>
      </c>
      <c r="Q877" s="6">
        <f t="shared" si="71"/>
        <v>-3.8461538461538491E-2</v>
      </c>
      <c r="R877" s="5">
        <f t="shared" si="72"/>
        <v>5.0000000000000044E-2</v>
      </c>
      <c r="S877" s="6">
        <f t="shared" si="73"/>
        <v>3.8461538461538491E-2</v>
      </c>
      <c r="T877" s="6">
        <f t="shared" si="74"/>
        <v>0</v>
      </c>
    </row>
    <row r="878" spans="1:20" hidden="1" x14ac:dyDescent="0.25">
      <c r="A878" s="4" t="s">
        <v>1840</v>
      </c>
      <c r="B878" s="5" t="s">
        <v>700</v>
      </c>
      <c r="C878" s="5" t="s">
        <v>1823</v>
      </c>
      <c r="D878" s="5">
        <v>1047</v>
      </c>
      <c r="E878" s="5">
        <v>951</v>
      </c>
      <c r="F878" s="5">
        <v>951</v>
      </c>
      <c r="G878" s="5">
        <v>951</v>
      </c>
      <c r="H878" s="5">
        <v>951</v>
      </c>
      <c r="I878" s="5">
        <v>951</v>
      </c>
      <c r="J878" s="5">
        <v>951</v>
      </c>
      <c r="K878" s="5">
        <v>537</v>
      </c>
      <c r="L878" s="5">
        <v>5.1100000000000003</v>
      </c>
      <c r="M878" s="5">
        <v>2</v>
      </c>
      <c r="N878" s="5">
        <v>537</v>
      </c>
      <c r="O878" s="5">
        <v>100</v>
      </c>
      <c r="P878" s="5">
        <f t="shared" si="70"/>
        <v>-96</v>
      </c>
      <c r="Q878" s="6">
        <f t="shared" si="71"/>
        <v>-9.1690544412607447E-2</v>
      </c>
      <c r="R878" s="5">
        <f t="shared" si="72"/>
        <v>0</v>
      </c>
      <c r="S878" s="6">
        <f t="shared" si="73"/>
        <v>0</v>
      </c>
      <c r="T878" s="6">
        <f t="shared" si="74"/>
        <v>0</v>
      </c>
    </row>
    <row r="879" spans="1:20" hidden="1" x14ac:dyDescent="0.25">
      <c r="A879" s="4" t="s">
        <v>847</v>
      </c>
      <c r="B879" s="5" t="s">
        <v>16</v>
      </c>
      <c r="C879" s="5" t="s">
        <v>1823</v>
      </c>
      <c r="D879" s="5">
        <v>86.25</v>
      </c>
      <c r="E879" s="5">
        <v>85</v>
      </c>
      <c r="F879" s="5">
        <v>94</v>
      </c>
      <c r="G879" s="5">
        <v>82</v>
      </c>
      <c r="H879" s="5">
        <v>91.75</v>
      </c>
      <c r="I879" s="5">
        <v>91.35</v>
      </c>
      <c r="J879" s="5">
        <v>88.29</v>
      </c>
      <c r="K879" s="5">
        <v>682</v>
      </c>
      <c r="L879" s="5">
        <v>0.6</v>
      </c>
      <c r="M879" s="5">
        <v>51</v>
      </c>
      <c r="N879" s="5">
        <v>507</v>
      </c>
      <c r="O879" s="5">
        <v>74.34</v>
      </c>
      <c r="P879" s="5">
        <f t="shared" si="70"/>
        <v>5.0999999999999943</v>
      </c>
      <c r="Q879" s="6">
        <f t="shared" si="71"/>
        <v>5.9130434782608626E-2</v>
      </c>
      <c r="R879" s="5">
        <f t="shared" si="72"/>
        <v>12</v>
      </c>
      <c r="S879" s="6">
        <f t="shared" si="73"/>
        <v>0.1391304347826087</v>
      </c>
      <c r="T879" s="6">
        <f t="shared" si="74"/>
        <v>3.4738186462324253E-2</v>
      </c>
    </row>
    <row r="880" spans="1:20" hidden="1" x14ac:dyDescent="0.25">
      <c r="A880" s="4" t="s">
        <v>848</v>
      </c>
      <c r="B880" s="5" t="s">
        <v>16</v>
      </c>
      <c r="C880" s="5" t="s">
        <v>1823</v>
      </c>
      <c r="D880" s="5">
        <v>2.15</v>
      </c>
      <c r="E880" s="5">
        <v>2.15</v>
      </c>
      <c r="F880" s="5">
        <v>2.15</v>
      </c>
      <c r="G880" s="5">
        <v>2</v>
      </c>
      <c r="H880" s="5">
        <v>2.1</v>
      </c>
      <c r="I880" s="5">
        <v>2.0499999999999998</v>
      </c>
      <c r="J880" s="5">
        <v>2.0699999999999998</v>
      </c>
      <c r="K880" s="5">
        <v>5977376</v>
      </c>
      <c r="L880" s="5">
        <v>123.61</v>
      </c>
      <c r="M880" s="5">
        <v>2502</v>
      </c>
      <c r="N880" s="5">
        <v>4040452</v>
      </c>
      <c r="O880" s="5">
        <v>67.599999999999994</v>
      </c>
      <c r="P880" s="5">
        <f t="shared" si="70"/>
        <v>-0.10000000000000009</v>
      </c>
      <c r="Q880" s="6">
        <f t="shared" si="71"/>
        <v>-4.6511627906976785E-2</v>
      </c>
      <c r="R880" s="5">
        <f t="shared" si="72"/>
        <v>0.14999999999999991</v>
      </c>
      <c r="S880" s="6">
        <f t="shared" si="73"/>
        <v>6.9767441860465074E-2</v>
      </c>
      <c r="T880" s="6">
        <f t="shared" si="74"/>
        <v>-9.580838323353302E-3</v>
      </c>
    </row>
    <row r="881" spans="1:20" hidden="1" x14ac:dyDescent="0.25">
      <c r="A881" s="4" t="s">
        <v>849</v>
      </c>
      <c r="B881" s="5" t="s">
        <v>16</v>
      </c>
      <c r="C881" s="5" t="s">
        <v>1823</v>
      </c>
      <c r="D881" s="5">
        <v>1.25</v>
      </c>
      <c r="E881" s="5">
        <v>1.25</v>
      </c>
      <c r="F881" s="5">
        <v>1.3</v>
      </c>
      <c r="G881" s="5">
        <v>1.2</v>
      </c>
      <c r="H881" s="5">
        <v>1.3</v>
      </c>
      <c r="I881" s="5">
        <v>1.3</v>
      </c>
      <c r="J881" s="5">
        <v>1.26</v>
      </c>
      <c r="K881" s="5">
        <v>840056</v>
      </c>
      <c r="L881" s="5">
        <v>10.59</v>
      </c>
      <c r="M881" s="5">
        <v>219</v>
      </c>
      <c r="N881" s="5">
        <v>502685</v>
      </c>
      <c r="O881" s="5">
        <v>59.84</v>
      </c>
      <c r="P881" s="5">
        <f t="shared" si="70"/>
        <v>5.0000000000000044E-2</v>
      </c>
      <c r="Q881" s="6">
        <f t="shared" si="71"/>
        <v>4.0000000000000036E-2</v>
      </c>
      <c r="R881" s="5">
        <f t="shared" si="72"/>
        <v>0.10000000000000009</v>
      </c>
      <c r="S881" s="6">
        <f t="shared" si="73"/>
        <v>8.0000000000000071E-2</v>
      </c>
      <c r="T881" s="6">
        <f t="shared" si="74"/>
        <v>3.1683168316831711E-2</v>
      </c>
    </row>
    <row r="882" spans="1:20" hidden="1" x14ac:dyDescent="0.25">
      <c r="A882" s="4" t="s">
        <v>850</v>
      </c>
      <c r="B882" s="5" t="s">
        <v>16</v>
      </c>
      <c r="C882" s="5" t="s">
        <v>1823</v>
      </c>
      <c r="D882" s="5">
        <v>17.2</v>
      </c>
      <c r="E882" s="5">
        <v>17.2</v>
      </c>
      <c r="F882" s="5">
        <v>17.2</v>
      </c>
      <c r="G882" s="5">
        <v>16.350000000000001</v>
      </c>
      <c r="H882" s="5">
        <v>16.850000000000001</v>
      </c>
      <c r="I882" s="5">
        <v>16.850000000000001</v>
      </c>
      <c r="J882" s="5">
        <v>16.739999999999998</v>
      </c>
      <c r="K882" s="5">
        <v>30</v>
      </c>
      <c r="L882" s="5">
        <v>0.01</v>
      </c>
      <c r="M882" s="5">
        <v>7</v>
      </c>
      <c r="N882" s="5">
        <v>24</v>
      </c>
      <c r="O882" s="5">
        <v>80</v>
      </c>
      <c r="P882" s="5">
        <f t="shared" si="70"/>
        <v>-0.34999999999999787</v>
      </c>
      <c r="Q882" s="6">
        <f t="shared" si="71"/>
        <v>-2.0348837209302202E-2</v>
      </c>
      <c r="R882" s="5">
        <f t="shared" si="72"/>
        <v>0.84999999999999787</v>
      </c>
      <c r="S882" s="6">
        <f t="shared" si="73"/>
        <v>4.941860465116267E-2</v>
      </c>
      <c r="T882" s="6">
        <f t="shared" si="74"/>
        <v>6.5088757396451471E-3</v>
      </c>
    </row>
    <row r="883" spans="1:20" hidden="1" x14ac:dyDescent="0.25">
      <c r="A883" s="4" t="s">
        <v>851</v>
      </c>
      <c r="B883" s="5" t="s">
        <v>16</v>
      </c>
      <c r="C883" s="5" t="s">
        <v>1823</v>
      </c>
      <c r="D883" s="5">
        <v>1.75</v>
      </c>
      <c r="E883" s="5">
        <v>1.75</v>
      </c>
      <c r="F883" s="5">
        <v>1.8</v>
      </c>
      <c r="G883" s="5">
        <v>1.7</v>
      </c>
      <c r="H883" s="5">
        <v>1.7</v>
      </c>
      <c r="I883" s="5">
        <v>1.7</v>
      </c>
      <c r="J883" s="5">
        <v>1.74</v>
      </c>
      <c r="K883" s="5">
        <v>478383</v>
      </c>
      <c r="L883" s="5">
        <v>8.33</v>
      </c>
      <c r="M883" s="5">
        <v>300</v>
      </c>
      <c r="N883" s="5">
        <v>296296</v>
      </c>
      <c r="O883" s="5">
        <v>61.94</v>
      </c>
      <c r="P883" s="5">
        <f t="shared" si="70"/>
        <v>-5.0000000000000044E-2</v>
      </c>
      <c r="Q883" s="6">
        <f t="shared" si="71"/>
        <v>-2.8571428571428598E-2</v>
      </c>
      <c r="R883" s="5">
        <f t="shared" si="72"/>
        <v>0.10000000000000009</v>
      </c>
      <c r="S883" s="6">
        <f t="shared" si="73"/>
        <v>5.7142857142857197E-2</v>
      </c>
      <c r="T883" s="6">
        <f t="shared" si="74"/>
        <v>-2.3021582733812971E-2</v>
      </c>
    </row>
    <row r="884" spans="1:20" x14ac:dyDescent="0.25">
      <c r="A884" s="4" t="s">
        <v>326</v>
      </c>
      <c r="B884" s="5" t="s">
        <v>16</v>
      </c>
      <c r="C884" s="5" t="s">
        <v>1823</v>
      </c>
      <c r="D884" s="5">
        <v>450.25</v>
      </c>
      <c r="E884" s="5">
        <v>449.9</v>
      </c>
      <c r="F884" s="5">
        <v>450</v>
      </c>
      <c r="G884" s="5">
        <v>432.2</v>
      </c>
      <c r="H884" s="5">
        <v>434</v>
      </c>
      <c r="I884" s="5">
        <v>434.6</v>
      </c>
      <c r="J884" s="5">
        <v>438.74</v>
      </c>
      <c r="K884" s="5">
        <v>3524655</v>
      </c>
      <c r="L884" s="5">
        <v>15464.23</v>
      </c>
      <c r="M884" s="5">
        <v>94158</v>
      </c>
      <c r="N884" s="5">
        <v>1675908</v>
      </c>
      <c r="O884" s="5">
        <v>47.55</v>
      </c>
      <c r="P884" s="5">
        <f t="shared" si="70"/>
        <v>-15.649999999999977</v>
      </c>
      <c r="Q884" s="6">
        <f t="shared" si="71"/>
        <v>-3.4758467518045483E-2</v>
      </c>
      <c r="R884" s="5">
        <f t="shared" si="72"/>
        <v>17.800000000000011</v>
      </c>
      <c r="S884" s="6">
        <f t="shared" si="73"/>
        <v>3.9533592448639666E-2</v>
      </c>
      <c r="T884" s="6">
        <f t="shared" si="74"/>
        <v>-9.3734080489047081E-3</v>
      </c>
    </row>
    <row r="885" spans="1:20" x14ac:dyDescent="0.25">
      <c r="A885" s="4" t="s">
        <v>1195</v>
      </c>
      <c r="B885" s="5" t="s">
        <v>16</v>
      </c>
      <c r="C885" s="5" t="s">
        <v>1823</v>
      </c>
      <c r="D885" s="5">
        <v>29.9</v>
      </c>
      <c r="E885" s="5">
        <v>30</v>
      </c>
      <c r="F885" s="5">
        <v>30.9</v>
      </c>
      <c r="G885" s="5">
        <v>29.75</v>
      </c>
      <c r="H885" s="5">
        <v>30.55</v>
      </c>
      <c r="I885" s="5">
        <v>30.55</v>
      </c>
      <c r="J885" s="5">
        <v>30.48</v>
      </c>
      <c r="K885" s="5">
        <v>926116</v>
      </c>
      <c r="L885" s="5">
        <v>282.24</v>
      </c>
      <c r="M885" s="5">
        <v>3247</v>
      </c>
      <c r="N885" s="5">
        <v>441414</v>
      </c>
      <c r="O885" s="5">
        <v>47.66</v>
      </c>
      <c r="P885" s="5">
        <f t="shared" si="70"/>
        <v>0.65000000000000213</v>
      </c>
      <c r="Q885" s="6">
        <f t="shared" si="71"/>
        <v>2.1739130434782681E-2</v>
      </c>
      <c r="R885" s="5">
        <f t="shared" si="72"/>
        <v>1.1499999999999986</v>
      </c>
      <c r="S885" s="6">
        <f t="shared" si="73"/>
        <v>3.8461538461538415E-2</v>
      </c>
      <c r="T885" s="6">
        <f t="shared" si="74"/>
        <v>2.3102310231023194E-3</v>
      </c>
    </row>
    <row r="886" spans="1:20" x14ac:dyDescent="0.25">
      <c r="A886" s="4" t="s">
        <v>1736</v>
      </c>
      <c r="B886" s="5" t="s">
        <v>16</v>
      </c>
      <c r="C886" s="5" t="s">
        <v>1823</v>
      </c>
      <c r="D886" s="5">
        <v>639.54999999999995</v>
      </c>
      <c r="E886" s="5">
        <v>651</v>
      </c>
      <c r="F886" s="5">
        <v>663.05</v>
      </c>
      <c r="G886" s="5">
        <v>615.85</v>
      </c>
      <c r="H886" s="5">
        <v>620.20000000000005</v>
      </c>
      <c r="I886" s="5">
        <v>624.6</v>
      </c>
      <c r="J886" s="5">
        <v>630.24</v>
      </c>
      <c r="K886" s="5">
        <v>729115</v>
      </c>
      <c r="L886" s="5">
        <v>4595.1899999999996</v>
      </c>
      <c r="M886" s="5">
        <v>26865</v>
      </c>
      <c r="N886" s="5">
        <v>347619</v>
      </c>
      <c r="O886" s="5">
        <v>47.68</v>
      </c>
      <c r="P886" s="5">
        <f t="shared" si="70"/>
        <v>-14.949999999999932</v>
      </c>
      <c r="Q886" s="6">
        <f t="shared" si="71"/>
        <v>-2.3375811117191669E-2</v>
      </c>
      <c r="R886" s="5">
        <f t="shared" si="72"/>
        <v>47.199999999999932</v>
      </c>
      <c r="S886" s="6">
        <f t="shared" si="73"/>
        <v>7.380189195528096E-2</v>
      </c>
      <c r="T886" s="6">
        <f t="shared" si="74"/>
        <v>-8.8314738696417868E-3</v>
      </c>
    </row>
    <row r="887" spans="1:20" hidden="1" x14ac:dyDescent="0.25">
      <c r="A887" s="4" t="s">
        <v>855</v>
      </c>
      <c r="B887" s="5" t="s">
        <v>16</v>
      </c>
      <c r="C887" s="5" t="s">
        <v>1823</v>
      </c>
      <c r="D887" s="5">
        <v>2782.15</v>
      </c>
      <c r="E887" s="5">
        <v>2741.1</v>
      </c>
      <c r="F887" s="5">
        <v>2805</v>
      </c>
      <c r="G887" s="5">
        <v>2741.1</v>
      </c>
      <c r="H887" s="5">
        <v>2805</v>
      </c>
      <c r="I887" s="5">
        <v>2801.15</v>
      </c>
      <c r="J887" s="5">
        <v>2790.93</v>
      </c>
      <c r="K887" s="5">
        <v>485</v>
      </c>
      <c r="L887" s="5">
        <v>13.54</v>
      </c>
      <c r="M887" s="5">
        <v>222</v>
      </c>
      <c r="N887" s="5">
        <v>245</v>
      </c>
      <c r="O887" s="5">
        <v>50.52</v>
      </c>
      <c r="P887" s="5">
        <f t="shared" si="70"/>
        <v>19</v>
      </c>
      <c r="Q887" s="6">
        <f t="shared" si="71"/>
        <v>6.8292507593048536E-3</v>
      </c>
      <c r="R887" s="5">
        <f t="shared" si="72"/>
        <v>63.900000000000091</v>
      </c>
      <c r="S887" s="6">
        <f t="shared" si="73"/>
        <v>2.2967848606293726E-2</v>
      </c>
      <c r="T887" s="6">
        <f t="shared" si="74"/>
        <v>3.6867523121114519E-3</v>
      </c>
    </row>
    <row r="888" spans="1:20" x14ac:dyDescent="0.25">
      <c r="A888" s="4" t="s">
        <v>623</v>
      </c>
      <c r="B888" s="5" t="s">
        <v>16</v>
      </c>
      <c r="C888" s="5" t="s">
        <v>1823</v>
      </c>
      <c r="D888" s="5">
        <v>22.25</v>
      </c>
      <c r="E888" s="5">
        <v>22.25</v>
      </c>
      <c r="F888" s="5">
        <v>22.9</v>
      </c>
      <c r="G888" s="5">
        <v>22</v>
      </c>
      <c r="H888" s="5">
        <v>22.9</v>
      </c>
      <c r="I888" s="5">
        <v>22.6</v>
      </c>
      <c r="J888" s="5">
        <v>22.37</v>
      </c>
      <c r="K888" s="5">
        <v>336422</v>
      </c>
      <c r="L888" s="5">
        <v>75.27</v>
      </c>
      <c r="M888" s="5">
        <v>1204</v>
      </c>
      <c r="N888" s="5">
        <v>160513</v>
      </c>
      <c r="O888" s="5">
        <v>47.71</v>
      </c>
      <c r="P888" s="5">
        <f t="shared" si="70"/>
        <v>0.35000000000000142</v>
      </c>
      <c r="Q888" s="6">
        <f t="shared" si="71"/>
        <v>1.5730337078651749E-2</v>
      </c>
      <c r="R888" s="5">
        <f t="shared" si="72"/>
        <v>0.89999999999999858</v>
      </c>
      <c r="S888" s="6">
        <f t="shared" si="73"/>
        <v>4.0449438202247126E-2</v>
      </c>
      <c r="T888" s="6">
        <f t="shared" si="74"/>
        <v>1.0250696378830103E-2</v>
      </c>
    </row>
    <row r="889" spans="1:20" hidden="1" x14ac:dyDescent="0.25">
      <c r="A889" s="4" t="s">
        <v>856</v>
      </c>
      <c r="B889" s="5" t="s">
        <v>857</v>
      </c>
      <c r="C889" s="5" t="s">
        <v>1823</v>
      </c>
      <c r="D889" s="5">
        <v>2.4500000000000002</v>
      </c>
      <c r="E889" s="5">
        <v>2.4</v>
      </c>
      <c r="F889" s="5">
        <v>2.4500000000000002</v>
      </c>
      <c r="G889" s="5">
        <v>2.4</v>
      </c>
      <c r="H889" s="5">
        <v>2.4</v>
      </c>
      <c r="I889" s="5">
        <v>2.4</v>
      </c>
      <c r="J889" s="5">
        <v>2.42</v>
      </c>
      <c r="K889" s="5">
        <v>5170</v>
      </c>
      <c r="L889" s="5">
        <v>0.12</v>
      </c>
      <c r="M889" s="5">
        <v>15</v>
      </c>
      <c r="N889" s="5">
        <v>3150</v>
      </c>
      <c r="O889" s="5">
        <v>60.93</v>
      </c>
      <c r="P889" s="5">
        <f t="shared" si="70"/>
        <v>-5.0000000000000266E-2</v>
      </c>
      <c r="Q889" s="6">
        <f t="shared" si="71"/>
        <v>-2.0408163265306228E-2</v>
      </c>
      <c r="R889" s="5">
        <f t="shared" si="72"/>
        <v>5.0000000000000266E-2</v>
      </c>
      <c r="S889" s="6">
        <f t="shared" si="73"/>
        <v>2.0408163265306228E-2</v>
      </c>
      <c r="T889" s="6">
        <f t="shared" si="74"/>
        <v>-8.2901554404145143E-3</v>
      </c>
    </row>
    <row r="890" spans="1:20" hidden="1" x14ac:dyDescent="0.25">
      <c r="A890" s="4" t="s">
        <v>858</v>
      </c>
      <c r="B890" s="5" t="s">
        <v>16</v>
      </c>
      <c r="C890" s="5" t="s">
        <v>1823</v>
      </c>
      <c r="D890" s="5">
        <v>90.8</v>
      </c>
      <c r="E890" s="5">
        <v>91.9</v>
      </c>
      <c r="F890" s="5">
        <v>91.9</v>
      </c>
      <c r="G890" s="5">
        <v>87.05</v>
      </c>
      <c r="H890" s="5">
        <v>87.05</v>
      </c>
      <c r="I890" s="5">
        <v>87.1</v>
      </c>
      <c r="J890" s="5">
        <v>88.22</v>
      </c>
      <c r="K890" s="5">
        <v>59612</v>
      </c>
      <c r="L890" s="5">
        <v>52.59</v>
      </c>
      <c r="M890" s="5">
        <v>507</v>
      </c>
      <c r="N890" s="5">
        <v>47608</v>
      </c>
      <c r="O890" s="5">
        <v>79.86</v>
      </c>
      <c r="P890" s="5">
        <f t="shared" si="70"/>
        <v>-3.7000000000000028</v>
      </c>
      <c r="Q890" s="6">
        <f t="shared" si="71"/>
        <v>-4.0748898678414129E-2</v>
      </c>
      <c r="R890" s="5">
        <f t="shared" si="72"/>
        <v>4.8500000000000085</v>
      </c>
      <c r="S890" s="6">
        <f t="shared" si="73"/>
        <v>5.3414096916299655E-2</v>
      </c>
      <c r="T890" s="6">
        <f t="shared" si="74"/>
        <v>-1.2515714485263355E-2</v>
      </c>
    </row>
    <row r="891" spans="1:20" x14ac:dyDescent="0.25">
      <c r="A891" s="4" t="s">
        <v>805</v>
      </c>
      <c r="B891" s="5" t="s">
        <v>16</v>
      </c>
      <c r="C891" s="5" t="s">
        <v>1823</v>
      </c>
      <c r="D891" s="5">
        <v>54</v>
      </c>
      <c r="E891" s="5">
        <v>53.7</v>
      </c>
      <c r="F891" s="5">
        <v>57.8</v>
      </c>
      <c r="G891" s="5">
        <v>51.6</v>
      </c>
      <c r="H891" s="5">
        <v>52.2</v>
      </c>
      <c r="I891" s="5">
        <v>52.05</v>
      </c>
      <c r="J891" s="5">
        <v>54.33</v>
      </c>
      <c r="K891" s="5">
        <v>940192</v>
      </c>
      <c r="L891" s="5">
        <v>510.83</v>
      </c>
      <c r="M891" s="5">
        <v>6651</v>
      </c>
      <c r="N891" s="5">
        <v>449551</v>
      </c>
      <c r="O891" s="5">
        <v>47.81</v>
      </c>
      <c r="P891" s="5">
        <f t="shared" si="70"/>
        <v>-1.9500000000000028</v>
      </c>
      <c r="Q891" s="6">
        <f t="shared" si="71"/>
        <v>-3.6111111111111163E-2</v>
      </c>
      <c r="R891" s="5">
        <f t="shared" si="72"/>
        <v>6.1999999999999957</v>
      </c>
      <c r="S891" s="6">
        <f t="shared" si="73"/>
        <v>0.11481481481481473</v>
      </c>
      <c r="T891" s="6">
        <f t="shared" si="74"/>
        <v>-4.2389030908668399E-2</v>
      </c>
    </row>
    <row r="892" spans="1:20" hidden="1" x14ac:dyDescent="0.25">
      <c r="A892" s="4" t="s">
        <v>860</v>
      </c>
      <c r="B892" s="5" t="s">
        <v>16</v>
      </c>
      <c r="C892" s="5" t="s">
        <v>1823</v>
      </c>
      <c r="D892" s="5">
        <v>1453.9</v>
      </c>
      <c r="E892" s="5">
        <v>1455</v>
      </c>
      <c r="F892" s="5">
        <v>1479.75</v>
      </c>
      <c r="G892" s="5">
        <v>1440.05</v>
      </c>
      <c r="H892" s="5">
        <v>1444.2</v>
      </c>
      <c r="I892" s="5">
        <v>1449.65</v>
      </c>
      <c r="J892" s="5">
        <v>1460.2</v>
      </c>
      <c r="K892" s="5">
        <v>960321</v>
      </c>
      <c r="L892" s="5">
        <v>14022.56</v>
      </c>
      <c r="M892" s="5">
        <v>39465</v>
      </c>
      <c r="N892" s="5">
        <v>160042</v>
      </c>
      <c r="O892" s="5">
        <v>16.670000000000002</v>
      </c>
      <c r="P892" s="5">
        <f t="shared" si="70"/>
        <v>-4.25</v>
      </c>
      <c r="Q892" s="6">
        <f t="shared" si="71"/>
        <v>-2.9231721576449547E-3</v>
      </c>
      <c r="R892" s="5">
        <f t="shared" si="72"/>
        <v>39.700000000000045</v>
      </c>
      <c r="S892" s="6">
        <f t="shared" si="73"/>
        <v>2.7305866978471725E-2</v>
      </c>
      <c r="T892" s="6">
        <f t="shared" si="74"/>
        <v>-7.245319300534782E-3</v>
      </c>
    </row>
    <row r="893" spans="1:20" hidden="1" x14ac:dyDescent="0.25">
      <c r="A893" s="4" t="s">
        <v>861</v>
      </c>
      <c r="B893" s="5" t="s">
        <v>16</v>
      </c>
      <c r="C893" s="5" t="s">
        <v>1823</v>
      </c>
      <c r="D893" s="5">
        <v>112.4</v>
      </c>
      <c r="E893" s="5">
        <v>117.45</v>
      </c>
      <c r="F893" s="5">
        <v>117.5</v>
      </c>
      <c r="G893" s="5">
        <v>108.5</v>
      </c>
      <c r="H893" s="5">
        <v>115.2</v>
      </c>
      <c r="I893" s="5">
        <v>114.45</v>
      </c>
      <c r="J893" s="5">
        <v>114.97</v>
      </c>
      <c r="K893" s="5">
        <v>18674</v>
      </c>
      <c r="L893" s="5">
        <v>21.47</v>
      </c>
      <c r="M893" s="5">
        <v>682</v>
      </c>
      <c r="N893" s="5">
        <v>11013</v>
      </c>
      <c r="O893" s="5">
        <v>58.98</v>
      </c>
      <c r="P893" s="5">
        <f t="shared" si="70"/>
        <v>2.0499999999999972</v>
      </c>
      <c r="Q893" s="6">
        <f t="shared" si="71"/>
        <v>1.823843416370104E-2</v>
      </c>
      <c r="R893" s="5">
        <f t="shared" si="72"/>
        <v>9</v>
      </c>
      <c r="S893" s="6">
        <f t="shared" si="73"/>
        <v>8.0071174377224191E-2</v>
      </c>
      <c r="T893" s="6">
        <f t="shared" si="74"/>
        <v>-4.5424765232583188E-3</v>
      </c>
    </row>
    <row r="894" spans="1:20" hidden="1" x14ac:dyDescent="0.25">
      <c r="A894" s="4" t="s">
        <v>862</v>
      </c>
      <c r="B894" s="5" t="s">
        <v>16</v>
      </c>
      <c r="C894" s="5" t="s">
        <v>1823</v>
      </c>
      <c r="D894" s="5">
        <v>58.35</v>
      </c>
      <c r="E894" s="5">
        <v>59.2</v>
      </c>
      <c r="F894" s="5">
        <v>59.2</v>
      </c>
      <c r="G894" s="5">
        <v>57.75</v>
      </c>
      <c r="H894" s="5">
        <v>58.4</v>
      </c>
      <c r="I894" s="5">
        <v>58.2</v>
      </c>
      <c r="J894" s="5">
        <v>58.35</v>
      </c>
      <c r="K894" s="5">
        <v>1176357</v>
      </c>
      <c r="L894" s="5">
        <v>686.36</v>
      </c>
      <c r="M894" s="5">
        <v>646</v>
      </c>
      <c r="N894" s="5">
        <v>702675</v>
      </c>
      <c r="O894" s="5">
        <v>59.73</v>
      </c>
      <c r="P894" s="5">
        <f t="shared" si="70"/>
        <v>-0.14999999999999858</v>
      </c>
      <c r="Q894" s="6">
        <f t="shared" si="71"/>
        <v>-2.5706940874035745E-3</v>
      </c>
      <c r="R894" s="5">
        <f t="shared" si="72"/>
        <v>1.4500000000000028</v>
      </c>
      <c r="S894" s="6">
        <f t="shared" si="73"/>
        <v>2.4850042844901506E-2</v>
      </c>
      <c r="T894" s="6">
        <f t="shared" si="74"/>
        <v>-2.5602730957968605E-3</v>
      </c>
    </row>
    <row r="895" spans="1:20" hidden="1" x14ac:dyDescent="0.25">
      <c r="A895" s="4" t="s">
        <v>863</v>
      </c>
      <c r="B895" s="5" t="s">
        <v>16</v>
      </c>
      <c r="C895" s="5" t="s">
        <v>1823</v>
      </c>
      <c r="D895" s="5">
        <v>288.91000000000003</v>
      </c>
      <c r="E895" s="5">
        <v>283.10000000000002</v>
      </c>
      <c r="F895" s="5">
        <v>289.89999999999998</v>
      </c>
      <c r="G895" s="5">
        <v>283.10000000000002</v>
      </c>
      <c r="H895" s="5">
        <v>285.02</v>
      </c>
      <c r="I895" s="5">
        <v>285.38</v>
      </c>
      <c r="J895" s="5">
        <v>286.31</v>
      </c>
      <c r="K895" s="5">
        <v>38353</v>
      </c>
      <c r="L895" s="5">
        <v>109.81</v>
      </c>
      <c r="M895" s="5">
        <v>1284</v>
      </c>
      <c r="N895" s="5">
        <v>26056</v>
      </c>
      <c r="O895" s="5">
        <v>67.94</v>
      </c>
      <c r="P895" s="5">
        <f t="shared" si="70"/>
        <v>-3.5300000000000296</v>
      </c>
      <c r="Q895" s="6">
        <f t="shared" si="71"/>
        <v>-1.2218337890692705E-2</v>
      </c>
      <c r="R895" s="5">
        <f t="shared" si="72"/>
        <v>6.7999999999999545</v>
      </c>
      <c r="S895" s="6">
        <f t="shared" si="73"/>
        <v>2.3536741545809956E-2</v>
      </c>
      <c r="T895" s="6">
        <f t="shared" si="74"/>
        <v>-3.2589270070435112E-3</v>
      </c>
    </row>
    <row r="896" spans="1:20" hidden="1" x14ac:dyDescent="0.25">
      <c r="A896" s="4" t="s">
        <v>864</v>
      </c>
      <c r="B896" s="5" t="s">
        <v>16</v>
      </c>
      <c r="C896" s="5" t="s">
        <v>1823</v>
      </c>
      <c r="D896" s="5">
        <v>703.9</v>
      </c>
      <c r="E896" s="5">
        <v>703</v>
      </c>
      <c r="F896" s="5">
        <v>705.6</v>
      </c>
      <c r="G896" s="5">
        <v>686.8</v>
      </c>
      <c r="H896" s="5">
        <v>692.5</v>
      </c>
      <c r="I896" s="5">
        <v>693.85</v>
      </c>
      <c r="J896" s="5">
        <v>696.4</v>
      </c>
      <c r="K896" s="5">
        <v>1064635</v>
      </c>
      <c r="L896" s="5">
        <v>7414.15</v>
      </c>
      <c r="M896" s="5">
        <v>22955</v>
      </c>
      <c r="N896" s="5">
        <v>109642</v>
      </c>
      <c r="O896" s="5">
        <v>10.3</v>
      </c>
      <c r="P896" s="5">
        <f t="shared" si="70"/>
        <v>-10.049999999999955</v>
      </c>
      <c r="Q896" s="6">
        <f t="shared" si="71"/>
        <v>-1.427759624946719E-2</v>
      </c>
      <c r="R896" s="5">
        <f t="shared" si="72"/>
        <v>18.800000000000068</v>
      </c>
      <c r="S896" s="6">
        <f t="shared" si="73"/>
        <v>2.6708339252734862E-2</v>
      </c>
      <c r="T896" s="6">
        <f t="shared" si="74"/>
        <v>-3.6568970153266359E-3</v>
      </c>
    </row>
    <row r="897" spans="1:20" hidden="1" x14ac:dyDescent="0.25">
      <c r="A897" s="4" t="s">
        <v>865</v>
      </c>
      <c r="B897" s="5" t="s">
        <v>24</v>
      </c>
      <c r="C897" s="5" t="s">
        <v>1823</v>
      </c>
      <c r="D897" s="5">
        <v>0.95</v>
      </c>
      <c r="E897" s="5">
        <v>1</v>
      </c>
      <c r="F897" s="5">
        <v>1</v>
      </c>
      <c r="G897" s="5">
        <v>0.9</v>
      </c>
      <c r="H897" s="5">
        <v>1</v>
      </c>
      <c r="I897" s="5">
        <v>0.95</v>
      </c>
      <c r="J897" s="5">
        <v>0.94</v>
      </c>
      <c r="K897" s="5">
        <v>7624</v>
      </c>
      <c r="L897" s="5">
        <v>7.0000000000000007E-2</v>
      </c>
      <c r="M897" s="5">
        <v>41</v>
      </c>
      <c r="N897" s="5" t="s">
        <v>25</v>
      </c>
      <c r="O897" s="5" t="s">
        <v>25</v>
      </c>
      <c r="P897" s="5">
        <f t="shared" si="70"/>
        <v>0</v>
      </c>
      <c r="Q897" s="6">
        <f t="shared" si="71"/>
        <v>0</v>
      </c>
      <c r="R897" s="5">
        <f t="shared" si="72"/>
        <v>9.9999999999999978E-2</v>
      </c>
      <c r="S897" s="6">
        <f t="shared" si="73"/>
        <v>0.10526315789473682</v>
      </c>
      <c r="T897" s="6">
        <f t="shared" si="74"/>
        <v>1.03896103896104E-2</v>
      </c>
    </row>
    <row r="898" spans="1:20" hidden="1" x14ac:dyDescent="0.25">
      <c r="A898" s="4" t="s">
        <v>866</v>
      </c>
      <c r="B898" s="5" t="s">
        <v>16</v>
      </c>
      <c r="C898" s="5" t="s">
        <v>1823</v>
      </c>
      <c r="D898" s="5">
        <v>168.75</v>
      </c>
      <c r="E898" s="5">
        <v>169</v>
      </c>
      <c r="F898" s="5">
        <v>169</v>
      </c>
      <c r="G898" s="5">
        <v>164.2</v>
      </c>
      <c r="H898" s="5">
        <v>166.5</v>
      </c>
      <c r="I898" s="5">
        <v>165.6</v>
      </c>
      <c r="J898" s="5">
        <v>166.1</v>
      </c>
      <c r="K898" s="5">
        <v>36544</v>
      </c>
      <c r="L898" s="5">
        <v>60.7</v>
      </c>
      <c r="M898" s="5">
        <v>2240</v>
      </c>
      <c r="N898" s="5">
        <v>20423</v>
      </c>
      <c r="O898" s="5">
        <v>55.89</v>
      </c>
      <c r="P898" s="5">
        <f t="shared" si="70"/>
        <v>-3.1500000000000057</v>
      </c>
      <c r="Q898" s="6">
        <f t="shared" si="71"/>
        <v>-1.8666666666666699E-2</v>
      </c>
      <c r="R898" s="5">
        <f t="shared" si="72"/>
        <v>4.8000000000000114</v>
      </c>
      <c r="S898" s="6">
        <f t="shared" si="73"/>
        <v>2.8444444444444512E-2</v>
      </c>
      <c r="T898" s="6">
        <f t="shared" si="74"/>
        <v>-2.9949086552860139E-3</v>
      </c>
    </row>
    <row r="899" spans="1:20" hidden="1" x14ac:dyDescent="0.25">
      <c r="A899" s="4" t="s">
        <v>867</v>
      </c>
      <c r="B899" s="5" t="s">
        <v>16</v>
      </c>
      <c r="C899" s="5" t="s">
        <v>1823</v>
      </c>
      <c r="D899" s="5">
        <v>68.150000000000006</v>
      </c>
      <c r="E899" s="5">
        <v>68.3</v>
      </c>
      <c r="F899" s="5">
        <v>69</v>
      </c>
      <c r="G899" s="5">
        <v>66.05</v>
      </c>
      <c r="H899" s="5">
        <v>66.8</v>
      </c>
      <c r="I899" s="5">
        <v>66.849999999999994</v>
      </c>
      <c r="J899" s="5">
        <v>67.19</v>
      </c>
      <c r="K899" s="5">
        <v>14282</v>
      </c>
      <c r="L899" s="5">
        <v>9.6</v>
      </c>
      <c r="M899" s="5">
        <v>145</v>
      </c>
      <c r="N899" s="5">
        <v>10184</v>
      </c>
      <c r="O899" s="5">
        <v>71.31</v>
      </c>
      <c r="P899" s="5">
        <f t="shared" si="70"/>
        <v>-1.3000000000000114</v>
      </c>
      <c r="Q899" s="6">
        <f t="shared" si="71"/>
        <v>-1.9075568598679548E-2</v>
      </c>
      <c r="R899" s="5">
        <f t="shared" si="72"/>
        <v>2.9500000000000028</v>
      </c>
      <c r="S899" s="6">
        <f t="shared" si="73"/>
        <v>4.3286867204695566E-2</v>
      </c>
      <c r="T899" s="6">
        <f t="shared" si="74"/>
        <v>-5.0333086602517155E-3</v>
      </c>
    </row>
    <row r="900" spans="1:20" x14ac:dyDescent="0.25">
      <c r="A900" s="4" t="s">
        <v>1107</v>
      </c>
      <c r="B900" s="5" t="s">
        <v>16</v>
      </c>
      <c r="C900" s="5" t="s">
        <v>1823</v>
      </c>
      <c r="D900" s="5">
        <v>46.65</v>
      </c>
      <c r="E900" s="5">
        <v>46.3</v>
      </c>
      <c r="F900" s="5">
        <v>46.35</v>
      </c>
      <c r="G900" s="5">
        <v>43.5</v>
      </c>
      <c r="H900" s="5">
        <v>43.8</v>
      </c>
      <c r="I900" s="5">
        <v>43.9</v>
      </c>
      <c r="J900" s="5">
        <v>44.94</v>
      </c>
      <c r="K900" s="5">
        <v>12599450</v>
      </c>
      <c r="L900" s="5">
        <v>5661.91</v>
      </c>
      <c r="M900" s="5">
        <v>19444</v>
      </c>
      <c r="N900" s="5">
        <v>6031045</v>
      </c>
      <c r="O900" s="5">
        <v>47.87</v>
      </c>
      <c r="P900" s="5">
        <f t="shared" si="70"/>
        <v>-2.75</v>
      </c>
      <c r="Q900" s="6">
        <f t="shared" si="71"/>
        <v>-5.8949624866023578E-2</v>
      </c>
      <c r="R900" s="5">
        <f t="shared" si="72"/>
        <v>2.8500000000000014</v>
      </c>
      <c r="S900" s="6">
        <f t="shared" si="73"/>
        <v>6.1093247588424472E-2</v>
      </c>
      <c r="T900" s="6">
        <f t="shared" si="74"/>
        <v>-2.3104693140794202E-2</v>
      </c>
    </row>
    <row r="901" spans="1:20" hidden="1" x14ac:dyDescent="0.25">
      <c r="A901" s="4" t="s">
        <v>869</v>
      </c>
      <c r="B901" s="5" t="s">
        <v>16</v>
      </c>
      <c r="C901" s="5" t="s">
        <v>1823</v>
      </c>
      <c r="D901" s="5">
        <v>177.2</v>
      </c>
      <c r="E901" s="5">
        <v>179.05</v>
      </c>
      <c r="F901" s="5">
        <v>184.95</v>
      </c>
      <c r="G901" s="5">
        <v>174.05</v>
      </c>
      <c r="H901" s="5">
        <v>174.1</v>
      </c>
      <c r="I901" s="5">
        <v>174.85</v>
      </c>
      <c r="J901" s="5">
        <v>176.66</v>
      </c>
      <c r="K901" s="5">
        <v>11209</v>
      </c>
      <c r="L901" s="5">
        <v>19.8</v>
      </c>
      <c r="M901" s="5">
        <v>560</v>
      </c>
      <c r="N901" s="5">
        <v>5561</v>
      </c>
      <c r="O901" s="5">
        <v>49.61</v>
      </c>
      <c r="P901" s="5">
        <f t="shared" si="70"/>
        <v>-2.3499999999999943</v>
      </c>
      <c r="Q901" s="6">
        <f t="shared" si="71"/>
        <v>-1.3261851015801324E-2</v>
      </c>
      <c r="R901" s="5">
        <f t="shared" si="72"/>
        <v>10.899999999999977</v>
      </c>
      <c r="S901" s="6">
        <f t="shared" si="73"/>
        <v>6.1512415349887009E-2</v>
      </c>
      <c r="T901" s="6">
        <f t="shared" si="74"/>
        <v>-1.0155702062000293E-2</v>
      </c>
    </row>
    <row r="902" spans="1:20" x14ac:dyDescent="0.25">
      <c r="A902" s="4" t="s">
        <v>1029</v>
      </c>
      <c r="B902" s="5" t="s">
        <v>16</v>
      </c>
      <c r="C902" s="5" t="s">
        <v>1823</v>
      </c>
      <c r="D902" s="5">
        <v>213.85</v>
      </c>
      <c r="E902" s="5">
        <v>222.5</v>
      </c>
      <c r="F902" s="5">
        <v>224.5</v>
      </c>
      <c r="G902" s="5">
        <v>214.1</v>
      </c>
      <c r="H902" s="5">
        <v>216.95</v>
      </c>
      <c r="I902" s="5">
        <v>216</v>
      </c>
      <c r="J902" s="5">
        <v>216.81</v>
      </c>
      <c r="K902" s="5">
        <v>147959</v>
      </c>
      <c r="L902" s="5">
        <v>320.79000000000002</v>
      </c>
      <c r="M902" s="5">
        <v>2261</v>
      </c>
      <c r="N902" s="5">
        <v>71117</v>
      </c>
      <c r="O902" s="5">
        <v>48.07</v>
      </c>
      <c r="P902" s="5">
        <f t="shared" si="70"/>
        <v>2.1500000000000057</v>
      </c>
      <c r="Q902" s="6">
        <f t="shared" si="71"/>
        <v>1.0053776011222846E-2</v>
      </c>
      <c r="R902" s="5">
        <f t="shared" si="72"/>
        <v>10.400000000000006</v>
      </c>
      <c r="S902" s="6">
        <f t="shared" si="73"/>
        <v>4.863221884498483E-2</v>
      </c>
      <c r="T902" s="6">
        <f t="shared" si="74"/>
        <v>-3.6939915631056994E-3</v>
      </c>
    </row>
    <row r="903" spans="1:20" hidden="1" x14ac:dyDescent="0.25">
      <c r="A903" s="4" t="s">
        <v>871</v>
      </c>
      <c r="B903" s="5" t="s">
        <v>39</v>
      </c>
      <c r="C903" s="5" t="s">
        <v>1823</v>
      </c>
      <c r="D903" s="5">
        <v>170.1</v>
      </c>
      <c r="E903" s="5">
        <v>166.05</v>
      </c>
      <c r="F903" s="5">
        <v>173</v>
      </c>
      <c r="G903" s="5">
        <v>166.05</v>
      </c>
      <c r="H903" s="5">
        <v>167</v>
      </c>
      <c r="I903" s="5">
        <v>167</v>
      </c>
      <c r="J903" s="5">
        <v>167.71</v>
      </c>
      <c r="K903" s="5">
        <v>46</v>
      </c>
      <c r="L903" s="5">
        <v>0.08</v>
      </c>
      <c r="M903" s="5">
        <v>8</v>
      </c>
      <c r="N903" s="5" t="s">
        <v>25</v>
      </c>
      <c r="O903" s="5" t="s">
        <v>25</v>
      </c>
      <c r="P903" s="5">
        <f t="shared" si="70"/>
        <v>-3.0999999999999943</v>
      </c>
      <c r="Q903" s="6">
        <f t="shared" si="71"/>
        <v>-1.8224573780129302E-2</v>
      </c>
      <c r="R903" s="5">
        <f t="shared" si="72"/>
        <v>6.9499999999999886</v>
      </c>
      <c r="S903" s="6">
        <f t="shared" si="73"/>
        <v>4.0858318636096347E-2</v>
      </c>
      <c r="T903" s="6">
        <f t="shared" si="74"/>
        <v>-4.2255616723702299E-3</v>
      </c>
    </row>
    <row r="904" spans="1:20" hidden="1" x14ac:dyDescent="0.25">
      <c r="A904" s="4" t="s">
        <v>872</v>
      </c>
      <c r="B904" s="5" t="s">
        <v>16</v>
      </c>
      <c r="C904" s="5" t="s">
        <v>1823</v>
      </c>
      <c r="D904" s="5">
        <v>40.799999999999997</v>
      </c>
      <c r="E904" s="5">
        <v>41</v>
      </c>
      <c r="F904" s="5">
        <v>41</v>
      </c>
      <c r="G904" s="5">
        <v>38.25</v>
      </c>
      <c r="H904" s="5">
        <v>39</v>
      </c>
      <c r="I904" s="5">
        <v>38.85</v>
      </c>
      <c r="J904" s="5">
        <v>39.130000000000003</v>
      </c>
      <c r="K904" s="5">
        <v>86861</v>
      </c>
      <c r="L904" s="5">
        <v>33.99</v>
      </c>
      <c r="M904" s="5">
        <v>969</v>
      </c>
      <c r="N904" s="5">
        <v>45646</v>
      </c>
      <c r="O904" s="5">
        <v>52.55</v>
      </c>
      <c r="P904" s="5">
        <f t="shared" si="70"/>
        <v>-1.9499999999999957</v>
      </c>
      <c r="Q904" s="6">
        <f t="shared" si="71"/>
        <v>-4.7794117647058723E-2</v>
      </c>
      <c r="R904" s="5">
        <f t="shared" si="72"/>
        <v>2.75</v>
      </c>
      <c r="S904" s="6">
        <f t="shared" si="73"/>
        <v>6.7401960784313736E-2</v>
      </c>
      <c r="T904" s="6">
        <f t="shared" si="74"/>
        <v>-7.039597737272185E-3</v>
      </c>
    </row>
    <row r="905" spans="1:20" hidden="1" x14ac:dyDescent="0.25">
      <c r="A905" s="4" t="s">
        <v>873</v>
      </c>
      <c r="B905" s="5" t="s">
        <v>16</v>
      </c>
      <c r="C905" s="5" t="s">
        <v>1823</v>
      </c>
      <c r="D905" s="5">
        <v>117.55</v>
      </c>
      <c r="E905" s="5">
        <v>121.4</v>
      </c>
      <c r="F905" s="5">
        <v>122.25</v>
      </c>
      <c r="G905" s="5">
        <v>115.1</v>
      </c>
      <c r="H905" s="5">
        <v>116.95</v>
      </c>
      <c r="I905" s="5">
        <v>115.7</v>
      </c>
      <c r="J905" s="5">
        <v>118.84</v>
      </c>
      <c r="K905" s="5">
        <v>7700</v>
      </c>
      <c r="L905" s="5">
        <v>9.15</v>
      </c>
      <c r="M905" s="5">
        <v>164</v>
      </c>
      <c r="N905" s="5">
        <v>5829</v>
      </c>
      <c r="O905" s="5">
        <v>75.7</v>
      </c>
      <c r="P905" s="5">
        <f t="shared" si="70"/>
        <v>-1.8499999999999943</v>
      </c>
      <c r="Q905" s="6">
        <f t="shared" si="71"/>
        <v>-1.5737983836665199E-2</v>
      </c>
      <c r="R905" s="5">
        <f t="shared" si="72"/>
        <v>7.1500000000000057</v>
      </c>
      <c r="S905" s="6">
        <f t="shared" si="73"/>
        <v>6.0825180774138711E-2</v>
      </c>
      <c r="T905" s="6">
        <f t="shared" si="74"/>
        <v>-2.6472757930235014E-2</v>
      </c>
    </row>
    <row r="906" spans="1:20" hidden="1" x14ac:dyDescent="0.25">
      <c r="A906" s="4" t="s">
        <v>874</v>
      </c>
      <c r="B906" s="5" t="s">
        <v>16</v>
      </c>
      <c r="C906" s="5" t="s">
        <v>1823</v>
      </c>
      <c r="D906" s="5">
        <v>3.5</v>
      </c>
      <c r="E906" s="5">
        <v>3.15</v>
      </c>
      <c r="F906" s="5">
        <v>3.45</v>
      </c>
      <c r="G906" s="5">
        <v>3.15</v>
      </c>
      <c r="H906" s="5">
        <v>3.45</v>
      </c>
      <c r="I906" s="5">
        <v>3.35</v>
      </c>
      <c r="J906" s="5">
        <v>3.42</v>
      </c>
      <c r="K906" s="5">
        <v>210</v>
      </c>
      <c r="L906" s="5">
        <v>0.01</v>
      </c>
      <c r="M906" s="5">
        <v>7</v>
      </c>
      <c r="N906" s="5">
        <v>190</v>
      </c>
      <c r="O906" s="5">
        <v>90.48</v>
      </c>
      <c r="P906" s="5">
        <f t="shared" si="70"/>
        <v>-0.14999999999999991</v>
      </c>
      <c r="Q906" s="6">
        <f t="shared" si="71"/>
        <v>-4.285714285714283E-2</v>
      </c>
      <c r="R906" s="5">
        <f t="shared" si="72"/>
        <v>0.30000000000000027</v>
      </c>
      <c r="S906" s="6">
        <f t="shared" si="73"/>
        <v>8.5714285714285784E-2</v>
      </c>
      <c r="T906" s="6">
        <f t="shared" si="74"/>
        <v>-2.1374045801526669E-2</v>
      </c>
    </row>
    <row r="907" spans="1:20" hidden="1" x14ac:dyDescent="0.25">
      <c r="A907" s="4" t="s">
        <v>875</v>
      </c>
      <c r="B907" s="5" t="s">
        <v>16</v>
      </c>
      <c r="C907" s="5" t="s">
        <v>1823</v>
      </c>
      <c r="D907" s="5">
        <v>46.55</v>
      </c>
      <c r="E907" s="5">
        <v>46.1</v>
      </c>
      <c r="F907" s="5">
        <v>46.7</v>
      </c>
      <c r="G907" s="5">
        <v>44.6</v>
      </c>
      <c r="H907" s="5">
        <v>45.25</v>
      </c>
      <c r="I907" s="5">
        <v>44.75</v>
      </c>
      <c r="J907" s="5">
        <v>45.39</v>
      </c>
      <c r="K907" s="5">
        <v>11163</v>
      </c>
      <c r="L907" s="5">
        <v>5.07</v>
      </c>
      <c r="M907" s="5">
        <v>180</v>
      </c>
      <c r="N907" s="5">
        <v>7003</v>
      </c>
      <c r="O907" s="5">
        <v>62.73</v>
      </c>
      <c r="P907" s="5">
        <f t="shared" si="70"/>
        <v>-1.7999999999999972</v>
      </c>
      <c r="Q907" s="6">
        <f t="shared" si="71"/>
        <v>-3.8668098818474703E-2</v>
      </c>
      <c r="R907" s="5">
        <f t="shared" si="72"/>
        <v>2.1000000000000014</v>
      </c>
      <c r="S907" s="6">
        <f t="shared" si="73"/>
        <v>4.511278195488725E-2</v>
      </c>
      <c r="T907" s="6">
        <f t="shared" si="74"/>
        <v>-1.4054350809772178E-2</v>
      </c>
    </row>
    <row r="908" spans="1:20" x14ac:dyDescent="0.25">
      <c r="A908" s="4" t="s">
        <v>317</v>
      </c>
      <c r="B908" s="5" t="s">
        <v>16</v>
      </c>
      <c r="C908" s="5" t="s">
        <v>1823</v>
      </c>
      <c r="D908" s="5">
        <v>167.3</v>
      </c>
      <c r="E908" s="5">
        <v>167.1</v>
      </c>
      <c r="F908" s="5">
        <v>167.6</v>
      </c>
      <c r="G908" s="5">
        <v>159.05000000000001</v>
      </c>
      <c r="H908" s="5">
        <v>160.19999999999999</v>
      </c>
      <c r="I908" s="5">
        <v>160.15</v>
      </c>
      <c r="J908" s="5">
        <v>162.47999999999999</v>
      </c>
      <c r="K908" s="5">
        <v>247110</v>
      </c>
      <c r="L908" s="5">
        <v>401.5</v>
      </c>
      <c r="M908" s="5">
        <v>4383</v>
      </c>
      <c r="N908" s="5">
        <v>118800</v>
      </c>
      <c r="O908" s="5">
        <v>48.08</v>
      </c>
      <c r="P908" s="5">
        <f t="shared" ref="P908:P971" si="75">I908-D908</f>
        <v>-7.1500000000000057</v>
      </c>
      <c r="Q908" s="6">
        <f t="shared" ref="Q908:Q971" si="76">P908/D908</f>
        <v>-4.2737597130902603E-2</v>
      </c>
      <c r="R908" s="5">
        <f t="shared" ref="R908:R971" si="77">ABS(F908-G908)</f>
        <v>8.5499999999999829</v>
      </c>
      <c r="S908" s="6">
        <f t="shared" ref="S908:S971" si="78">R908/D908</f>
        <v>5.1105797967722549E-2</v>
      </c>
      <c r="T908" s="6">
        <f t="shared" ref="T908:T971" si="79">(I908-J908)/AVERAGE(E908:G908,I908)</f>
        <v>-1.4252943875210179E-2</v>
      </c>
    </row>
    <row r="909" spans="1:20" x14ac:dyDescent="0.25">
      <c r="A909" s="4" t="s">
        <v>1654</v>
      </c>
      <c r="B909" s="5" t="s">
        <v>16</v>
      </c>
      <c r="C909" s="5" t="s">
        <v>1823</v>
      </c>
      <c r="D909" s="5">
        <v>149.05000000000001</v>
      </c>
      <c r="E909" s="5">
        <v>149</v>
      </c>
      <c r="F909" s="5">
        <v>149</v>
      </c>
      <c r="G909" s="5">
        <v>143</v>
      </c>
      <c r="H909" s="5">
        <v>145.69999999999999</v>
      </c>
      <c r="I909" s="5">
        <v>146.35</v>
      </c>
      <c r="J909" s="5">
        <v>145.41</v>
      </c>
      <c r="K909" s="5">
        <v>451834</v>
      </c>
      <c r="L909" s="5">
        <v>657.02</v>
      </c>
      <c r="M909" s="5">
        <v>4490</v>
      </c>
      <c r="N909" s="5">
        <v>217661</v>
      </c>
      <c r="O909" s="5">
        <v>48.17</v>
      </c>
      <c r="P909" s="5">
        <f t="shared" si="75"/>
        <v>-2.7000000000000171</v>
      </c>
      <c r="Q909" s="6">
        <f t="shared" si="76"/>
        <v>-1.8114726601811584E-2</v>
      </c>
      <c r="R909" s="5">
        <f t="shared" si="77"/>
        <v>6</v>
      </c>
      <c r="S909" s="6">
        <f t="shared" si="78"/>
        <v>4.0254948004025494E-2</v>
      </c>
      <c r="T909" s="6">
        <f t="shared" si="79"/>
        <v>6.401634459862077E-3</v>
      </c>
    </row>
    <row r="910" spans="1:20" hidden="1" x14ac:dyDescent="0.25">
      <c r="A910" s="4" t="s">
        <v>878</v>
      </c>
      <c r="B910" s="5" t="s">
        <v>16</v>
      </c>
      <c r="C910" s="5" t="s">
        <v>1823</v>
      </c>
      <c r="D910" s="5">
        <v>10.35</v>
      </c>
      <c r="E910" s="5">
        <v>10.050000000000001</v>
      </c>
      <c r="F910" s="5">
        <v>10.55</v>
      </c>
      <c r="G910" s="5">
        <v>9.9499999999999993</v>
      </c>
      <c r="H910" s="5">
        <v>9.9499999999999993</v>
      </c>
      <c r="I910" s="5">
        <v>9.9499999999999993</v>
      </c>
      <c r="J910" s="5">
        <v>10.050000000000001</v>
      </c>
      <c r="K910" s="5">
        <v>472</v>
      </c>
      <c r="L910" s="5">
        <v>0.05</v>
      </c>
      <c r="M910" s="5">
        <v>14</v>
      </c>
      <c r="N910" s="5">
        <v>337</v>
      </c>
      <c r="O910" s="5">
        <v>71.400000000000006</v>
      </c>
      <c r="P910" s="5">
        <f t="shared" si="75"/>
        <v>-0.40000000000000036</v>
      </c>
      <c r="Q910" s="6">
        <f t="shared" si="76"/>
        <v>-3.8647342995169115E-2</v>
      </c>
      <c r="R910" s="5">
        <f t="shared" si="77"/>
        <v>0.60000000000000142</v>
      </c>
      <c r="S910" s="6">
        <f t="shared" si="78"/>
        <v>5.7971014492753763E-2</v>
      </c>
      <c r="T910" s="6">
        <f t="shared" si="79"/>
        <v>-9.8765432098766835E-3</v>
      </c>
    </row>
    <row r="911" spans="1:20" hidden="1" x14ac:dyDescent="0.25">
      <c r="A911" s="4" t="s">
        <v>879</v>
      </c>
      <c r="B911" s="5" t="s">
        <v>16</v>
      </c>
      <c r="C911" s="5" t="s">
        <v>1823</v>
      </c>
      <c r="D911" s="5">
        <v>58.65</v>
      </c>
      <c r="E911" s="5">
        <v>58.5</v>
      </c>
      <c r="F911" s="5">
        <v>59.4</v>
      </c>
      <c r="G911" s="5">
        <v>58</v>
      </c>
      <c r="H911" s="5">
        <v>58.8</v>
      </c>
      <c r="I911" s="5">
        <v>58.95</v>
      </c>
      <c r="J911" s="5">
        <v>58.82</v>
      </c>
      <c r="K911" s="5">
        <v>488050</v>
      </c>
      <c r="L911" s="5">
        <v>287.07</v>
      </c>
      <c r="M911" s="5">
        <v>4714</v>
      </c>
      <c r="N911" s="5">
        <v>224529</v>
      </c>
      <c r="O911" s="5">
        <v>46.01</v>
      </c>
      <c r="P911" s="5">
        <f t="shared" si="75"/>
        <v>0.30000000000000426</v>
      </c>
      <c r="Q911" s="6">
        <f t="shared" si="76"/>
        <v>5.1150895140665686E-3</v>
      </c>
      <c r="R911" s="5">
        <f t="shared" si="77"/>
        <v>1.3999999999999986</v>
      </c>
      <c r="S911" s="6">
        <f t="shared" si="78"/>
        <v>2.387041773231029E-2</v>
      </c>
      <c r="T911" s="6">
        <f t="shared" si="79"/>
        <v>2.2141792633596346E-3</v>
      </c>
    </row>
    <row r="912" spans="1:20" hidden="1" x14ac:dyDescent="0.25">
      <c r="A912" s="4" t="s">
        <v>880</v>
      </c>
      <c r="B912" s="5" t="s">
        <v>39</v>
      </c>
      <c r="C912" s="5" t="s">
        <v>1823</v>
      </c>
      <c r="D912" s="5">
        <v>2.6</v>
      </c>
      <c r="E912" s="5">
        <v>2.6</v>
      </c>
      <c r="F912" s="5">
        <v>2.6</v>
      </c>
      <c r="G912" s="5">
        <v>2.6</v>
      </c>
      <c r="H912" s="5">
        <v>2.6</v>
      </c>
      <c r="I912" s="5">
        <v>2.6</v>
      </c>
      <c r="J912" s="5">
        <v>2.6</v>
      </c>
      <c r="K912" s="5">
        <v>1501</v>
      </c>
      <c r="L912" s="5">
        <v>0.04</v>
      </c>
      <c r="M912" s="5">
        <v>3</v>
      </c>
      <c r="N912" s="5" t="s">
        <v>25</v>
      </c>
      <c r="O912" s="5" t="s">
        <v>25</v>
      </c>
      <c r="P912" s="5">
        <f t="shared" si="75"/>
        <v>0</v>
      </c>
      <c r="Q912" s="6">
        <f t="shared" si="76"/>
        <v>0</v>
      </c>
      <c r="R912" s="5">
        <f t="shared" si="77"/>
        <v>0</v>
      </c>
      <c r="S912" s="6">
        <f t="shared" si="78"/>
        <v>0</v>
      </c>
      <c r="T912" s="6">
        <f t="shared" si="79"/>
        <v>0</v>
      </c>
    </row>
    <row r="913" spans="1:20" hidden="1" x14ac:dyDescent="0.25">
      <c r="A913" s="4" t="s">
        <v>881</v>
      </c>
      <c r="B913" s="5" t="s">
        <v>16</v>
      </c>
      <c r="C913" s="5" t="s">
        <v>1823</v>
      </c>
      <c r="D913" s="5">
        <v>380.05</v>
      </c>
      <c r="E913" s="5">
        <v>376.2</v>
      </c>
      <c r="F913" s="5">
        <v>383.5</v>
      </c>
      <c r="G913" s="5">
        <v>367</v>
      </c>
      <c r="H913" s="5">
        <v>378.7</v>
      </c>
      <c r="I913" s="5">
        <v>376.8</v>
      </c>
      <c r="J913" s="5">
        <v>376.94</v>
      </c>
      <c r="K913" s="5">
        <v>13789</v>
      </c>
      <c r="L913" s="5">
        <v>51.98</v>
      </c>
      <c r="M913" s="5">
        <v>737</v>
      </c>
      <c r="N913" s="5">
        <v>7956</v>
      </c>
      <c r="O913" s="5">
        <v>57.7</v>
      </c>
      <c r="P913" s="5">
        <f t="shared" si="75"/>
        <v>-3.25</v>
      </c>
      <c r="Q913" s="6">
        <f t="shared" si="76"/>
        <v>-8.5515063807393762E-3</v>
      </c>
      <c r="R913" s="5">
        <f t="shared" si="77"/>
        <v>16.5</v>
      </c>
      <c r="S913" s="6">
        <f t="shared" si="78"/>
        <v>4.3415340086830678E-2</v>
      </c>
      <c r="T913" s="6">
        <f t="shared" si="79"/>
        <v>-3.7246425008310302E-4</v>
      </c>
    </row>
    <row r="914" spans="1:20" hidden="1" x14ac:dyDescent="0.25">
      <c r="A914" s="4" t="s">
        <v>882</v>
      </c>
      <c r="B914" s="5" t="s">
        <v>16</v>
      </c>
      <c r="C914" s="5" t="s">
        <v>1823</v>
      </c>
      <c r="D914" s="5">
        <v>75.2</v>
      </c>
      <c r="E914" s="5">
        <v>75.3</v>
      </c>
      <c r="F914" s="5">
        <v>75.349999999999994</v>
      </c>
      <c r="G914" s="5">
        <v>72.599999999999994</v>
      </c>
      <c r="H914" s="5">
        <v>72.7</v>
      </c>
      <c r="I914" s="5">
        <v>72.849999999999994</v>
      </c>
      <c r="J914" s="5">
        <v>73.69</v>
      </c>
      <c r="K914" s="5">
        <v>22354</v>
      </c>
      <c r="L914" s="5">
        <v>16.47</v>
      </c>
      <c r="M914" s="5">
        <v>296</v>
      </c>
      <c r="N914" s="5">
        <v>14162</v>
      </c>
      <c r="O914" s="5">
        <v>63.35</v>
      </c>
      <c r="P914" s="5">
        <f t="shared" si="75"/>
        <v>-2.3500000000000085</v>
      </c>
      <c r="Q914" s="6">
        <f t="shared" si="76"/>
        <v>-3.1250000000000111E-2</v>
      </c>
      <c r="R914" s="5">
        <f t="shared" si="77"/>
        <v>2.75</v>
      </c>
      <c r="S914" s="6">
        <f t="shared" si="78"/>
        <v>3.6569148936170214E-2</v>
      </c>
      <c r="T914" s="6">
        <f t="shared" si="79"/>
        <v>-1.1347517730496502E-2</v>
      </c>
    </row>
    <row r="915" spans="1:20" x14ac:dyDescent="0.25">
      <c r="A915" s="4" t="s">
        <v>1691</v>
      </c>
      <c r="B915" s="5" t="s">
        <v>16</v>
      </c>
      <c r="C915" s="5" t="s">
        <v>1823</v>
      </c>
      <c r="D915" s="5">
        <v>25.4</v>
      </c>
      <c r="E915" s="5">
        <v>25.35</v>
      </c>
      <c r="F915" s="5">
        <v>25.35</v>
      </c>
      <c r="G915" s="5">
        <v>23.4</v>
      </c>
      <c r="H915" s="5">
        <v>24.25</v>
      </c>
      <c r="I915" s="5">
        <v>24.3</v>
      </c>
      <c r="J915" s="5">
        <v>24.43</v>
      </c>
      <c r="K915" s="5">
        <v>2365900</v>
      </c>
      <c r="L915" s="5">
        <v>578.08000000000004</v>
      </c>
      <c r="M915" s="5">
        <v>4403</v>
      </c>
      <c r="N915" s="5">
        <v>1139637</v>
      </c>
      <c r="O915" s="5">
        <v>48.17</v>
      </c>
      <c r="P915" s="5">
        <f t="shared" si="75"/>
        <v>-1.0999999999999979</v>
      </c>
      <c r="Q915" s="6">
        <f t="shared" si="76"/>
        <v>-4.3307086614173144E-2</v>
      </c>
      <c r="R915" s="5">
        <f t="shared" si="77"/>
        <v>1.9500000000000028</v>
      </c>
      <c r="S915" s="6">
        <f t="shared" si="78"/>
        <v>7.67716535433072E-2</v>
      </c>
      <c r="T915" s="6">
        <f t="shared" si="79"/>
        <v>-5.2845528455284152E-3</v>
      </c>
    </row>
    <row r="916" spans="1:20" hidden="1" x14ac:dyDescent="0.25">
      <c r="A916" s="4" t="s">
        <v>884</v>
      </c>
      <c r="B916" s="5" t="s">
        <v>16</v>
      </c>
      <c r="C916" s="5" t="s">
        <v>1823</v>
      </c>
      <c r="D916" s="5">
        <v>362.75</v>
      </c>
      <c r="E916" s="5">
        <v>400.8</v>
      </c>
      <c r="F916" s="5">
        <v>400.8</v>
      </c>
      <c r="G916" s="5">
        <v>360.05</v>
      </c>
      <c r="H916" s="5">
        <v>360.05</v>
      </c>
      <c r="I916" s="5">
        <v>362.65</v>
      </c>
      <c r="J916" s="5">
        <v>366.74</v>
      </c>
      <c r="K916" s="5">
        <v>178</v>
      </c>
      <c r="L916" s="5">
        <v>0.65</v>
      </c>
      <c r="M916" s="5">
        <v>31</v>
      </c>
      <c r="N916" s="5">
        <v>130</v>
      </c>
      <c r="O916" s="5">
        <v>73.03</v>
      </c>
      <c r="P916" s="5">
        <f t="shared" si="75"/>
        <v>-0.10000000000002274</v>
      </c>
      <c r="Q916" s="6">
        <f t="shared" si="76"/>
        <v>-2.7567195037911163E-4</v>
      </c>
      <c r="R916" s="5">
        <f t="shared" si="77"/>
        <v>40.75</v>
      </c>
      <c r="S916" s="6">
        <f t="shared" si="78"/>
        <v>0.11233631977946244</v>
      </c>
      <c r="T916" s="6">
        <f t="shared" si="79"/>
        <v>-1.0732795381486667E-2</v>
      </c>
    </row>
    <row r="917" spans="1:20" x14ac:dyDescent="0.25">
      <c r="A917" s="4" t="s">
        <v>1618</v>
      </c>
      <c r="B917" s="5" t="s">
        <v>16</v>
      </c>
      <c r="C917" s="5" t="s">
        <v>1823</v>
      </c>
      <c r="D917" s="5">
        <v>275</v>
      </c>
      <c r="E917" s="5">
        <v>274.5</v>
      </c>
      <c r="F917" s="5">
        <v>281.25</v>
      </c>
      <c r="G917" s="5">
        <v>271.3</v>
      </c>
      <c r="H917" s="5">
        <v>280</v>
      </c>
      <c r="I917" s="5">
        <v>279.45</v>
      </c>
      <c r="J917" s="5">
        <v>276.26</v>
      </c>
      <c r="K917" s="5">
        <v>3273970</v>
      </c>
      <c r="L917" s="5">
        <v>9044.5499999999993</v>
      </c>
      <c r="M917" s="5">
        <v>24472</v>
      </c>
      <c r="N917" s="5">
        <v>1585634</v>
      </c>
      <c r="O917" s="5">
        <v>48.43</v>
      </c>
      <c r="P917" s="5">
        <f t="shared" si="75"/>
        <v>4.4499999999999886</v>
      </c>
      <c r="Q917" s="6">
        <f t="shared" si="76"/>
        <v>1.6181818181818141E-2</v>
      </c>
      <c r="R917" s="5">
        <f t="shared" si="77"/>
        <v>9.9499999999999886</v>
      </c>
      <c r="S917" s="6">
        <f t="shared" si="78"/>
        <v>3.6181818181818141E-2</v>
      </c>
      <c r="T917" s="6">
        <f t="shared" si="79"/>
        <v>1.1531857207410746E-2</v>
      </c>
    </row>
    <row r="918" spans="1:20" hidden="1" x14ac:dyDescent="0.25">
      <c r="A918" s="4" t="s">
        <v>886</v>
      </c>
      <c r="B918" s="5" t="s">
        <v>16</v>
      </c>
      <c r="C918" s="5" t="s">
        <v>1823</v>
      </c>
      <c r="D918" s="5">
        <v>9.9</v>
      </c>
      <c r="E918" s="5">
        <v>9.9499999999999993</v>
      </c>
      <c r="F918" s="5">
        <v>9.9499999999999993</v>
      </c>
      <c r="G918" s="5">
        <v>9.5500000000000007</v>
      </c>
      <c r="H918" s="5">
        <v>9.6</v>
      </c>
      <c r="I918" s="5">
        <v>9.65</v>
      </c>
      <c r="J918" s="5">
        <v>9.6999999999999993</v>
      </c>
      <c r="K918" s="5">
        <v>19197</v>
      </c>
      <c r="L918" s="5">
        <v>1.86</v>
      </c>
      <c r="M918" s="5">
        <v>127</v>
      </c>
      <c r="N918" s="5">
        <v>12366</v>
      </c>
      <c r="O918" s="5">
        <v>64.42</v>
      </c>
      <c r="P918" s="5">
        <f t="shared" si="75"/>
        <v>-0.25</v>
      </c>
      <c r="Q918" s="6">
        <f t="shared" si="76"/>
        <v>-2.5252525252525252E-2</v>
      </c>
      <c r="R918" s="5">
        <f t="shared" si="77"/>
        <v>0.39999999999999858</v>
      </c>
      <c r="S918" s="6">
        <f t="shared" si="78"/>
        <v>4.0404040404040262E-2</v>
      </c>
      <c r="T918" s="6">
        <f t="shared" si="79"/>
        <v>-5.1150895140663873E-3</v>
      </c>
    </row>
    <row r="919" spans="1:20" x14ac:dyDescent="0.25">
      <c r="A919" s="4" t="s">
        <v>1483</v>
      </c>
      <c r="B919" s="5" t="s">
        <v>16</v>
      </c>
      <c r="C919" s="5" t="s">
        <v>1823</v>
      </c>
      <c r="D919" s="5">
        <v>1435.3</v>
      </c>
      <c r="E919" s="5">
        <v>1424.05</v>
      </c>
      <c r="F919" s="5">
        <v>1475.05</v>
      </c>
      <c r="G919" s="5">
        <v>1424.05</v>
      </c>
      <c r="H919" s="5">
        <v>1445</v>
      </c>
      <c r="I919" s="5">
        <v>1442.5</v>
      </c>
      <c r="J919" s="5">
        <v>1454.67</v>
      </c>
      <c r="K919" s="5">
        <v>1130201</v>
      </c>
      <c r="L919" s="5">
        <v>16440.68</v>
      </c>
      <c r="M919" s="5">
        <v>107839</v>
      </c>
      <c r="N919" s="5">
        <v>547458</v>
      </c>
      <c r="O919" s="5">
        <v>48.44</v>
      </c>
      <c r="P919" s="5">
        <f t="shared" si="75"/>
        <v>7.2000000000000455</v>
      </c>
      <c r="Q919" s="6">
        <f t="shared" si="76"/>
        <v>5.0163728837177212E-3</v>
      </c>
      <c r="R919" s="5">
        <f t="shared" si="77"/>
        <v>51</v>
      </c>
      <c r="S919" s="6">
        <f t="shared" si="78"/>
        <v>3.5532641259666972E-2</v>
      </c>
      <c r="T919" s="6">
        <f t="shared" si="79"/>
        <v>-8.443107021758222E-3</v>
      </c>
    </row>
    <row r="920" spans="1:20" x14ac:dyDescent="0.25">
      <c r="A920" s="4" t="s">
        <v>655</v>
      </c>
      <c r="B920" s="5" t="s">
        <v>16</v>
      </c>
      <c r="C920" s="5" t="s">
        <v>1823</v>
      </c>
      <c r="D920" s="5">
        <v>154.9</v>
      </c>
      <c r="E920" s="5">
        <v>155.9</v>
      </c>
      <c r="F920" s="5">
        <v>157.55000000000001</v>
      </c>
      <c r="G920" s="5">
        <v>151.25</v>
      </c>
      <c r="H920" s="5">
        <v>152.30000000000001</v>
      </c>
      <c r="I920" s="5">
        <v>152.55000000000001</v>
      </c>
      <c r="J920" s="5">
        <v>154.78</v>
      </c>
      <c r="K920" s="5">
        <v>163139</v>
      </c>
      <c r="L920" s="5">
        <v>252.5</v>
      </c>
      <c r="M920" s="5">
        <v>2825</v>
      </c>
      <c r="N920" s="5">
        <v>79042</v>
      </c>
      <c r="O920" s="5">
        <v>48.45</v>
      </c>
      <c r="P920" s="5">
        <f t="shared" si="75"/>
        <v>-2.3499999999999943</v>
      </c>
      <c r="Q920" s="6">
        <f t="shared" si="76"/>
        <v>-1.5171078114912809E-2</v>
      </c>
      <c r="R920" s="5">
        <f t="shared" si="77"/>
        <v>6.3000000000000114</v>
      </c>
      <c r="S920" s="6">
        <f t="shared" si="78"/>
        <v>4.0671400903808982E-2</v>
      </c>
      <c r="T920" s="6">
        <f t="shared" si="79"/>
        <v>-1.4451194815714798E-2</v>
      </c>
    </row>
    <row r="921" spans="1:20" hidden="1" x14ac:dyDescent="0.25">
      <c r="A921" s="4" t="s">
        <v>889</v>
      </c>
      <c r="B921" s="5" t="s">
        <v>16</v>
      </c>
      <c r="C921" s="5" t="s">
        <v>1823</v>
      </c>
      <c r="D921" s="5">
        <v>1079.05</v>
      </c>
      <c r="E921" s="5">
        <v>1100</v>
      </c>
      <c r="F921" s="5">
        <v>1125</v>
      </c>
      <c r="G921" s="5">
        <v>1076.05</v>
      </c>
      <c r="H921" s="5">
        <v>1125</v>
      </c>
      <c r="I921" s="5">
        <v>1112.45</v>
      </c>
      <c r="J921" s="5">
        <v>1104.3599999999999</v>
      </c>
      <c r="K921" s="5">
        <v>3578</v>
      </c>
      <c r="L921" s="5">
        <v>39.51</v>
      </c>
      <c r="M921" s="5">
        <v>783</v>
      </c>
      <c r="N921" s="5">
        <v>2496</v>
      </c>
      <c r="O921" s="5">
        <v>69.760000000000005</v>
      </c>
      <c r="P921" s="5">
        <f t="shared" si="75"/>
        <v>33.400000000000091</v>
      </c>
      <c r="Q921" s="6">
        <f t="shared" si="76"/>
        <v>3.0953153236643428E-2</v>
      </c>
      <c r="R921" s="5">
        <f t="shared" si="77"/>
        <v>48.950000000000045</v>
      </c>
      <c r="S921" s="6">
        <f t="shared" si="78"/>
        <v>4.5363977572865068E-2</v>
      </c>
      <c r="T921" s="6">
        <f t="shared" si="79"/>
        <v>7.332049393905196E-3</v>
      </c>
    </row>
    <row r="922" spans="1:20" hidden="1" x14ac:dyDescent="0.25">
      <c r="A922" s="4" t="s">
        <v>890</v>
      </c>
      <c r="B922" s="5" t="s">
        <v>39</v>
      </c>
      <c r="C922" s="5" t="s">
        <v>1823</v>
      </c>
      <c r="D922" s="5">
        <v>25.85</v>
      </c>
      <c r="E922" s="5">
        <v>25.5</v>
      </c>
      <c r="F922" s="5">
        <v>27.1</v>
      </c>
      <c r="G922" s="5">
        <v>25.5</v>
      </c>
      <c r="H922" s="5">
        <v>26.25</v>
      </c>
      <c r="I922" s="5">
        <v>26.25</v>
      </c>
      <c r="J922" s="5">
        <v>26.55</v>
      </c>
      <c r="K922" s="5">
        <v>7774</v>
      </c>
      <c r="L922" s="5">
        <v>2.06</v>
      </c>
      <c r="M922" s="5">
        <v>32</v>
      </c>
      <c r="N922" s="5" t="s">
        <v>25</v>
      </c>
      <c r="O922" s="5" t="s">
        <v>25</v>
      </c>
      <c r="P922" s="5">
        <f t="shared" si="75"/>
        <v>0.39999999999999858</v>
      </c>
      <c r="Q922" s="6">
        <f t="shared" si="76"/>
        <v>1.5473887814313291E-2</v>
      </c>
      <c r="R922" s="5">
        <f t="shared" si="77"/>
        <v>1.6000000000000014</v>
      </c>
      <c r="S922" s="6">
        <f t="shared" si="78"/>
        <v>6.1895551257253434E-2</v>
      </c>
      <c r="T922" s="6">
        <f t="shared" si="79"/>
        <v>-1.1499760421657909E-2</v>
      </c>
    </row>
    <row r="923" spans="1:20" hidden="1" x14ac:dyDescent="0.25">
      <c r="A923" s="4" t="s">
        <v>891</v>
      </c>
      <c r="B923" s="5" t="s">
        <v>16</v>
      </c>
      <c r="C923" s="5" t="s">
        <v>1823</v>
      </c>
      <c r="D923" s="5">
        <v>32.200000000000003</v>
      </c>
      <c r="E923" s="5">
        <v>33.700000000000003</v>
      </c>
      <c r="F923" s="5">
        <v>33.700000000000003</v>
      </c>
      <c r="G923" s="5">
        <v>32.200000000000003</v>
      </c>
      <c r="H923" s="5">
        <v>33.299999999999997</v>
      </c>
      <c r="I923" s="5">
        <v>33.299999999999997</v>
      </c>
      <c r="J923" s="5">
        <v>33.229999999999997</v>
      </c>
      <c r="K923" s="5">
        <v>6337</v>
      </c>
      <c r="L923" s="5">
        <v>2.11</v>
      </c>
      <c r="M923" s="5">
        <v>48</v>
      </c>
      <c r="N923" s="5">
        <v>4009</v>
      </c>
      <c r="O923" s="5">
        <v>63.26</v>
      </c>
      <c r="P923" s="5">
        <f t="shared" si="75"/>
        <v>1.0999999999999943</v>
      </c>
      <c r="Q923" s="6">
        <f t="shared" si="76"/>
        <v>3.4161490683229635E-2</v>
      </c>
      <c r="R923" s="5">
        <f t="shared" si="77"/>
        <v>1.5</v>
      </c>
      <c r="S923" s="6">
        <f t="shared" si="78"/>
        <v>4.6583850931677016E-2</v>
      </c>
      <c r="T923" s="6">
        <f t="shared" si="79"/>
        <v>2.1068472535741242E-3</v>
      </c>
    </row>
    <row r="924" spans="1:20" x14ac:dyDescent="0.25">
      <c r="A924" s="4" t="s">
        <v>1623</v>
      </c>
      <c r="B924" s="5" t="s">
        <v>16</v>
      </c>
      <c r="C924" s="5" t="s">
        <v>1823</v>
      </c>
      <c r="D924" s="5">
        <v>66.400000000000006</v>
      </c>
      <c r="E924" s="5">
        <v>65.400000000000006</v>
      </c>
      <c r="F924" s="5">
        <v>65.95</v>
      </c>
      <c r="G924" s="5">
        <v>62.85</v>
      </c>
      <c r="H924" s="5">
        <v>63.55</v>
      </c>
      <c r="I924" s="5">
        <v>63.8</v>
      </c>
      <c r="J924" s="5">
        <v>63.95</v>
      </c>
      <c r="K924" s="5">
        <v>16576534</v>
      </c>
      <c r="L924" s="5">
        <v>10599.89</v>
      </c>
      <c r="M924" s="5">
        <v>30902</v>
      </c>
      <c r="N924" s="5">
        <v>8059875</v>
      </c>
      <c r="O924" s="5">
        <v>48.62</v>
      </c>
      <c r="P924" s="5">
        <f t="shared" si="75"/>
        <v>-2.6000000000000085</v>
      </c>
      <c r="Q924" s="6">
        <f t="shared" si="76"/>
        <v>-3.9156626506024222E-2</v>
      </c>
      <c r="R924" s="5">
        <f t="shared" si="77"/>
        <v>3.1000000000000014</v>
      </c>
      <c r="S924" s="6">
        <f t="shared" si="78"/>
        <v>4.6686746987951826E-2</v>
      </c>
      <c r="T924" s="6">
        <f t="shared" si="79"/>
        <v>-2.3255813953489252E-3</v>
      </c>
    </row>
    <row r="925" spans="1:20" hidden="1" x14ac:dyDescent="0.25">
      <c r="A925" s="4" t="s">
        <v>893</v>
      </c>
      <c r="B925" s="5" t="s">
        <v>39</v>
      </c>
      <c r="C925" s="5" t="s">
        <v>1823</v>
      </c>
      <c r="D925" s="5">
        <v>0.3</v>
      </c>
      <c r="E925" s="5">
        <v>0.35</v>
      </c>
      <c r="F925" s="5">
        <v>0.35</v>
      </c>
      <c r="G925" s="5">
        <v>0.25</v>
      </c>
      <c r="H925" s="5">
        <v>0.3</v>
      </c>
      <c r="I925" s="5">
        <v>0.3</v>
      </c>
      <c r="J925" s="5">
        <v>0.3</v>
      </c>
      <c r="K925" s="5">
        <v>599068</v>
      </c>
      <c r="L925" s="5">
        <v>1.82</v>
      </c>
      <c r="M925" s="5">
        <v>122</v>
      </c>
      <c r="N925" s="5" t="s">
        <v>25</v>
      </c>
      <c r="O925" s="5" t="s">
        <v>25</v>
      </c>
      <c r="P925" s="5">
        <f t="shared" si="75"/>
        <v>0</v>
      </c>
      <c r="Q925" s="6">
        <f t="shared" si="76"/>
        <v>0</v>
      </c>
      <c r="R925" s="5">
        <f t="shared" si="77"/>
        <v>9.9999999999999978E-2</v>
      </c>
      <c r="S925" s="6">
        <f t="shared" si="78"/>
        <v>0.33333333333333326</v>
      </c>
      <c r="T925" s="6">
        <f t="shared" si="79"/>
        <v>0</v>
      </c>
    </row>
    <row r="926" spans="1:20" hidden="1" x14ac:dyDescent="0.25">
      <c r="A926" s="4" t="s">
        <v>894</v>
      </c>
      <c r="B926" s="5" t="s">
        <v>16</v>
      </c>
      <c r="C926" s="5" t="s">
        <v>1823</v>
      </c>
      <c r="D926" s="5">
        <v>243.85</v>
      </c>
      <c r="E926" s="5">
        <v>244.95</v>
      </c>
      <c r="F926" s="5">
        <v>244.95</v>
      </c>
      <c r="G926" s="5">
        <v>228</v>
      </c>
      <c r="H926" s="5">
        <v>229</v>
      </c>
      <c r="I926" s="5">
        <v>229.95</v>
      </c>
      <c r="J926" s="5">
        <v>233.52</v>
      </c>
      <c r="K926" s="5">
        <v>17861</v>
      </c>
      <c r="L926" s="5">
        <v>41.71</v>
      </c>
      <c r="M926" s="5">
        <v>1048</v>
      </c>
      <c r="N926" s="5">
        <v>10962</v>
      </c>
      <c r="O926" s="5">
        <v>61.37</v>
      </c>
      <c r="P926" s="5">
        <f t="shared" si="75"/>
        <v>-13.900000000000006</v>
      </c>
      <c r="Q926" s="6">
        <f t="shared" si="76"/>
        <v>-5.7002255484929286E-2</v>
      </c>
      <c r="R926" s="5">
        <f t="shared" si="77"/>
        <v>16.949999999999989</v>
      </c>
      <c r="S926" s="6">
        <f t="shared" si="78"/>
        <v>6.9509944638097149E-2</v>
      </c>
      <c r="T926" s="6">
        <f t="shared" si="79"/>
        <v>-1.5065674948567904E-2</v>
      </c>
    </row>
    <row r="927" spans="1:20" hidden="1" x14ac:dyDescent="0.25">
      <c r="A927" s="4" t="s">
        <v>895</v>
      </c>
      <c r="B927" s="5" t="s">
        <v>39</v>
      </c>
      <c r="C927" s="5" t="s">
        <v>1823</v>
      </c>
      <c r="D927" s="5">
        <v>20.3</v>
      </c>
      <c r="E927" s="5">
        <v>20</v>
      </c>
      <c r="F927" s="5">
        <v>20.3</v>
      </c>
      <c r="G927" s="5">
        <v>20</v>
      </c>
      <c r="H927" s="5">
        <v>20.3</v>
      </c>
      <c r="I927" s="5">
        <v>20.3</v>
      </c>
      <c r="J927" s="5">
        <v>20.100000000000001</v>
      </c>
      <c r="K927" s="5">
        <v>141</v>
      </c>
      <c r="L927" s="5">
        <v>0.03</v>
      </c>
      <c r="M927" s="5">
        <v>7</v>
      </c>
      <c r="N927" s="5" t="s">
        <v>25</v>
      </c>
      <c r="O927" s="5" t="s">
        <v>25</v>
      </c>
      <c r="P927" s="5">
        <f t="shared" si="75"/>
        <v>0</v>
      </c>
      <c r="Q927" s="6">
        <f t="shared" si="76"/>
        <v>0</v>
      </c>
      <c r="R927" s="5">
        <f t="shared" si="77"/>
        <v>0.30000000000000071</v>
      </c>
      <c r="S927" s="6">
        <f t="shared" si="78"/>
        <v>1.4778325123152743E-2</v>
      </c>
      <c r="T927" s="6">
        <f t="shared" si="79"/>
        <v>9.9255583126550521E-3</v>
      </c>
    </row>
    <row r="928" spans="1:20" hidden="1" x14ac:dyDescent="0.25">
      <c r="A928" s="4" t="s">
        <v>1841</v>
      </c>
      <c r="B928" s="5" t="s">
        <v>39</v>
      </c>
      <c r="C928" s="5" t="s">
        <v>1823</v>
      </c>
      <c r="D928" s="5">
        <v>14.25</v>
      </c>
      <c r="E928" s="5">
        <v>14.95</v>
      </c>
      <c r="F928" s="5">
        <v>14.95</v>
      </c>
      <c r="G928" s="5">
        <v>14.95</v>
      </c>
      <c r="H928" s="5">
        <v>14.95</v>
      </c>
      <c r="I928" s="5">
        <v>14.95</v>
      </c>
      <c r="J928" s="5">
        <v>14.95</v>
      </c>
      <c r="K928" s="5">
        <v>1</v>
      </c>
      <c r="L928" s="5">
        <v>0</v>
      </c>
      <c r="M928" s="5">
        <v>1</v>
      </c>
      <c r="N928" s="5" t="s">
        <v>25</v>
      </c>
      <c r="O928" s="5" t="s">
        <v>25</v>
      </c>
      <c r="P928" s="5">
        <f t="shared" si="75"/>
        <v>0.69999999999999929</v>
      </c>
      <c r="Q928" s="6">
        <f t="shared" si="76"/>
        <v>4.9122807017543811E-2</v>
      </c>
      <c r="R928" s="5">
        <f t="shared" si="77"/>
        <v>0</v>
      </c>
      <c r="S928" s="6">
        <f t="shared" si="78"/>
        <v>0</v>
      </c>
      <c r="T928" s="6">
        <f t="shared" si="79"/>
        <v>0</v>
      </c>
    </row>
    <row r="929" spans="1:20" hidden="1" x14ac:dyDescent="0.25">
      <c r="A929" s="4" t="s">
        <v>896</v>
      </c>
      <c r="B929" s="5" t="s">
        <v>28</v>
      </c>
      <c r="C929" s="5" t="s">
        <v>1823</v>
      </c>
      <c r="D929" s="5">
        <v>31.5</v>
      </c>
      <c r="E929" s="5">
        <v>29.9</v>
      </c>
      <c r="F929" s="5">
        <v>29.9</v>
      </c>
      <c r="G929" s="5">
        <v>28.7</v>
      </c>
      <c r="H929" s="5">
        <v>28.7</v>
      </c>
      <c r="I929" s="5">
        <v>28.7</v>
      </c>
      <c r="J929" s="5">
        <v>29.81</v>
      </c>
      <c r="K929" s="5">
        <v>39000</v>
      </c>
      <c r="L929" s="5">
        <v>11.63</v>
      </c>
      <c r="M929" s="5">
        <v>10</v>
      </c>
      <c r="N929" s="5">
        <v>39000</v>
      </c>
      <c r="O929" s="5">
        <v>100</v>
      </c>
      <c r="P929" s="5">
        <f t="shared" si="75"/>
        <v>-2.8000000000000007</v>
      </c>
      <c r="Q929" s="6">
        <f t="shared" si="76"/>
        <v>-8.8888888888888906E-2</v>
      </c>
      <c r="R929" s="5">
        <f t="shared" si="77"/>
        <v>1.1999999999999993</v>
      </c>
      <c r="S929" s="6">
        <f t="shared" si="78"/>
        <v>3.8095238095238071E-2</v>
      </c>
      <c r="T929" s="6">
        <f t="shared" si="79"/>
        <v>-3.788395904436858E-2</v>
      </c>
    </row>
    <row r="930" spans="1:20" hidden="1" x14ac:dyDescent="0.25">
      <c r="A930" s="4" t="s">
        <v>897</v>
      </c>
      <c r="B930" s="5" t="s">
        <v>16</v>
      </c>
      <c r="C930" s="5" t="s">
        <v>1823</v>
      </c>
      <c r="D930" s="5">
        <v>1737.15</v>
      </c>
      <c r="E930" s="5">
        <v>1727.55</v>
      </c>
      <c r="F930" s="5">
        <v>1745.05</v>
      </c>
      <c r="G930" s="5">
        <v>1675.75</v>
      </c>
      <c r="H930" s="5">
        <v>1693</v>
      </c>
      <c r="I930" s="5">
        <v>1687.15</v>
      </c>
      <c r="J930" s="5">
        <v>1717.84</v>
      </c>
      <c r="K930" s="5">
        <v>870</v>
      </c>
      <c r="L930" s="5">
        <v>14.95</v>
      </c>
      <c r="M930" s="5">
        <v>377</v>
      </c>
      <c r="N930" s="5">
        <v>478</v>
      </c>
      <c r="O930" s="5">
        <v>54.94</v>
      </c>
      <c r="P930" s="5">
        <f t="shared" si="75"/>
        <v>-50</v>
      </c>
      <c r="Q930" s="6">
        <f t="shared" si="76"/>
        <v>-2.878277638661025E-2</v>
      </c>
      <c r="R930" s="5">
        <f t="shared" si="77"/>
        <v>69.299999999999955</v>
      </c>
      <c r="S930" s="6">
        <f t="shared" si="78"/>
        <v>3.9892928071841784E-2</v>
      </c>
      <c r="T930" s="6">
        <f t="shared" si="79"/>
        <v>-1.7959183673469287E-2</v>
      </c>
    </row>
    <row r="931" spans="1:20" hidden="1" x14ac:dyDescent="0.25">
      <c r="A931" s="4" t="s">
        <v>898</v>
      </c>
      <c r="B931" s="5" t="s">
        <v>16</v>
      </c>
      <c r="C931" s="5" t="s">
        <v>1823</v>
      </c>
      <c r="D931" s="5">
        <v>124.4</v>
      </c>
      <c r="E931" s="5">
        <v>123</v>
      </c>
      <c r="F931" s="5">
        <v>125</v>
      </c>
      <c r="G931" s="5">
        <v>120</v>
      </c>
      <c r="H931" s="5">
        <v>125</v>
      </c>
      <c r="I931" s="5">
        <v>123.65</v>
      </c>
      <c r="J931" s="5">
        <v>122.99</v>
      </c>
      <c r="K931" s="5">
        <v>8434</v>
      </c>
      <c r="L931" s="5">
        <v>10.37</v>
      </c>
      <c r="M931" s="5">
        <v>414</v>
      </c>
      <c r="N931" s="5">
        <v>3706</v>
      </c>
      <c r="O931" s="5">
        <v>43.94</v>
      </c>
      <c r="P931" s="5">
        <f t="shared" si="75"/>
        <v>-0.75</v>
      </c>
      <c r="Q931" s="6">
        <f t="shared" si="76"/>
        <v>-6.0289389067524112E-3</v>
      </c>
      <c r="R931" s="5">
        <f t="shared" si="77"/>
        <v>5</v>
      </c>
      <c r="S931" s="6">
        <f t="shared" si="78"/>
        <v>4.0192926045016078E-2</v>
      </c>
      <c r="T931" s="6">
        <f t="shared" si="79"/>
        <v>5.3696735482559616E-3</v>
      </c>
    </row>
    <row r="932" spans="1:20" hidden="1" x14ac:dyDescent="0.25">
      <c r="A932" s="4" t="s">
        <v>899</v>
      </c>
      <c r="B932" s="5" t="s">
        <v>16</v>
      </c>
      <c r="C932" s="5" t="s">
        <v>1823</v>
      </c>
      <c r="D932" s="5">
        <v>660.55</v>
      </c>
      <c r="E932" s="5">
        <v>667.4</v>
      </c>
      <c r="F932" s="5">
        <v>668</v>
      </c>
      <c r="G932" s="5">
        <v>645.95000000000005</v>
      </c>
      <c r="H932" s="5">
        <v>656.4</v>
      </c>
      <c r="I932" s="5">
        <v>656.35</v>
      </c>
      <c r="J932" s="5">
        <v>658.74</v>
      </c>
      <c r="K932" s="5">
        <v>2707</v>
      </c>
      <c r="L932" s="5">
        <v>17.829999999999998</v>
      </c>
      <c r="M932" s="5">
        <v>182</v>
      </c>
      <c r="N932" s="5">
        <v>2036</v>
      </c>
      <c r="O932" s="5">
        <v>75.209999999999994</v>
      </c>
      <c r="P932" s="5">
        <f t="shared" si="75"/>
        <v>-4.1999999999999318</v>
      </c>
      <c r="Q932" s="6">
        <f t="shared" si="76"/>
        <v>-6.3583377488455562E-3</v>
      </c>
      <c r="R932" s="5">
        <f t="shared" si="77"/>
        <v>22.049999999999955</v>
      </c>
      <c r="S932" s="6">
        <f t="shared" si="78"/>
        <v>3.3381273181439644E-2</v>
      </c>
      <c r="T932" s="6">
        <f t="shared" si="79"/>
        <v>-3.6243697160404688E-3</v>
      </c>
    </row>
    <row r="933" spans="1:20" hidden="1" x14ac:dyDescent="0.25">
      <c r="A933" s="4" t="s">
        <v>900</v>
      </c>
      <c r="B933" s="5" t="s">
        <v>16</v>
      </c>
      <c r="C933" s="5" t="s">
        <v>1823</v>
      </c>
      <c r="D933" s="5">
        <v>126</v>
      </c>
      <c r="E933" s="5">
        <v>128.75</v>
      </c>
      <c r="F933" s="5">
        <v>128.80000000000001</v>
      </c>
      <c r="G933" s="5">
        <v>124.1</v>
      </c>
      <c r="H933" s="5">
        <v>125</v>
      </c>
      <c r="I933" s="5">
        <v>124.95</v>
      </c>
      <c r="J933" s="5">
        <v>125.49</v>
      </c>
      <c r="K933" s="5">
        <v>11322</v>
      </c>
      <c r="L933" s="5">
        <v>14.21</v>
      </c>
      <c r="M933" s="5">
        <v>232</v>
      </c>
      <c r="N933" s="5">
        <v>8428</v>
      </c>
      <c r="O933" s="5">
        <v>74.44</v>
      </c>
      <c r="P933" s="5">
        <f t="shared" si="75"/>
        <v>-1.0499999999999972</v>
      </c>
      <c r="Q933" s="6">
        <f t="shared" si="76"/>
        <v>-8.3333333333333107E-3</v>
      </c>
      <c r="R933" s="5">
        <f t="shared" si="77"/>
        <v>4.7000000000000171</v>
      </c>
      <c r="S933" s="6">
        <f t="shared" si="78"/>
        <v>3.730158730158744E-2</v>
      </c>
      <c r="T933" s="6">
        <f t="shared" si="79"/>
        <v>-4.2637189103828825E-3</v>
      </c>
    </row>
    <row r="934" spans="1:20" x14ac:dyDescent="0.25">
      <c r="A934" s="4" t="s">
        <v>498</v>
      </c>
      <c r="B934" s="5" t="s">
        <v>16</v>
      </c>
      <c r="C934" s="5" t="s">
        <v>1823</v>
      </c>
      <c r="D934" s="5">
        <v>30.45</v>
      </c>
      <c r="E934" s="5">
        <v>30.5</v>
      </c>
      <c r="F934" s="5">
        <v>30.5</v>
      </c>
      <c r="G934" s="5">
        <v>29.15</v>
      </c>
      <c r="H934" s="5">
        <v>29.15</v>
      </c>
      <c r="I934" s="5">
        <v>29.4</v>
      </c>
      <c r="J934" s="5">
        <v>29.77</v>
      </c>
      <c r="K934" s="5">
        <v>640949</v>
      </c>
      <c r="L934" s="5">
        <v>190.83</v>
      </c>
      <c r="M934" s="5">
        <v>2492</v>
      </c>
      <c r="N934" s="5">
        <v>312100</v>
      </c>
      <c r="O934" s="5">
        <v>48.69</v>
      </c>
      <c r="P934" s="5">
        <f t="shared" si="75"/>
        <v>-1.0500000000000007</v>
      </c>
      <c r="Q934" s="6">
        <f t="shared" si="76"/>
        <v>-3.4482758620689682E-2</v>
      </c>
      <c r="R934" s="5">
        <f t="shared" si="77"/>
        <v>1.3500000000000014</v>
      </c>
      <c r="S934" s="6">
        <f t="shared" si="78"/>
        <v>4.4334975369458178E-2</v>
      </c>
      <c r="T934" s="6">
        <f t="shared" si="79"/>
        <v>-1.2379757423672135E-2</v>
      </c>
    </row>
    <row r="935" spans="1:20" hidden="1" x14ac:dyDescent="0.25">
      <c r="A935" s="4" t="s">
        <v>902</v>
      </c>
      <c r="B935" s="5" t="s">
        <v>16</v>
      </c>
      <c r="C935" s="5" t="s">
        <v>1823</v>
      </c>
      <c r="D935" s="5">
        <v>162.35</v>
      </c>
      <c r="E935" s="5">
        <v>162</v>
      </c>
      <c r="F935" s="5">
        <v>163.69999999999999</v>
      </c>
      <c r="G935" s="5">
        <v>159.44999999999999</v>
      </c>
      <c r="H935" s="5">
        <v>162.69999999999999</v>
      </c>
      <c r="I935" s="5">
        <v>161.94999999999999</v>
      </c>
      <c r="J935" s="5">
        <v>161.66999999999999</v>
      </c>
      <c r="K935" s="5">
        <v>5462</v>
      </c>
      <c r="L935" s="5">
        <v>8.83</v>
      </c>
      <c r="M935" s="5">
        <v>158</v>
      </c>
      <c r="N935" s="5">
        <v>3458</v>
      </c>
      <c r="O935" s="5">
        <v>63.31</v>
      </c>
      <c r="P935" s="5">
        <f t="shared" si="75"/>
        <v>-0.40000000000000568</v>
      </c>
      <c r="Q935" s="6">
        <f t="shared" si="76"/>
        <v>-2.4638127502310176E-3</v>
      </c>
      <c r="R935" s="5">
        <f t="shared" si="77"/>
        <v>4.25</v>
      </c>
      <c r="S935" s="6">
        <f t="shared" si="78"/>
        <v>2.6178010471204188E-2</v>
      </c>
      <c r="T935" s="6">
        <f t="shared" si="79"/>
        <v>1.7307989491577881E-3</v>
      </c>
    </row>
    <row r="936" spans="1:20" hidden="1" x14ac:dyDescent="0.25">
      <c r="A936" s="4" t="s">
        <v>903</v>
      </c>
      <c r="B936" s="5" t="s">
        <v>16</v>
      </c>
      <c r="C936" s="5" t="s">
        <v>1823</v>
      </c>
      <c r="D936" s="5">
        <v>191.65</v>
      </c>
      <c r="E936" s="5">
        <v>194</v>
      </c>
      <c r="F936" s="5">
        <v>195</v>
      </c>
      <c r="G936" s="5">
        <v>185.5</v>
      </c>
      <c r="H936" s="5">
        <v>193.55</v>
      </c>
      <c r="I936" s="5">
        <v>187.65</v>
      </c>
      <c r="J936" s="5">
        <v>188.44</v>
      </c>
      <c r="K936" s="5">
        <v>17543</v>
      </c>
      <c r="L936" s="5">
        <v>33.06</v>
      </c>
      <c r="M936" s="5">
        <v>695</v>
      </c>
      <c r="N936" s="5">
        <v>10198</v>
      </c>
      <c r="O936" s="5">
        <v>58.13</v>
      </c>
      <c r="P936" s="5">
        <f t="shared" si="75"/>
        <v>-4</v>
      </c>
      <c r="Q936" s="6">
        <f t="shared" si="76"/>
        <v>-2.0871380120010434E-2</v>
      </c>
      <c r="R936" s="5">
        <f t="shared" si="77"/>
        <v>9.5</v>
      </c>
      <c r="S936" s="6">
        <f t="shared" si="78"/>
        <v>4.9569527785024783E-2</v>
      </c>
      <c r="T936" s="6">
        <f t="shared" si="79"/>
        <v>-4.1461654529947756E-3</v>
      </c>
    </row>
    <row r="937" spans="1:20" hidden="1" x14ac:dyDescent="0.25">
      <c r="A937" s="4" t="s">
        <v>904</v>
      </c>
      <c r="B937" s="5" t="s">
        <v>16</v>
      </c>
      <c r="C937" s="5" t="s">
        <v>1823</v>
      </c>
      <c r="D937" s="5">
        <v>719.05</v>
      </c>
      <c r="E937" s="5">
        <v>766.95</v>
      </c>
      <c r="F937" s="5">
        <v>766.95</v>
      </c>
      <c r="G937" s="5">
        <v>653.6</v>
      </c>
      <c r="H937" s="5">
        <v>682</v>
      </c>
      <c r="I937" s="5">
        <v>681.1</v>
      </c>
      <c r="J937" s="5">
        <v>686.72</v>
      </c>
      <c r="K937" s="5">
        <v>1976</v>
      </c>
      <c r="L937" s="5">
        <v>13.57</v>
      </c>
      <c r="M937" s="5">
        <v>258</v>
      </c>
      <c r="N937" s="5">
        <v>1121</v>
      </c>
      <c r="O937" s="5">
        <v>56.73</v>
      </c>
      <c r="P937" s="5">
        <f t="shared" si="75"/>
        <v>-37.949999999999932</v>
      </c>
      <c r="Q937" s="6">
        <f t="shared" si="76"/>
        <v>-5.2777970933870988E-2</v>
      </c>
      <c r="R937" s="5">
        <f t="shared" si="77"/>
        <v>113.35000000000002</v>
      </c>
      <c r="S937" s="6">
        <f t="shared" si="78"/>
        <v>0.15763855086572565</v>
      </c>
      <c r="T937" s="6">
        <f t="shared" si="79"/>
        <v>-7.8365753329150169E-3</v>
      </c>
    </row>
    <row r="938" spans="1:20" hidden="1" x14ac:dyDescent="0.25">
      <c r="A938" s="4" t="s">
        <v>905</v>
      </c>
      <c r="B938" s="5" t="s">
        <v>16</v>
      </c>
      <c r="C938" s="5" t="s">
        <v>1823</v>
      </c>
      <c r="D938" s="5">
        <v>94.4</v>
      </c>
      <c r="E938" s="5">
        <v>94</v>
      </c>
      <c r="F938" s="5">
        <v>99</v>
      </c>
      <c r="G938" s="5">
        <v>91.3</v>
      </c>
      <c r="H938" s="5">
        <v>98.95</v>
      </c>
      <c r="I938" s="5">
        <v>97.55</v>
      </c>
      <c r="J938" s="5">
        <v>95.63</v>
      </c>
      <c r="K938" s="5">
        <v>71762</v>
      </c>
      <c r="L938" s="5">
        <v>68.63</v>
      </c>
      <c r="M938" s="5">
        <v>951</v>
      </c>
      <c r="N938" s="5">
        <v>43341</v>
      </c>
      <c r="O938" s="5">
        <v>60.4</v>
      </c>
      <c r="P938" s="5">
        <f t="shared" si="75"/>
        <v>3.1499999999999915</v>
      </c>
      <c r="Q938" s="6">
        <f t="shared" si="76"/>
        <v>3.3368644067796521E-2</v>
      </c>
      <c r="R938" s="5">
        <f t="shared" si="77"/>
        <v>7.7000000000000028</v>
      </c>
      <c r="S938" s="6">
        <f t="shared" si="78"/>
        <v>8.156779661016951E-2</v>
      </c>
      <c r="T938" s="6">
        <f t="shared" si="79"/>
        <v>2.0112609663480441E-2</v>
      </c>
    </row>
    <row r="939" spans="1:20" hidden="1" x14ac:dyDescent="0.25">
      <c r="A939" s="4" t="s">
        <v>906</v>
      </c>
      <c r="B939" s="5" t="s">
        <v>16</v>
      </c>
      <c r="C939" s="5" t="s">
        <v>1823</v>
      </c>
      <c r="D939" s="5">
        <v>991.1</v>
      </c>
      <c r="E939" s="5">
        <v>1039.8</v>
      </c>
      <c r="F939" s="5">
        <v>1039.8</v>
      </c>
      <c r="G939" s="5">
        <v>982</v>
      </c>
      <c r="H939" s="5">
        <v>995</v>
      </c>
      <c r="I939" s="5">
        <v>994.45</v>
      </c>
      <c r="J939" s="5">
        <v>994.05</v>
      </c>
      <c r="K939" s="5">
        <v>443</v>
      </c>
      <c r="L939" s="5">
        <v>4.4000000000000004</v>
      </c>
      <c r="M939" s="5">
        <v>32</v>
      </c>
      <c r="N939" s="5">
        <v>353</v>
      </c>
      <c r="O939" s="5">
        <v>79.680000000000007</v>
      </c>
      <c r="P939" s="5">
        <f t="shared" si="75"/>
        <v>3.3500000000000227</v>
      </c>
      <c r="Q939" s="6">
        <f t="shared" si="76"/>
        <v>3.3800827363535692E-3</v>
      </c>
      <c r="R939" s="5">
        <f t="shared" si="77"/>
        <v>57.799999999999955</v>
      </c>
      <c r="S939" s="6">
        <f t="shared" si="78"/>
        <v>5.8319039451114878E-2</v>
      </c>
      <c r="T939" s="6">
        <f t="shared" si="79"/>
        <v>3.9447245472821189E-4</v>
      </c>
    </row>
    <row r="940" spans="1:20" hidden="1" x14ac:dyDescent="0.25">
      <c r="A940" s="4" t="s">
        <v>907</v>
      </c>
      <c r="B940" s="5" t="s">
        <v>16</v>
      </c>
      <c r="C940" s="5" t="s">
        <v>1823</v>
      </c>
      <c r="D940" s="5">
        <v>7.25</v>
      </c>
      <c r="E940" s="5">
        <v>7.7</v>
      </c>
      <c r="F940" s="5">
        <v>7.7</v>
      </c>
      <c r="G940" s="5">
        <v>7.15</v>
      </c>
      <c r="H940" s="5">
        <v>7.15</v>
      </c>
      <c r="I940" s="5">
        <v>7.2</v>
      </c>
      <c r="J940" s="5">
        <v>7.33</v>
      </c>
      <c r="K940" s="5">
        <v>66055</v>
      </c>
      <c r="L940" s="5">
        <v>4.84</v>
      </c>
      <c r="M940" s="5">
        <v>210</v>
      </c>
      <c r="N940" s="5">
        <v>45729</v>
      </c>
      <c r="O940" s="5">
        <v>69.23</v>
      </c>
      <c r="P940" s="5">
        <f t="shared" si="75"/>
        <v>-4.9999999999999822E-2</v>
      </c>
      <c r="Q940" s="6">
        <f t="shared" si="76"/>
        <v>-6.8965517241379067E-3</v>
      </c>
      <c r="R940" s="5">
        <f t="shared" si="77"/>
        <v>0.54999999999999982</v>
      </c>
      <c r="S940" s="6">
        <f t="shared" si="78"/>
        <v>7.5862068965517213E-2</v>
      </c>
      <c r="T940" s="6">
        <f t="shared" si="79"/>
        <v>-1.7478991596638641E-2</v>
      </c>
    </row>
    <row r="941" spans="1:20" hidden="1" x14ac:dyDescent="0.25">
      <c r="A941" s="4" t="s">
        <v>908</v>
      </c>
      <c r="B941" s="5" t="s">
        <v>16</v>
      </c>
      <c r="C941" s="5" t="s">
        <v>1823</v>
      </c>
      <c r="D941" s="5">
        <v>230.6</v>
      </c>
      <c r="E941" s="5">
        <v>233.9</v>
      </c>
      <c r="F941" s="5">
        <v>233.9</v>
      </c>
      <c r="G941" s="5">
        <v>229</v>
      </c>
      <c r="H941" s="5">
        <v>232.9</v>
      </c>
      <c r="I941" s="5">
        <v>232.25</v>
      </c>
      <c r="J941" s="5">
        <v>231.96</v>
      </c>
      <c r="K941" s="5">
        <v>49867</v>
      </c>
      <c r="L941" s="5">
        <v>115.67</v>
      </c>
      <c r="M941" s="5">
        <v>1274</v>
      </c>
      <c r="N941" s="5">
        <v>31363</v>
      </c>
      <c r="O941" s="5">
        <v>62.89</v>
      </c>
      <c r="P941" s="5">
        <f t="shared" si="75"/>
        <v>1.6500000000000057</v>
      </c>
      <c r="Q941" s="6">
        <f t="shared" si="76"/>
        <v>7.1552471812662867E-3</v>
      </c>
      <c r="R941" s="5">
        <f t="shared" si="77"/>
        <v>4.9000000000000057</v>
      </c>
      <c r="S941" s="6">
        <f t="shared" si="78"/>
        <v>2.1248915871639226E-2</v>
      </c>
      <c r="T941" s="6">
        <f t="shared" si="79"/>
        <v>1.2485872665625834E-3</v>
      </c>
    </row>
    <row r="942" spans="1:20" hidden="1" x14ac:dyDescent="0.25">
      <c r="A942" s="4" t="s">
        <v>909</v>
      </c>
      <c r="B942" s="5" t="s">
        <v>39</v>
      </c>
      <c r="C942" s="5" t="s">
        <v>1823</v>
      </c>
      <c r="D942" s="5">
        <v>14.8</v>
      </c>
      <c r="E942" s="5">
        <v>14.1</v>
      </c>
      <c r="F942" s="5">
        <v>14.7</v>
      </c>
      <c r="G942" s="5">
        <v>14.1</v>
      </c>
      <c r="H942" s="5">
        <v>14.55</v>
      </c>
      <c r="I942" s="5">
        <v>14.45</v>
      </c>
      <c r="J942" s="5">
        <v>14.43</v>
      </c>
      <c r="K942" s="5">
        <v>5340</v>
      </c>
      <c r="L942" s="5">
        <v>0.77</v>
      </c>
      <c r="M942" s="5">
        <v>46</v>
      </c>
      <c r="N942" s="5" t="s">
        <v>25</v>
      </c>
      <c r="O942" s="5" t="s">
        <v>25</v>
      </c>
      <c r="P942" s="5">
        <f t="shared" si="75"/>
        <v>-0.35000000000000142</v>
      </c>
      <c r="Q942" s="6">
        <f t="shared" si="76"/>
        <v>-2.3648648648648744E-2</v>
      </c>
      <c r="R942" s="5">
        <f t="shared" si="77"/>
        <v>0.59999999999999964</v>
      </c>
      <c r="S942" s="6">
        <f t="shared" si="78"/>
        <v>4.0540540540540515E-2</v>
      </c>
      <c r="T942" s="6">
        <f t="shared" si="79"/>
        <v>1.3949433304271718E-3</v>
      </c>
    </row>
    <row r="943" spans="1:20" hidden="1" x14ac:dyDescent="0.25">
      <c r="A943" s="4" t="s">
        <v>910</v>
      </c>
      <c r="B943" s="5" t="s">
        <v>16</v>
      </c>
      <c r="C943" s="5" t="s">
        <v>1823</v>
      </c>
      <c r="D943" s="5">
        <v>73.400000000000006</v>
      </c>
      <c r="E943" s="5">
        <v>74.900000000000006</v>
      </c>
      <c r="F943" s="5">
        <v>74.900000000000006</v>
      </c>
      <c r="G943" s="5">
        <v>70.599999999999994</v>
      </c>
      <c r="H943" s="5">
        <v>71</v>
      </c>
      <c r="I943" s="5">
        <v>70.900000000000006</v>
      </c>
      <c r="J943" s="5">
        <v>71.510000000000005</v>
      </c>
      <c r="K943" s="5">
        <v>17649</v>
      </c>
      <c r="L943" s="5">
        <v>12.62</v>
      </c>
      <c r="M943" s="5">
        <v>268</v>
      </c>
      <c r="N943" s="5">
        <v>8676</v>
      </c>
      <c r="O943" s="5">
        <v>49.16</v>
      </c>
      <c r="P943" s="5">
        <f t="shared" si="75"/>
        <v>-2.5</v>
      </c>
      <c r="Q943" s="6">
        <f t="shared" si="76"/>
        <v>-3.405994550408719E-2</v>
      </c>
      <c r="R943" s="5">
        <f t="shared" si="77"/>
        <v>4.3000000000000114</v>
      </c>
      <c r="S943" s="6">
        <f t="shared" si="78"/>
        <v>5.8583106267030123E-2</v>
      </c>
      <c r="T943" s="6">
        <f t="shared" si="79"/>
        <v>-8.3762444215585222E-3</v>
      </c>
    </row>
    <row r="944" spans="1:20" hidden="1" x14ac:dyDescent="0.25">
      <c r="A944" s="4" t="s">
        <v>911</v>
      </c>
      <c r="B944" s="5" t="s">
        <v>16</v>
      </c>
      <c r="C944" s="5" t="s">
        <v>1823</v>
      </c>
      <c r="D944" s="5">
        <v>258.75</v>
      </c>
      <c r="E944" s="5">
        <v>256.95</v>
      </c>
      <c r="F944" s="5">
        <v>263.89999999999998</v>
      </c>
      <c r="G944" s="5">
        <v>252</v>
      </c>
      <c r="H944" s="5">
        <v>254.4</v>
      </c>
      <c r="I944" s="5">
        <v>253.45</v>
      </c>
      <c r="J944" s="5">
        <v>256.39</v>
      </c>
      <c r="K944" s="5">
        <v>30509</v>
      </c>
      <c r="L944" s="5">
        <v>78.22</v>
      </c>
      <c r="M944" s="5">
        <v>1355</v>
      </c>
      <c r="N944" s="5">
        <v>15381</v>
      </c>
      <c r="O944" s="5">
        <v>50.41</v>
      </c>
      <c r="P944" s="5">
        <f t="shared" si="75"/>
        <v>-5.3000000000000114</v>
      </c>
      <c r="Q944" s="6">
        <f t="shared" si="76"/>
        <v>-2.0483091787439657E-2</v>
      </c>
      <c r="R944" s="5">
        <f t="shared" si="77"/>
        <v>11.899999999999977</v>
      </c>
      <c r="S944" s="6">
        <f t="shared" si="78"/>
        <v>4.5990338164251118E-2</v>
      </c>
      <c r="T944" s="6">
        <f t="shared" si="79"/>
        <v>-1.1458637825197302E-2</v>
      </c>
    </row>
    <row r="945" spans="1:20" hidden="1" x14ac:dyDescent="0.25">
      <c r="A945" s="4" t="s">
        <v>912</v>
      </c>
      <c r="B945" s="5" t="s">
        <v>16</v>
      </c>
      <c r="C945" s="5" t="s">
        <v>1823</v>
      </c>
      <c r="D945" s="5">
        <v>32.049999999999997</v>
      </c>
      <c r="E945" s="5">
        <v>31.9</v>
      </c>
      <c r="F945" s="5">
        <v>31.9</v>
      </c>
      <c r="G945" s="5">
        <v>30.3</v>
      </c>
      <c r="H945" s="5">
        <v>30.35</v>
      </c>
      <c r="I945" s="5">
        <v>30.55</v>
      </c>
      <c r="J945" s="5">
        <v>30.92</v>
      </c>
      <c r="K945" s="5">
        <v>48473</v>
      </c>
      <c r="L945" s="5">
        <v>14.99</v>
      </c>
      <c r="M945" s="5">
        <v>865</v>
      </c>
      <c r="N945" s="5">
        <v>22703</v>
      </c>
      <c r="O945" s="5">
        <v>46.84</v>
      </c>
      <c r="P945" s="5">
        <f t="shared" si="75"/>
        <v>-1.4999999999999964</v>
      </c>
      <c r="Q945" s="6">
        <f t="shared" si="76"/>
        <v>-4.6801872074882886E-2</v>
      </c>
      <c r="R945" s="5">
        <f t="shared" si="77"/>
        <v>1.5999999999999979</v>
      </c>
      <c r="S945" s="6">
        <f t="shared" si="78"/>
        <v>4.9921996879875134E-2</v>
      </c>
      <c r="T945" s="6">
        <f t="shared" si="79"/>
        <v>-1.1873245086241508E-2</v>
      </c>
    </row>
    <row r="946" spans="1:20" hidden="1" x14ac:dyDescent="0.25">
      <c r="A946" s="4" t="s">
        <v>913</v>
      </c>
      <c r="B946" s="5" t="s">
        <v>16</v>
      </c>
      <c r="C946" s="5" t="s">
        <v>1823</v>
      </c>
      <c r="D946" s="5">
        <v>1618.1</v>
      </c>
      <c r="E946" s="5">
        <v>1617</v>
      </c>
      <c r="F946" s="5">
        <v>1617</v>
      </c>
      <c r="G946" s="5">
        <v>1580.5</v>
      </c>
      <c r="H946" s="5">
        <v>1600</v>
      </c>
      <c r="I946" s="5">
        <v>1601.6</v>
      </c>
      <c r="J946" s="5">
        <v>1591.31</v>
      </c>
      <c r="K946" s="5">
        <v>3567544</v>
      </c>
      <c r="L946" s="5">
        <v>56770.68</v>
      </c>
      <c r="M946" s="5">
        <v>107432</v>
      </c>
      <c r="N946" s="5">
        <v>2229331</v>
      </c>
      <c r="O946" s="5">
        <v>62.49</v>
      </c>
      <c r="P946" s="5">
        <f t="shared" si="75"/>
        <v>-16.5</v>
      </c>
      <c r="Q946" s="6">
        <f t="shared" si="76"/>
        <v>-1.0197144799456152E-2</v>
      </c>
      <c r="R946" s="5">
        <f t="shared" si="77"/>
        <v>36.5</v>
      </c>
      <c r="S946" s="6">
        <f t="shared" si="78"/>
        <v>2.255732031394846E-2</v>
      </c>
      <c r="T946" s="6">
        <f t="shared" si="79"/>
        <v>6.4151119839154398E-3</v>
      </c>
    </row>
    <row r="947" spans="1:20" hidden="1" x14ac:dyDescent="0.25">
      <c r="A947" s="4" t="s">
        <v>914</v>
      </c>
      <c r="B947" s="5" t="s">
        <v>16</v>
      </c>
      <c r="C947" s="5" t="s">
        <v>1823</v>
      </c>
      <c r="D947" s="5">
        <v>308.01</v>
      </c>
      <c r="E947" s="5">
        <v>314.2</v>
      </c>
      <c r="F947" s="5">
        <v>317</v>
      </c>
      <c r="G947" s="5">
        <v>302.10000000000002</v>
      </c>
      <c r="H947" s="5">
        <v>303.89999999999998</v>
      </c>
      <c r="I947" s="5">
        <v>303.20999999999998</v>
      </c>
      <c r="J947" s="5">
        <v>304.97000000000003</v>
      </c>
      <c r="K947" s="5">
        <v>53030</v>
      </c>
      <c r="L947" s="5">
        <v>161.72999999999999</v>
      </c>
      <c r="M947" s="5">
        <v>268</v>
      </c>
      <c r="N947" s="5">
        <v>23505</v>
      </c>
      <c r="O947" s="5">
        <v>44.32</v>
      </c>
      <c r="P947" s="5">
        <f t="shared" si="75"/>
        <v>-4.8000000000000114</v>
      </c>
      <c r="Q947" s="6">
        <f t="shared" si="76"/>
        <v>-1.558390961332428E-2</v>
      </c>
      <c r="R947" s="5">
        <f t="shared" si="77"/>
        <v>14.899999999999977</v>
      </c>
      <c r="S947" s="6">
        <f t="shared" si="78"/>
        <v>4.8375052758027268E-2</v>
      </c>
      <c r="T947" s="6">
        <f t="shared" si="79"/>
        <v>-5.6934436438040867E-3</v>
      </c>
    </row>
    <row r="948" spans="1:20" hidden="1" x14ac:dyDescent="0.25">
      <c r="A948" s="4" t="s">
        <v>915</v>
      </c>
      <c r="B948" s="5" t="s">
        <v>16</v>
      </c>
      <c r="C948" s="5" t="s">
        <v>1823</v>
      </c>
      <c r="D948" s="5">
        <v>333.65</v>
      </c>
      <c r="E948" s="5">
        <v>335.1</v>
      </c>
      <c r="F948" s="5">
        <v>337.45</v>
      </c>
      <c r="G948" s="5">
        <v>335.1</v>
      </c>
      <c r="H948" s="5">
        <v>336.8</v>
      </c>
      <c r="I948" s="5">
        <v>336.65</v>
      </c>
      <c r="J948" s="5">
        <v>336.17</v>
      </c>
      <c r="K948" s="5">
        <v>16494</v>
      </c>
      <c r="L948" s="5">
        <v>55.45</v>
      </c>
      <c r="M948" s="5">
        <v>545</v>
      </c>
      <c r="N948" s="5">
        <v>8601</v>
      </c>
      <c r="O948" s="5">
        <v>52.15</v>
      </c>
      <c r="P948" s="5">
        <f t="shared" si="75"/>
        <v>3</v>
      </c>
      <c r="Q948" s="6">
        <f t="shared" si="76"/>
        <v>8.9914581147909484E-3</v>
      </c>
      <c r="R948" s="5">
        <f t="shared" si="77"/>
        <v>2.3499999999999659</v>
      </c>
      <c r="S948" s="6">
        <f t="shared" si="78"/>
        <v>7.0433088565861413E-3</v>
      </c>
      <c r="T948" s="6">
        <f t="shared" si="79"/>
        <v>1.4282526221824335E-3</v>
      </c>
    </row>
    <row r="949" spans="1:20" hidden="1" x14ac:dyDescent="0.25">
      <c r="A949" s="4" t="s">
        <v>916</v>
      </c>
      <c r="B949" s="5" t="s">
        <v>16</v>
      </c>
      <c r="C949" s="5" t="s">
        <v>1823</v>
      </c>
      <c r="D949" s="5">
        <v>119.93</v>
      </c>
      <c r="E949" s="5">
        <v>118.55</v>
      </c>
      <c r="F949" s="5">
        <v>119.95</v>
      </c>
      <c r="G949" s="5">
        <v>118.55</v>
      </c>
      <c r="H949" s="5">
        <v>118.8</v>
      </c>
      <c r="I949" s="5">
        <v>118.88</v>
      </c>
      <c r="J949" s="5">
        <v>119</v>
      </c>
      <c r="K949" s="5">
        <v>84181</v>
      </c>
      <c r="L949" s="5">
        <v>100.18</v>
      </c>
      <c r="M949" s="5">
        <v>371</v>
      </c>
      <c r="N949" s="5">
        <v>69316</v>
      </c>
      <c r="O949" s="5">
        <v>82.34</v>
      </c>
      <c r="P949" s="5">
        <f t="shared" si="75"/>
        <v>-1.0500000000000114</v>
      </c>
      <c r="Q949" s="6">
        <f t="shared" si="76"/>
        <v>-8.7551071458351649E-3</v>
      </c>
      <c r="R949" s="5">
        <f t="shared" si="77"/>
        <v>1.4000000000000057</v>
      </c>
      <c r="S949" s="6">
        <f t="shared" si="78"/>
        <v>1.1673476194446808E-2</v>
      </c>
      <c r="T949" s="6">
        <f t="shared" si="79"/>
        <v>-1.0085516777677771E-3</v>
      </c>
    </row>
    <row r="950" spans="1:20" hidden="1" x14ac:dyDescent="0.25">
      <c r="A950" s="4" t="s">
        <v>917</v>
      </c>
      <c r="B950" s="5" t="s">
        <v>16</v>
      </c>
      <c r="C950" s="5" t="s">
        <v>1823</v>
      </c>
      <c r="D950" s="5">
        <v>55.98</v>
      </c>
      <c r="E950" s="5">
        <v>56.5</v>
      </c>
      <c r="F950" s="5">
        <v>56.5</v>
      </c>
      <c r="G950" s="5">
        <v>56</v>
      </c>
      <c r="H950" s="5">
        <v>56.3</v>
      </c>
      <c r="I950" s="5">
        <v>56.2</v>
      </c>
      <c r="J950" s="5">
        <v>56.28</v>
      </c>
      <c r="K950" s="5">
        <v>8781</v>
      </c>
      <c r="L950" s="5">
        <v>4.9400000000000004</v>
      </c>
      <c r="M950" s="5">
        <v>118</v>
      </c>
      <c r="N950" s="5">
        <v>5845</v>
      </c>
      <c r="O950" s="5">
        <v>66.56</v>
      </c>
      <c r="P950" s="5">
        <f t="shared" si="75"/>
        <v>0.22000000000000597</v>
      </c>
      <c r="Q950" s="6">
        <f t="shared" si="76"/>
        <v>3.9299749910683456E-3</v>
      </c>
      <c r="R950" s="5">
        <f t="shared" si="77"/>
        <v>0.5</v>
      </c>
      <c r="S950" s="6">
        <f t="shared" si="78"/>
        <v>8.9317613433369074E-3</v>
      </c>
      <c r="T950" s="6">
        <f t="shared" si="79"/>
        <v>-1.4209591474244813E-3</v>
      </c>
    </row>
    <row r="951" spans="1:20" hidden="1" x14ac:dyDescent="0.25">
      <c r="A951" s="4" t="s">
        <v>918</v>
      </c>
      <c r="B951" s="5" t="s">
        <v>16</v>
      </c>
      <c r="C951" s="5" t="s">
        <v>1823</v>
      </c>
      <c r="D951" s="5">
        <v>250.75</v>
      </c>
      <c r="E951" s="5">
        <v>247.7</v>
      </c>
      <c r="F951" s="5">
        <v>247.7</v>
      </c>
      <c r="G951" s="5">
        <v>236.5</v>
      </c>
      <c r="H951" s="5">
        <v>237</v>
      </c>
      <c r="I951" s="5">
        <v>236.95</v>
      </c>
      <c r="J951" s="5">
        <v>241.87</v>
      </c>
      <c r="K951" s="5">
        <v>7609</v>
      </c>
      <c r="L951" s="5">
        <v>18.399999999999999</v>
      </c>
      <c r="M951" s="5">
        <v>235</v>
      </c>
      <c r="N951" s="5">
        <v>6211</v>
      </c>
      <c r="O951" s="5">
        <v>81.63</v>
      </c>
      <c r="P951" s="5">
        <f t="shared" si="75"/>
        <v>-13.800000000000011</v>
      </c>
      <c r="Q951" s="6">
        <f t="shared" si="76"/>
        <v>-5.503489531405787E-2</v>
      </c>
      <c r="R951" s="5">
        <f t="shared" si="77"/>
        <v>11.199999999999989</v>
      </c>
      <c r="S951" s="6">
        <f t="shared" si="78"/>
        <v>4.46660019940179E-2</v>
      </c>
      <c r="T951" s="6">
        <f t="shared" si="79"/>
        <v>-2.0312741910512532E-2</v>
      </c>
    </row>
    <row r="952" spans="1:20" hidden="1" x14ac:dyDescent="0.25">
      <c r="A952" s="4" t="s">
        <v>919</v>
      </c>
      <c r="B952" s="5" t="s">
        <v>16</v>
      </c>
      <c r="C952" s="5" t="s">
        <v>1823</v>
      </c>
      <c r="D952" s="5">
        <v>11.25</v>
      </c>
      <c r="E952" s="5">
        <v>11.25</v>
      </c>
      <c r="F952" s="5">
        <v>11.6</v>
      </c>
      <c r="G952" s="5">
        <v>11.15</v>
      </c>
      <c r="H952" s="5">
        <v>11.45</v>
      </c>
      <c r="I952" s="5">
        <v>11.35</v>
      </c>
      <c r="J952" s="5">
        <v>11.42</v>
      </c>
      <c r="K952" s="5">
        <v>14082</v>
      </c>
      <c r="L952" s="5">
        <v>1.61</v>
      </c>
      <c r="M952" s="5">
        <v>53</v>
      </c>
      <c r="N952" s="5">
        <v>10918</v>
      </c>
      <c r="O952" s="5">
        <v>77.53</v>
      </c>
      <c r="P952" s="5">
        <f t="shared" si="75"/>
        <v>9.9999999999999645E-2</v>
      </c>
      <c r="Q952" s="6">
        <f t="shared" si="76"/>
        <v>8.8888888888888577E-3</v>
      </c>
      <c r="R952" s="5">
        <f t="shared" si="77"/>
        <v>0.44999999999999929</v>
      </c>
      <c r="S952" s="6">
        <f t="shared" si="78"/>
        <v>3.9999999999999938E-2</v>
      </c>
      <c r="T952" s="6">
        <f t="shared" si="79"/>
        <v>-6.1742006615215245E-3</v>
      </c>
    </row>
    <row r="953" spans="1:20" hidden="1" x14ac:dyDescent="0.25">
      <c r="A953" s="4" t="s">
        <v>920</v>
      </c>
      <c r="B953" s="5" t="s">
        <v>16</v>
      </c>
      <c r="C953" s="5" t="s">
        <v>1823</v>
      </c>
      <c r="D953" s="5">
        <v>16.899999999999999</v>
      </c>
      <c r="E953" s="5">
        <v>17.2</v>
      </c>
      <c r="F953" s="5">
        <v>17.45</v>
      </c>
      <c r="G953" s="5">
        <v>16.7</v>
      </c>
      <c r="H953" s="5">
        <v>17.399999999999999</v>
      </c>
      <c r="I953" s="5">
        <v>16.899999999999999</v>
      </c>
      <c r="J953" s="5">
        <v>16.96</v>
      </c>
      <c r="K953" s="5">
        <v>4280</v>
      </c>
      <c r="L953" s="5">
        <v>0.73</v>
      </c>
      <c r="M953" s="5">
        <v>43</v>
      </c>
      <c r="N953" s="5">
        <v>3668</v>
      </c>
      <c r="O953" s="5">
        <v>85.7</v>
      </c>
      <c r="P953" s="5">
        <f t="shared" si="75"/>
        <v>0</v>
      </c>
      <c r="Q953" s="6">
        <f t="shared" si="76"/>
        <v>0</v>
      </c>
      <c r="R953" s="5">
        <f t="shared" si="77"/>
        <v>0.75</v>
      </c>
      <c r="S953" s="6">
        <f t="shared" si="78"/>
        <v>4.4378698224852076E-2</v>
      </c>
      <c r="T953" s="6">
        <f t="shared" si="79"/>
        <v>-3.5164835164836496E-3</v>
      </c>
    </row>
    <row r="954" spans="1:20" hidden="1" x14ac:dyDescent="0.25">
      <c r="A954" s="4" t="s">
        <v>921</v>
      </c>
      <c r="B954" s="5" t="s">
        <v>16</v>
      </c>
      <c r="C954" s="5" t="s">
        <v>1823</v>
      </c>
      <c r="D954" s="5">
        <v>66</v>
      </c>
      <c r="E954" s="5">
        <v>65.55</v>
      </c>
      <c r="F954" s="5">
        <v>66.5</v>
      </c>
      <c r="G954" s="5">
        <v>63.05</v>
      </c>
      <c r="H954" s="5">
        <v>63.5</v>
      </c>
      <c r="I954" s="5">
        <v>63.9</v>
      </c>
      <c r="J954" s="5">
        <v>65.239999999999995</v>
      </c>
      <c r="K954" s="5">
        <v>2489</v>
      </c>
      <c r="L954" s="5">
        <v>1.62</v>
      </c>
      <c r="M954" s="5">
        <v>120</v>
      </c>
      <c r="N954" s="5">
        <v>1816</v>
      </c>
      <c r="O954" s="5">
        <v>72.959999999999994</v>
      </c>
      <c r="P954" s="5">
        <f t="shared" si="75"/>
        <v>-2.1000000000000014</v>
      </c>
      <c r="Q954" s="6">
        <f t="shared" si="76"/>
        <v>-3.1818181818181843E-2</v>
      </c>
      <c r="R954" s="5">
        <f t="shared" si="77"/>
        <v>3.4500000000000028</v>
      </c>
      <c r="S954" s="6">
        <f t="shared" si="78"/>
        <v>5.2272727272727318E-2</v>
      </c>
      <c r="T954" s="6">
        <f t="shared" si="79"/>
        <v>-2.0694980694980637E-2</v>
      </c>
    </row>
    <row r="955" spans="1:20" hidden="1" x14ac:dyDescent="0.25">
      <c r="A955" s="4" t="s">
        <v>922</v>
      </c>
      <c r="B955" s="5" t="s">
        <v>16</v>
      </c>
      <c r="C955" s="5" t="s">
        <v>1823</v>
      </c>
      <c r="D955" s="5">
        <v>94.8</v>
      </c>
      <c r="E955" s="5">
        <v>94.6</v>
      </c>
      <c r="F955" s="5">
        <v>95.5</v>
      </c>
      <c r="G955" s="5">
        <v>93.25</v>
      </c>
      <c r="H955" s="5">
        <v>95</v>
      </c>
      <c r="I955" s="5">
        <v>94.65</v>
      </c>
      <c r="J955" s="5">
        <v>94.18</v>
      </c>
      <c r="K955" s="5">
        <v>264686</v>
      </c>
      <c r="L955" s="5">
        <v>249.29</v>
      </c>
      <c r="M955" s="5">
        <v>3873</v>
      </c>
      <c r="N955" s="5">
        <v>203083</v>
      </c>
      <c r="O955" s="5">
        <v>76.73</v>
      </c>
      <c r="P955" s="5">
        <f t="shared" si="75"/>
        <v>-0.14999999999999147</v>
      </c>
      <c r="Q955" s="6">
        <f t="shared" si="76"/>
        <v>-1.5822784810125684E-3</v>
      </c>
      <c r="R955" s="5">
        <f t="shared" si="77"/>
        <v>2.25</v>
      </c>
      <c r="S955" s="6">
        <f t="shared" si="78"/>
        <v>2.3734177215189875E-2</v>
      </c>
      <c r="T955" s="6">
        <f t="shared" si="79"/>
        <v>4.9735449735449615E-3</v>
      </c>
    </row>
    <row r="956" spans="1:20" hidden="1" x14ac:dyDescent="0.25">
      <c r="A956" s="4" t="s">
        <v>923</v>
      </c>
      <c r="B956" s="5" t="s">
        <v>16</v>
      </c>
      <c r="C956" s="5" t="s">
        <v>1823</v>
      </c>
      <c r="D956" s="5">
        <v>575.20000000000005</v>
      </c>
      <c r="E956" s="5">
        <v>579.35</v>
      </c>
      <c r="F956" s="5">
        <v>579.35</v>
      </c>
      <c r="G956" s="5">
        <v>557.29999999999995</v>
      </c>
      <c r="H956" s="5">
        <v>571</v>
      </c>
      <c r="I956" s="5">
        <v>571.1</v>
      </c>
      <c r="J956" s="5">
        <v>567.6</v>
      </c>
      <c r="K956" s="5">
        <v>10200</v>
      </c>
      <c r="L956" s="5">
        <v>57.9</v>
      </c>
      <c r="M956" s="5">
        <v>589</v>
      </c>
      <c r="N956" s="5">
        <v>6406</v>
      </c>
      <c r="O956" s="5">
        <v>62.8</v>
      </c>
      <c r="P956" s="5">
        <f t="shared" si="75"/>
        <v>-4.1000000000000227</v>
      </c>
      <c r="Q956" s="6">
        <f t="shared" si="76"/>
        <v>-7.1279554937413465E-3</v>
      </c>
      <c r="R956" s="5">
        <f t="shared" si="77"/>
        <v>22.050000000000068</v>
      </c>
      <c r="S956" s="6">
        <f t="shared" si="78"/>
        <v>3.8334492350486901E-2</v>
      </c>
      <c r="T956" s="6">
        <f t="shared" si="79"/>
        <v>6.1212889685628089E-3</v>
      </c>
    </row>
    <row r="957" spans="1:20" x14ac:dyDescent="0.25">
      <c r="A957" s="4" t="s">
        <v>668</v>
      </c>
      <c r="B957" s="5" t="s">
        <v>16</v>
      </c>
      <c r="C957" s="5" t="s">
        <v>1823</v>
      </c>
      <c r="D957" s="5">
        <v>210.5</v>
      </c>
      <c r="E957" s="5">
        <v>210.5</v>
      </c>
      <c r="F957" s="5">
        <v>210.5</v>
      </c>
      <c r="G957" s="5">
        <v>201</v>
      </c>
      <c r="H957" s="5">
        <v>201.65</v>
      </c>
      <c r="I957" s="5">
        <v>201.65</v>
      </c>
      <c r="J957" s="5">
        <v>204.6</v>
      </c>
      <c r="K957" s="5">
        <v>921011</v>
      </c>
      <c r="L957" s="5">
        <v>1884.37</v>
      </c>
      <c r="M957" s="5">
        <v>11386</v>
      </c>
      <c r="N957" s="5">
        <v>450097</v>
      </c>
      <c r="O957" s="5">
        <v>48.87</v>
      </c>
      <c r="P957" s="5">
        <f t="shared" si="75"/>
        <v>-8.8499999999999943</v>
      </c>
      <c r="Q957" s="6">
        <f t="shared" si="76"/>
        <v>-4.2042755344418023E-2</v>
      </c>
      <c r="R957" s="5">
        <f t="shared" si="77"/>
        <v>9.5</v>
      </c>
      <c r="S957" s="6">
        <f t="shared" si="78"/>
        <v>4.5130641330166268E-2</v>
      </c>
      <c r="T957" s="6">
        <f t="shared" si="79"/>
        <v>-1.4326473623505075E-2</v>
      </c>
    </row>
    <row r="958" spans="1:20" hidden="1" x14ac:dyDescent="0.25">
      <c r="A958" s="4" t="s">
        <v>925</v>
      </c>
      <c r="B958" s="5" t="s">
        <v>16</v>
      </c>
      <c r="C958" s="5" t="s">
        <v>1823</v>
      </c>
      <c r="D958" s="5">
        <v>87.25</v>
      </c>
      <c r="E958" s="5">
        <v>84.25</v>
      </c>
      <c r="F958" s="5">
        <v>89.95</v>
      </c>
      <c r="G958" s="5">
        <v>83.85</v>
      </c>
      <c r="H958" s="5">
        <v>88</v>
      </c>
      <c r="I958" s="5">
        <v>87.9</v>
      </c>
      <c r="J958" s="5">
        <v>85.35</v>
      </c>
      <c r="K958" s="5">
        <v>15872</v>
      </c>
      <c r="L958" s="5">
        <v>13.55</v>
      </c>
      <c r="M958" s="5">
        <v>65</v>
      </c>
      <c r="N958" s="5">
        <v>9818</v>
      </c>
      <c r="O958" s="5">
        <v>61.86</v>
      </c>
      <c r="P958" s="5">
        <f t="shared" si="75"/>
        <v>0.65000000000000568</v>
      </c>
      <c r="Q958" s="6">
        <f t="shared" si="76"/>
        <v>7.4498567335244204E-3</v>
      </c>
      <c r="R958" s="5">
        <f t="shared" si="77"/>
        <v>6.1000000000000085</v>
      </c>
      <c r="S958" s="6">
        <f t="shared" si="78"/>
        <v>6.9914040114613274E-2</v>
      </c>
      <c r="T958" s="6">
        <f t="shared" si="79"/>
        <v>2.948402948402962E-2</v>
      </c>
    </row>
    <row r="959" spans="1:20" hidden="1" x14ac:dyDescent="0.25">
      <c r="A959" s="4" t="s">
        <v>926</v>
      </c>
      <c r="B959" s="5" t="s">
        <v>16</v>
      </c>
      <c r="C959" s="5" t="s">
        <v>1823</v>
      </c>
      <c r="D959" s="5">
        <v>9.85</v>
      </c>
      <c r="E959" s="5">
        <v>9.6999999999999993</v>
      </c>
      <c r="F959" s="5">
        <v>10.15</v>
      </c>
      <c r="G959" s="5">
        <v>9.4</v>
      </c>
      <c r="H959" s="5">
        <v>9.4</v>
      </c>
      <c r="I959" s="5">
        <v>9.4</v>
      </c>
      <c r="J959" s="5">
        <v>9.4499999999999993</v>
      </c>
      <c r="K959" s="5">
        <v>50283</v>
      </c>
      <c r="L959" s="5">
        <v>4.75</v>
      </c>
      <c r="M959" s="5">
        <v>198</v>
      </c>
      <c r="N959" s="5">
        <v>45667</v>
      </c>
      <c r="O959" s="5">
        <v>90.82</v>
      </c>
      <c r="P959" s="5">
        <f t="shared" si="75"/>
        <v>-0.44999999999999929</v>
      </c>
      <c r="Q959" s="6">
        <f t="shared" si="76"/>
        <v>-4.5685279187817188E-2</v>
      </c>
      <c r="R959" s="5">
        <f t="shared" si="77"/>
        <v>0.75</v>
      </c>
      <c r="S959" s="6">
        <f t="shared" si="78"/>
        <v>7.6142131979695438E-2</v>
      </c>
      <c r="T959" s="6">
        <f t="shared" si="79"/>
        <v>-5.1746442432081697E-3</v>
      </c>
    </row>
    <row r="960" spans="1:20" hidden="1" x14ac:dyDescent="0.25">
      <c r="A960" s="4" t="s">
        <v>927</v>
      </c>
      <c r="B960" s="5" t="s">
        <v>16</v>
      </c>
      <c r="C960" s="5" t="s">
        <v>1823</v>
      </c>
      <c r="D960" s="5">
        <v>59.7</v>
      </c>
      <c r="E960" s="5">
        <v>51.05</v>
      </c>
      <c r="F960" s="5">
        <v>60.8</v>
      </c>
      <c r="G960" s="5">
        <v>51.05</v>
      </c>
      <c r="H960" s="5">
        <v>54.95</v>
      </c>
      <c r="I960" s="5">
        <v>53.95</v>
      </c>
      <c r="J960" s="5">
        <v>53.15</v>
      </c>
      <c r="K960" s="5">
        <v>674</v>
      </c>
      <c r="L960" s="5">
        <v>0.36</v>
      </c>
      <c r="M960" s="5">
        <v>19</v>
      </c>
      <c r="N960" s="5">
        <v>568</v>
      </c>
      <c r="O960" s="5">
        <v>84.27</v>
      </c>
      <c r="P960" s="5">
        <f t="shared" si="75"/>
        <v>-5.75</v>
      </c>
      <c r="Q960" s="6">
        <f t="shared" si="76"/>
        <v>-9.6314907872696809E-2</v>
      </c>
      <c r="R960" s="5">
        <f t="shared" si="77"/>
        <v>9.75</v>
      </c>
      <c r="S960" s="6">
        <f t="shared" si="78"/>
        <v>0.16331658291457285</v>
      </c>
      <c r="T960" s="6">
        <f t="shared" si="79"/>
        <v>1.4756744293290373E-2</v>
      </c>
    </row>
    <row r="961" spans="1:20" hidden="1" x14ac:dyDescent="0.25">
      <c r="A961" s="4" t="s">
        <v>928</v>
      </c>
      <c r="B961" s="5" t="s">
        <v>16</v>
      </c>
      <c r="C961" s="5" t="s">
        <v>1823</v>
      </c>
      <c r="D961" s="5">
        <v>672.55</v>
      </c>
      <c r="E961" s="5">
        <v>662.05</v>
      </c>
      <c r="F961" s="5">
        <v>681.95</v>
      </c>
      <c r="G961" s="5">
        <v>659</v>
      </c>
      <c r="H961" s="5">
        <v>659</v>
      </c>
      <c r="I961" s="5">
        <v>663.6</v>
      </c>
      <c r="J961" s="5">
        <v>666.29</v>
      </c>
      <c r="K961" s="5">
        <v>2618</v>
      </c>
      <c r="L961" s="5">
        <v>17.440000000000001</v>
      </c>
      <c r="M961" s="5">
        <v>275</v>
      </c>
      <c r="N961" s="5">
        <v>1739</v>
      </c>
      <c r="O961" s="5">
        <v>66.42</v>
      </c>
      <c r="P961" s="5">
        <f t="shared" si="75"/>
        <v>-8.9499999999999318</v>
      </c>
      <c r="Q961" s="6">
        <f t="shared" si="76"/>
        <v>-1.3307560776150371E-2</v>
      </c>
      <c r="R961" s="5">
        <f t="shared" si="77"/>
        <v>22.950000000000045</v>
      </c>
      <c r="S961" s="6">
        <f t="shared" si="78"/>
        <v>3.4123856962307707E-2</v>
      </c>
      <c r="T961" s="6">
        <f t="shared" si="79"/>
        <v>-4.0351008775218493E-3</v>
      </c>
    </row>
    <row r="962" spans="1:20" x14ac:dyDescent="0.25">
      <c r="A962" s="4" t="s">
        <v>518</v>
      </c>
      <c r="B962" s="5" t="s">
        <v>16</v>
      </c>
      <c r="C962" s="5" t="s">
        <v>1823</v>
      </c>
      <c r="D962" s="5">
        <v>51.6</v>
      </c>
      <c r="E962" s="5">
        <v>51.65</v>
      </c>
      <c r="F962" s="5">
        <v>51.85</v>
      </c>
      <c r="G962" s="5">
        <v>50</v>
      </c>
      <c r="H962" s="5">
        <v>50.15</v>
      </c>
      <c r="I962" s="5">
        <v>50.2</v>
      </c>
      <c r="J962" s="5">
        <v>51.01</v>
      </c>
      <c r="K962" s="5">
        <v>1538329</v>
      </c>
      <c r="L962" s="5">
        <v>784.73</v>
      </c>
      <c r="M962" s="5">
        <v>17950</v>
      </c>
      <c r="N962" s="5">
        <v>752823</v>
      </c>
      <c r="O962" s="5">
        <v>48.94</v>
      </c>
      <c r="P962" s="5">
        <f t="shared" si="75"/>
        <v>-1.3999999999999986</v>
      </c>
      <c r="Q962" s="6">
        <f t="shared" si="76"/>
        <v>-2.7131782945736406E-2</v>
      </c>
      <c r="R962" s="5">
        <f t="shared" si="77"/>
        <v>1.8500000000000014</v>
      </c>
      <c r="S962" s="6">
        <f t="shared" si="78"/>
        <v>3.5852713178294603E-2</v>
      </c>
      <c r="T962" s="6">
        <f t="shared" si="79"/>
        <v>-1.5905743740795193E-2</v>
      </c>
    </row>
    <row r="963" spans="1:20" hidden="1" x14ac:dyDescent="0.25">
      <c r="A963" s="4" t="s">
        <v>930</v>
      </c>
      <c r="B963" s="5" t="s">
        <v>39</v>
      </c>
      <c r="C963" s="5" t="s">
        <v>1823</v>
      </c>
      <c r="D963" s="5">
        <v>0.1</v>
      </c>
      <c r="E963" s="5">
        <v>0.1</v>
      </c>
      <c r="F963" s="5">
        <v>0.15</v>
      </c>
      <c r="G963" s="5">
        <v>0.05</v>
      </c>
      <c r="H963" s="5">
        <v>0.15</v>
      </c>
      <c r="I963" s="5">
        <v>0.15</v>
      </c>
      <c r="J963" s="5">
        <v>0.11</v>
      </c>
      <c r="K963" s="5">
        <v>303542</v>
      </c>
      <c r="L963" s="5">
        <v>0.34</v>
      </c>
      <c r="M963" s="5">
        <v>105</v>
      </c>
      <c r="N963" s="5" t="s">
        <v>25</v>
      </c>
      <c r="O963" s="5" t="s">
        <v>25</v>
      </c>
      <c r="P963" s="5">
        <f t="shared" si="75"/>
        <v>4.9999999999999989E-2</v>
      </c>
      <c r="Q963" s="6">
        <f t="shared" si="76"/>
        <v>0.49999999999999989</v>
      </c>
      <c r="R963" s="5">
        <f t="shared" si="77"/>
        <v>9.9999999999999992E-2</v>
      </c>
      <c r="S963" s="6">
        <f t="shared" si="78"/>
        <v>0.99999999999999989</v>
      </c>
      <c r="T963" s="6">
        <f t="shared" si="79"/>
        <v>0.35555555555555551</v>
      </c>
    </row>
    <row r="964" spans="1:20" hidden="1" x14ac:dyDescent="0.25">
      <c r="A964" s="4" t="s">
        <v>931</v>
      </c>
      <c r="B964" s="5" t="s">
        <v>16</v>
      </c>
      <c r="C964" s="5" t="s">
        <v>1823</v>
      </c>
      <c r="D964" s="5">
        <v>0.55000000000000004</v>
      </c>
      <c r="E964" s="5">
        <v>0.55000000000000004</v>
      </c>
      <c r="F964" s="5">
        <v>0.6</v>
      </c>
      <c r="G964" s="5">
        <v>0.5</v>
      </c>
      <c r="H964" s="5">
        <v>0.6</v>
      </c>
      <c r="I964" s="5">
        <v>0.55000000000000004</v>
      </c>
      <c r="J964" s="5">
        <v>0.56000000000000005</v>
      </c>
      <c r="K964" s="5">
        <v>437439</v>
      </c>
      <c r="L964" s="5">
        <v>2.46</v>
      </c>
      <c r="M964" s="5">
        <v>165</v>
      </c>
      <c r="N964" s="5">
        <v>295464</v>
      </c>
      <c r="O964" s="5">
        <v>67.540000000000006</v>
      </c>
      <c r="P964" s="5">
        <f t="shared" si="75"/>
        <v>0</v>
      </c>
      <c r="Q964" s="6">
        <f t="shared" si="76"/>
        <v>0</v>
      </c>
      <c r="R964" s="5">
        <f t="shared" si="77"/>
        <v>9.9999999999999978E-2</v>
      </c>
      <c r="S964" s="6">
        <f t="shared" si="78"/>
        <v>0.18181818181818177</v>
      </c>
      <c r="T964" s="6">
        <f t="shared" si="79"/>
        <v>-1.8181818181818195E-2</v>
      </c>
    </row>
    <row r="965" spans="1:20" hidden="1" x14ac:dyDescent="0.25">
      <c r="A965" s="4" t="s">
        <v>932</v>
      </c>
      <c r="B965" s="5" t="s">
        <v>16</v>
      </c>
      <c r="C965" s="5" t="s">
        <v>1823</v>
      </c>
      <c r="D965" s="5">
        <v>197.05</v>
      </c>
      <c r="E965" s="5">
        <v>197</v>
      </c>
      <c r="F965" s="5">
        <v>203</v>
      </c>
      <c r="G965" s="5">
        <v>193.3</v>
      </c>
      <c r="H965" s="5">
        <v>195</v>
      </c>
      <c r="I965" s="5">
        <v>195.1</v>
      </c>
      <c r="J965" s="5">
        <v>197.79</v>
      </c>
      <c r="K965" s="5">
        <v>35402</v>
      </c>
      <c r="L965" s="5">
        <v>70.02</v>
      </c>
      <c r="M965" s="5">
        <v>1264</v>
      </c>
      <c r="N965" s="5">
        <v>20160</v>
      </c>
      <c r="O965" s="5">
        <v>56.95</v>
      </c>
      <c r="P965" s="5">
        <f t="shared" si="75"/>
        <v>-1.9500000000000171</v>
      </c>
      <c r="Q965" s="6">
        <f t="shared" si="76"/>
        <v>-9.8959654909922205E-3</v>
      </c>
      <c r="R965" s="5">
        <f t="shared" si="77"/>
        <v>9.6999999999999886</v>
      </c>
      <c r="S965" s="6">
        <f t="shared" si="78"/>
        <v>4.9226084750063376E-2</v>
      </c>
      <c r="T965" s="6">
        <f t="shared" si="79"/>
        <v>-1.3647894469812266E-2</v>
      </c>
    </row>
    <row r="966" spans="1:20" hidden="1" x14ac:dyDescent="0.25">
      <c r="A966" s="4" t="s">
        <v>933</v>
      </c>
      <c r="B966" s="5" t="s">
        <v>16</v>
      </c>
      <c r="C966" s="5" t="s">
        <v>1823</v>
      </c>
      <c r="D966" s="5">
        <v>36.299999999999997</v>
      </c>
      <c r="E966" s="5">
        <v>34.799999999999997</v>
      </c>
      <c r="F966" s="5">
        <v>36.1</v>
      </c>
      <c r="G966" s="5">
        <v>34.5</v>
      </c>
      <c r="H966" s="5">
        <v>35</v>
      </c>
      <c r="I966" s="5">
        <v>34.799999999999997</v>
      </c>
      <c r="J966" s="5">
        <v>34.869999999999997</v>
      </c>
      <c r="K966" s="5">
        <v>2774</v>
      </c>
      <c r="L966" s="5">
        <v>0.97</v>
      </c>
      <c r="M966" s="5">
        <v>59</v>
      </c>
      <c r="N966" s="5">
        <v>2493</v>
      </c>
      <c r="O966" s="5">
        <v>89.87</v>
      </c>
      <c r="P966" s="5">
        <f t="shared" si="75"/>
        <v>-1.5</v>
      </c>
      <c r="Q966" s="6">
        <f t="shared" si="76"/>
        <v>-4.1322314049586778E-2</v>
      </c>
      <c r="R966" s="5">
        <f t="shared" si="77"/>
        <v>1.6000000000000014</v>
      </c>
      <c r="S966" s="6">
        <f t="shared" si="78"/>
        <v>4.4077134986225938E-2</v>
      </c>
      <c r="T966" s="6">
        <f t="shared" si="79"/>
        <v>-1.9971469329529328E-3</v>
      </c>
    </row>
    <row r="967" spans="1:20" x14ac:dyDescent="0.25">
      <c r="A967" s="4" t="s">
        <v>1071</v>
      </c>
      <c r="B967" s="5" t="s">
        <v>16</v>
      </c>
      <c r="C967" s="5" t="s">
        <v>1823</v>
      </c>
      <c r="D967" s="5">
        <v>115.55</v>
      </c>
      <c r="E967" s="5">
        <v>114.3</v>
      </c>
      <c r="F967" s="5">
        <v>114.8</v>
      </c>
      <c r="G967" s="5">
        <v>107.1</v>
      </c>
      <c r="H967" s="5">
        <v>107.25</v>
      </c>
      <c r="I967" s="5">
        <v>108.5</v>
      </c>
      <c r="J967" s="5">
        <v>110.29</v>
      </c>
      <c r="K967" s="5">
        <v>16083538</v>
      </c>
      <c r="L967" s="5">
        <v>17738.27</v>
      </c>
      <c r="M967" s="5">
        <v>97292</v>
      </c>
      <c r="N967" s="5">
        <v>7907078</v>
      </c>
      <c r="O967" s="5">
        <v>49.16</v>
      </c>
      <c r="P967" s="5">
        <f t="shared" si="75"/>
        <v>-7.0499999999999972</v>
      </c>
      <c r="Q967" s="6">
        <f t="shared" si="76"/>
        <v>-6.1012548680224987E-2</v>
      </c>
      <c r="R967" s="5">
        <f t="shared" si="77"/>
        <v>7.7000000000000028</v>
      </c>
      <c r="S967" s="6">
        <f t="shared" si="78"/>
        <v>6.663781912591954E-2</v>
      </c>
      <c r="T967" s="6">
        <f t="shared" si="79"/>
        <v>-1.6100742073307906E-2</v>
      </c>
    </row>
    <row r="968" spans="1:20" hidden="1" x14ac:dyDescent="0.25">
      <c r="A968" s="4" t="s">
        <v>935</v>
      </c>
      <c r="B968" s="5" t="s">
        <v>16</v>
      </c>
      <c r="C968" s="5" t="s">
        <v>1823</v>
      </c>
      <c r="D968" s="5">
        <v>1.65</v>
      </c>
      <c r="E968" s="5">
        <v>1.6</v>
      </c>
      <c r="F968" s="5">
        <v>1.65</v>
      </c>
      <c r="G968" s="5">
        <v>1.6</v>
      </c>
      <c r="H968" s="5">
        <v>1.6</v>
      </c>
      <c r="I968" s="5">
        <v>1.6</v>
      </c>
      <c r="J968" s="5">
        <v>1.6</v>
      </c>
      <c r="K968" s="5">
        <v>379825</v>
      </c>
      <c r="L968" s="5">
        <v>6.08</v>
      </c>
      <c r="M968" s="5">
        <v>295</v>
      </c>
      <c r="N968" s="5">
        <v>273203</v>
      </c>
      <c r="O968" s="5">
        <v>71.930000000000007</v>
      </c>
      <c r="P968" s="5">
        <f t="shared" si="75"/>
        <v>-4.9999999999999822E-2</v>
      </c>
      <c r="Q968" s="6">
        <f t="shared" si="76"/>
        <v>-3.0303030303030196E-2</v>
      </c>
      <c r="R968" s="5">
        <f t="shared" si="77"/>
        <v>4.9999999999999822E-2</v>
      </c>
      <c r="S968" s="6">
        <f t="shared" si="78"/>
        <v>3.0303030303030196E-2</v>
      </c>
      <c r="T968" s="6">
        <f t="shared" si="79"/>
        <v>0</v>
      </c>
    </row>
    <row r="969" spans="1:20" x14ac:dyDescent="0.25">
      <c r="A969" s="4" t="s">
        <v>887</v>
      </c>
      <c r="B969" s="5" t="s">
        <v>16</v>
      </c>
      <c r="C969" s="5" t="s">
        <v>1823</v>
      </c>
      <c r="D969" s="5">
        <v>531.45000000000005</v>
      </c>
      <c r="E969" s="5">
        <v>534</v>
      </c>
      <c r="F969" s="5">
        <v>541.95000000000005</v>
      </c>
      <c r="G969" s="5">
        <v>514</v>
      </c>
      <c r="H969" s="5">
        <v>515</v>
      </c>
      <c r="I969" s="5">
        <v>519.75</v>
      </c>
      <c r="J969" s="5">
        <v>527.9</v>
      </c>
      <c r="K969" s="5">
        <v>140163</v>
      </c>
      <c r="L969" s="5">
        <v>739.92</v>
      </c>
      <c r="M969" s="5">
        <v>11834</v>
      </c>
      <c r="N969" s="5">
        <v>68958</v>
      </c>
      <c r="O969" s="5">
        <v>49.2</v>
      </c>
      <c r="P969" s="5">
        <f t="shared" si="75"/>
        <v>-11.700000000000045</v>
      </c>
      <c r="Q969" s="6">
        <f t="shared" si="76"/>
        <v>-2.2015241320914564E-2</v>
      </c>
      <c r="R969" s="5">
        <f t="shared" si="77"/>
        <v>27.950000000000045</v>
      </c>
      <c r="S969" s="6">
        <f t="shared" si="78"/>
        <v>5.2591965377740225E-2</v>
      </c>
      <c r="T969" s="6">
        <f t="shared" si="79"/>
        <v>-1.5452433995354748E-2</v>
      </c>
    </row>
    <row r="970" spans="1:20" hidden="1" x14ac:dyDescent="0.25">
      <c r="A970" s="4" t="s">
        <v>937</v>
      </c>
      <c r="B970" s="5" t="s">
        <v>694</v>
      </c>
      <c r="C970" s="5" t="s">
        <v>1823</v>
      </c>
      <c r="D970" s="5">
        <v>1048.99</v>
      </c>
      <c r="E970" s="5">
        <v>1060</v>
      </c>
      <c r="F970" s="5">
        <v>1060</v>
      </c>
      <c r="G970" s="5">
        <v>1060</v>
      </c>
      <c r="H970" s="5">
        <v>1060</v>
      </c>
      <c r="I970" s="5">
        <v>1060</v>
      </c>
      <c r="J970" s="5">
        <v>1060</v>
      </c>
      <c r="K970" s="5">
        <v>1</v>
      </c>
      <c r="L970" s="5">
        <v>0.01</v>
      </c>
      <c r="M970" s="5">
        <v>1</v>
      </c>
      <c r="N970" s="5">
        <v>1</v>
      </c>
      <c r="O970" s="5">
        <v>100</v>
      </c>
      <c r="P970" s="5">
        <f t="shared" si="75"/>
        <v>11.009999999999991</v>
      </c>
      <c r="Q970" s="6">
        <f t="shared" si="76"/>
        <v>1.0495810255579167E-2</v>
      </c>
      <c r="R970" s="5">
        <f t="shared" si="77"/>
        <v>0</v>
      </c>
      <c r="S970" s="6">
        <f t="shared" si="78"/>
        <v>0</v>
      </c>
      <c r="T970" s="6">
        <f t="shared" si="79"/>
        <v>0</v>
      </c>
    </row>
    <row r="971" spans="1:20" hidden="1" x14ac:dyDescent="0.25">
      <c r="A971" s="4" t="s">
        <v>937</v>
      </c>
      <c r="B971" s="5" t="s">
        <v>398</v>
      </c>
      <c r="C971" s="5" t="s">
        <v>1823</v>
      </c>
      <c r="D971" s="5">
        <v>1080</v>
      </c>
      <c r="E971" s="5">
        <v>1084</v>
      </c>
      <c r="F971" s="5">
        <v>1084</v>
      </c>
      <c r="G971" s="5">
        <v>1080</v>
      </c>
      <c r="H971" s="5">
        <v>1083</v>
      </c>
      <c r="I971" s="5">
        <v>1083</v>
      </c>
      <c r="J971" s="5">
        <v>1082.51</v>
      </c>
      <c r="K971" s="5">
        <v>500</v>
      </c>
      <c r="L971" s="5">
        <v>5.41</v>
      </c>
      <c r="M971" s="5">
        <v>7</v>
      </c>
      <c r="N971" s="5">
        <v>500</v>
      </c>
      <c r="O971" s="5">
        <v>100</v>
      </c>
      <c r="P971" s="5">
        <f t="shared" si="75"/>
        <v>3</v>
      </c>
      <c r="Q971" s="6">
        <f t="shared" si="76"/>
        <v>2.7777777777777779E-3</v>
      </c>
      <c r="R971" s="5">
        <f t="shared" si="77"/>
        <v>4</v>
      </c>
      <c r="S971" s="6">
        <f t="shared" si="78"/>
        <v>3.7037037037037038E-3</v>
      </c>
      <c r="T971" s="6">
        <f t="shared" si="79"/>
        <v>4.5255137381667893E-4</v>
      </c>
    </row>
    <row r="972" spans="1:20" hidden="1" x14ac:dyDescent="0.25">
      <c r="A972" s="4" t="s">
        <v>937</v>
      </c>
      <c r="B972" s="5" t="s">
        <v>938</v>
      </c>
      <c r="C972" s="5" t="s">
        <v>1823</v>
      </c>
      <c r="D972" s="5">
        <v>1080</v>
      </c>
      <c r="E972" s="5">
        <v>1070</v>
      </c>
      <c r="F972" s="5">
        <v>1070.01</v>
      </c>
      <c r="G972" s="5">
        <v>1070</v>
      </c>
      <c r="H972" s="5">
        <v>1070</v>
      </c>
      <c r="I972" s="5">
        <v>1070</v>
      </c>
      <c r="J972" s="5">
        <v>1070</v>
      </c>
      <c r="K972" s="5">
        <v>134</v>
      </c>
      <c r="L972" s="5">
        <v>1.43</v>
      </c>
      <c r="M972" s="5">
        <v>4</v>
      </c>
      <c r="N972" s="5">
        <v>124</v>
      </c>
      <c r="O972" s="5">
        <v>92.54</v>
      </c>
      <c r="P972" s="5">
        <f t="shared" ref="P972:P1035" si="80">I972-D972</f>
        <v>-10</v>
      </c>
      <c r="Q972" s="6">
        <f t="shared" ref="Q972:Q1035" si="81">P972/D972</f>
        <v>-9.2592592592592587E-3</v>
      </c>
      <c r="R972" s="5">
        <f t="shared" ref="R972:R1035" si="82">ABS(F972-G972)</f>
        <v>9.9999999999909051E-3</v>
      </c>
      <c r="S972" s="6">
        <f t="shared" ref="S972:S1035" si="83">R972/D972</f>
        <v>9.2592592592508379E-6</v>
      </c>
      <c r="T972" s="6">
        <f t="shared" ref="T972:T1035" si="84">(I972-J972)/AVERAGE(E972:G972,I972)</f>
        <v>0</v>
      </c>
    </row>
    <row r="973" spans="1:20" hidden="1" x14ac:dyDescent="0.25">
      <c r="A973" s="4" t="s">
        <v>937</v>
      </c>
      <c r="B973" s="5" t="s">
        <v>402</v>
      </c>
      <c r="C973" s="5" t="s">
        <v>1823</v>
      </c>
      <c r="D973" s="5">
        <v>1025</v>
      </c>
      <c r="E973" s="5">
        <v>1020.01</v>
      </c>
      <c r="F973" s="5">
        <v>1020.01</v>
      </c>
      <c r="G973" s="5">
        <v>1020.01</v>
      </c>
      <c r="H973" s="5">
        <v>1020.01</v>
      </c>
      <c r="I973" s="5">
        <v>1020.01</v>
      </c>
      <c r="J973" s="5">
        <v>1020.01</v>
      </c>
      <c r="K973" s="5">
        <v>36</v>
      </c>
      <c r="L973" s="5">
        <v>0.37</v>
      </c>
      <c r="M973" s="5">
        <v>2</v>
      </c>
      <c r="N973" s="5">
        <v>36</v>
      </c>
      <c r="O973" s="5">
        <v>100</v>
      </c>
      <c r="P973" s="5">
        <f t="shared" si="80"/>
        <v>-4.9900000000000091</v>
      </c>
      <c r="Q973" s="6">
        <f t="shared" si="81"/>
        <v>-4.8682926829268381E-3</v>
      </c>
      <c r="R973" s="5">
        <f t="shared" si="82"/>
        <v>0</v>
      </c>
      <c r="S973" s="6">
        <f t="shared" si="83"/>
        <v>0</v>
      </c>
      <c r="T973" s="6">
        <f t="shared" si="84"/>
        <v>0</v>
      </c>
    </row>
    <row r="974" spans="1:20" hidden="1" x14ac:dyDescent="0.25">
      <c r="A974" s="4" t="s">
        <v>937</v>
      </c>
      <c r="B974" s="5" t="s">
        <v>1842</v>
      </c>
      <c r="C974" s="5" t="s">
        <v>1823</v>
      </c>
      <c r="D974" s="5">
        <v>1060</v>
      </c>
      <c r="E974" s="5">
        <v>1064</v>
      </c>
      <c r="F974" s="5">
        <v>1064</v>
      </c>
      <c r="G974" s="5">
        <v>1064</v>
      </c>
      <c r="H974" s="5">
        <v>1064</v>
      </c>
      <c r="I974" s="5">
        <v>1064</v>
      </c>
      <c r="J974" s="5">
        <v>1064</v>
      </c>
      <c r="K974" s="5">
        <v>14</v>
      </c>
      <c r="L974" s="5">
        <v>0.15</v>
      </c>
      <c r="M974" s="5">
        <v>2</v>
      </c>
      <c r="N974" s="5">
        <v>14</v>
      </c>
      <c r="O974" s="5">
        <v>100</v>
      </c>
      <c r="P974" s="5">
        <f t="shared" si="80"/>
        <v>4</v>
      </c>
      <c r="Q974" s="6">
        <f t="shared" si="81"/>
        <v>3.7735849056603774E-3</v>
      </c>
      <c r="R974" s="5">
        <f t="shared" si="82"/>
        <v>0</v>
      </c>
      <c r="S974" s="6">
        <f t="shared" si="83"/>
        <v>0</v>
      </c>
      <c r="T974" s="6">
        <f t="shared" si="84"/>
        <v>0</v>
      </c>
    </row>
    <row r="975" spans="1:20" hidden="1" x14ac:dyDescent="0.25">
      <c r="A975" s="4" t="s">
        <v>937</v>
      </c>
      <c r="B975" s="5" t="s">
        <v>1843</v>
      </c>
      <c r="C975" s="5" t="s">
        <v>1823</v>
      </c>
      <c r="D975" s="5">
        <v>1059</v>
      </c>
      <c r="E975" s="5">
        <v>1049</v>
      </c>
      <c r="F975" s="5">
        <v>1050</v>
      </c>
      <c r="G975" s="5">
        <v>1049</v>
      </c>
      <c r="H975" s="5">
        <v>1050</v>
      </c>
      <c r="I975" s="5">
        <v>1049.8499999999999</v>
      </c>
      <c r="J975" s="5">
        <v>1049.8499999999999</v>
      </c>
      <c r="K975" s="5">
        <v>101</v>
      </c>
      <c r="L975" s="5">
        <v>1.06</v>
      </c>
      <c r="M975" s="5">
        <v>5</v>
      </c>
      <c r="N975" s="5">
        <v>101</v>
      </c>
      <c r="O975" s="5">
        <v>100</v>
      </c>
      <c r="P975" s="5">
        <f t="shared" si="80"/>
        <v>-9.1500000000000909</v>
      </c>
      <c r="Q975" s="6">
        <f t="shared" si="81"/>
        <v>-8.64022662889527E-3</v>
      </c>
      <c r="R975" s="5">
        <f t="shared" si="82"/>
        <v>1</v>
      </c>
      <c r="S975" s="6">
        <f t="shared" si="83"/>
        <v>9.4428706326723328E-4</v>
      </c>
      <c r="T975" s="6">
        <f t="shared" si="84"/>
        <v>0</v>
      </c>
    </row>
    <row r="976" spans="1:20" hidden="1" x14ac:dyDescent="0.25">
      <c r="A976" s="4" t="s">
        <v>939</v>
      </c>
      <c r="B976" s="5" t="s">
        <v>700</v>
      </c>
      <c r="C976" s="5" t="s">
        <v>1823</v>
      </c>
      <c r="D976" s="5">
        <v>1025.01</v>
      </c>
      <c r="E976" s="5">
        <v>1025.01</v>
      </c>
      <c r="F976" s="5">
        <v>1028</v>
      </c>
      <c r="G976" s="5">
        <v>1025.01</v>
      </c>
      <c r="H976" s="5">
        <v>1028</v>
      </c>
      <c r="I976" s="5">
        <v>1028</v>
      </c>
      <c r="J976" s="5">
        <v>1026.51</v>
      </c>
      <c r="K976" s="5">
        <v>40</v>
      </c>
      <c r="L976" s="5">
        <v>0.41</v>
      </c>
      <c r="M976" s="5">
        <v>2</v>
      </c>
      <c r="N976" s="5">
        <v>20</v>
      </c>
      <c r="O976" s="5">
        <v>50</v>
      </c>
      <c r="P976" s="5">
        <f t="shared" si="80"/>
        <v>2.9900000000000091</v>
      </c>
      <c r="Q976" s="6">
        <f t="shared" si="81"/>
        <v>2.9170447117589184E-3</v>
      </c>
      <c r="R976" s="5">
        <f t="shared" si="82"/>
        <v>2.9900000000000091</v>
      </c>
      <c r="S976" s="6">
        <f t="shared" si="83"/>
        <v>2.9170447117589184E-3</v>
      </c>
      <c r="T976" s="6">
        <f t="shared" si="84"/>
        <v>1.4515272697161814E-3</v>
      </c>
    </row>
    <row r="977" spans="1:20" hidden="1" x14ac:dyDescent="0.25">
      <c r="A977" s="4" t="s">
        <v>939</v>
      </c>
      <c r="B977" s="5" t="s">
        <v>480</v>
      </c>
      <c r="C977" s="5" t="s">
        <v>1823</v>
      </c>
      <c r="D977" s="5">
        <v>1872</v>
      </c>
      <c r="E977" s="5">
        <v>1872</v>
      </c>
      <c r="F977" s="5">
        <v>1885</v>
      </c>
      <c r="G977" s="5">
        <v>1872</v>
      </c>
      <c r="H977" s="5">
        <v>1872.25</v>
      </c>
      <c r="I977" s="5">
        <v>1872.25</v>
      </c>
      <c r="J977" s="5">
        <v>1882.29</v>
      </c>
      <c r="K977" s="5">
        <v>190</v>
      </c>
      <c r="L977" s="5">
        <v>3.58</v>
      </c>
      <c r="M977" s="5">
        <v>4</v>
      </c>
      <c r="N977" s="5">
        <v>190</v>
      </c>
      <c r="O977" s="5">
        <v>100</v>
      </c>
      <c r="P977" s="5">
        <f t="shared" si="80"/>
        <v>0.25</v>
      </c>
      <c r="Q977" s="6">
        <f t="shared" si="81"/>
        <v>1.3354700854700856E-4</v>
      </c>
      <c r="R977" s="5">
        <f t="shared" si="82"/>
        <v>13</v>
      </c>
      <c r="S977" s="6">
        <f t="shared" si="83"/>
        <v>6.9444444444444441E-3</v>
      </c>
      <c r="T977" s="6">
        <f t="shared" si="84"/>
        <v>-5.3537743709381573E-3</v>
      </c>
    </row>
    <row r="978" spans="1:20" hidden="1" x14ac:dyDescent="0.25">
      <c r="A978" s="4" t="s">
        <v>939</v>
      </c>
      <c r="B978" s="5" t="s">
        <v>254</v>
      </c>
      <c r="C978" s="5" t="s">
        <v>1823</v>
      </c>
      <c r="D978" s="5">
        <v>1025.01</v>
      </c>
      <c r="E978" s="5">
        <v>1039</v>
      </c>
      <c r="F978" s="5">
        <v>1039.5</v>
      </c>
      <c r="G978" s="5">
        <v>1038</v>
      </c>
      <c r="H978" s="5">
        <v>1039.5</v>
      </c>
      <c r="I978" s="5">
        <v>1039.5</v>
      </c>
      <c r="J978" s="5">
        <v>1038.8699999999999</v>
      </c>
      <c r="K978" s="5">
        <v>6300</v>
      </c>
      <c r="L978" s="5">
        <v>65.45</v>
      </c>
      <c r="M978" s="5">
        <v>3</v>
      </c>
      <c r="N978" s="5">
        <v>4300</v>
      </c>
      <c r="O978" s="5">
        <v>68.25</v>
      </c>
      <c r="P978" s="5">
        <f t="shared" si="80"/>
        <v>14.490000000000009</v>
      </c>
      <c r="Q978" s="6">
        <f t="shared" si="81"/>
        <v>1.4136447449293186E-2</v>
      </c>
      <c r="R978" s="5">
        <f t="shared" si="82"/>
        <v>1.5</v>
      </c>
      <c r="S978" s="6">
        <f t="shared" si="83"/>
        <v>1.4634003570696871E-3</v>
      </c>
      <c r="T978" s="6">
        <f t="shared" si="84"/>
        <v>6.063522617902879E-4</v>
      </c>
    </row>
    <row r="979" spans="1:20" hidden="1" x14ac:dyDescent="0.25">
      <c r="A979" s="4" t="s">
        <v>939</v>
      </c>
      <c r="B979" s="5" t="s">
        <v>395</v>
      </c>
      <c r="C979" s="5" t="s">
        <v>1823</v>
      </c>
      <c r="D979" s="5">
        <v>1832</v>
      </c>
      <c r="E979" s="5">
        <v>1835</v>
      </c>
      <c r="F979" s="5">
        <v>1840</v>
      </c>
      <c r="G979" s="5">
        <v>1834.02</v>
      </c>
      <c r="H979" s="5">
        <v>1840</v>
      </c>
      <c r="I979" s="5">
        <v>1840</v>
      </c>
      <c r="J979" s="5">
        <v>1839.65</v>
      </c>
      <c r="K979" s="5">
        <v>1185</v>
      </c>
      <c r="L979" s="5">
        <v>21.8</v>
      </c>
      <c r="M979" s="5">
        <v>15</v>
      </c>
      <c r="N979" s="5">
        <v>1175</v>
      </c>
      <c r="O979" s="5">
        <v>99.16</v>
      </c>
      <c r="P979" s="5">
        <f t="shared" si="80"/>
        <v>8</v>
      </c>
      <c r="Q979" s="6">
        <f t="shared" si="81"/>
        <v>4.3668122270742356E-3</v>
      </c>
      <c r="R979" s="5">
        <f t="shared" si="82"/>
        <v>5.9800000000000182</v>
      </c>
      <c r="S979" s="6">
        <f t="shared" si="83"/>
        <v>3.2641921397380011E-3</v>
      </c>
      <c r="T979" s="6">
        <f t="shared" si="84"/>
        <v>1.9050159068823274E-4</v>
      </c>
    </row>
    <row r="980" spans="1:20" hidden="1" x14ac:dyDescent="0.25">
      <c r="A980" s="4" t="s">
        <v>939</v>
      </c>
      <c r="B980" s="5" t="s">
        <v>439</v>
      </c>
      <c r="C980" s="5" t="s">
        <v>1823</v>
      </c>
      <c r="D980" s="5">
        <v>1008.05</v>
      </c>
      <c r="E980" s="5">
        <v>1025</v>
      </c>
      <c r="F980" s="5">
        <v>1025</v>
      </c>
      <c r="G980" s="5">
        <v>1016.1</v>
      </c>
      <c r="H980" s="5">
        <v>1016.1</v>
      </c>
      <c r="I980" s="5">
        <v>1016.1</v>
      </c>
      <c r="J980" s="5">
        <v>1024.46</v>
      </c>
      <c r="K980" s="5">
        <v>3035</v>
      </c>
      <c r="L980" s="5">
        <v>31.09</v>
      </c>
      <c r="M980" s="5">
        <v>6</v>
      </c>
      <c r="N980" s="5">
        <v>1525</v>
      </c>
      <c r="O980" s="5">
        <v>50.25</v>
      </c>
      <c r="P980" s="5">
        <f t="shared" si="80"/>
        <v>8.0500000000000682</v>
      </c>
      <c r="Q980" s="6">
        <f t="shared" si="81"/>
        <v>7.9857149942959855E-3</v>
      </c>
      <c r="R980" s="5">
        <f t="shared" si="82"/>
        <v>8.8999999999999773</v>
      </c>
      <c r="S980" s="6">
        <f t="shared" si="83"/>
        <v>8.828927136550745E-3</v>
      </c>
      <c r="T980" s="6">
        <f t="shared" si="84"/>
        <v>-8.1916613590711021E-3</v>
      </c>
    </row>
    <row r="981" spans="1:20" hidden="1" x14ac:dyDescent="0.25">
      <c r="A981" s="4" t="s">
        <v>939</v>
      </c>
      <c r="B981" s="5" t="s">
        <v>396</v>
      </c>
      <c r="C981" s="5" t="s">
        <v>1823</v>
      </c>
      <c r="D981" s="5">
        <v>1900.1</v>
      </c>
      <c r="E981" s="5">
        <v>1900</v>
      </c>
      <c r="F981" s="5">
        <v>1910</v>
      </c>
      <c r="G981" s="5">
        <v>1900</v>
      </c>
      <c r="H981" s="5">
        <v>1910</v>
      </c>
      <c r="I981" s="5">
        <v>1910</v>
      </c>
      <c r="J981" s="5">
        <v>1902.84</v>
      </c>
      <c r="K981" s="5">
        <v>3778</v>
      </c>
      <c r="L981" s="5">
        <v>71.89</v>
      </c>
      <c r="M981" s="5">
        <v>32</v>
      </c>
      <c r="N981" s="5">
        <v>3729</v>
      </c>
      <c r="O981" s="5">
        <v>98.7</v>
      </c>
      <c r="P981" s="5">
        <f t="shared" si="80"/>
        <v>9.9000000000000909</v>
      </c>
      <c r="Q981" s="6">
        <f t="shared" si="81"/>
        <v>5.210252091995206E-3</v>
      </c>
      <c r="R981" s="5">
        <f t="shared" si="82"/>
        <v>10</v>
      </c>
      <c r="S981" s="6">
        <f t="shared" si="83"/>
        <v>5.2628809010052107E-3</v>
      </c>
      <c r="T981" s="6">
        <f t="shared" si="84"/>
        <v>3.7585301837270769E-3</v>
      </c>
    </row>
    <row r="982" spans="1:20" hidden="1" x14ac:dyDescent="0.25">
      <c r="A982" s="4" t="s">
        <v>1844</v>
      </c>
      <c r="B982" s="5" t="s">
        <v>28</v>
      </c>
      <c r="C982" s="5" t="s">
        <v>1823</v>
      </c>
      <c r="D982" s="5">
        <v>11</v>
      </c>
      <c r="E982" s="5">
        <v>10.7</v>
      </c>
      <c r="F982" s="5">
        <v>10.7</v>
      </c>
      <c r="G982" s="5">
        <v>10.7</v>
      </c>
      <c r="H982" s="5">
        <v>10.7</v>
      </c>
      <c r="I982" s="5">
        <v>10.7</v>
      </c>
      <c r="J982" s="5">
        <v>10.7</v>
      </c>
      <c r="K982" s="5">
        <v>3000</v>
      </c>
      <c r="L982" s="5">
        <v>0.32</v>
      </c>
      <c r="M982" s="5">
        <v>1</v>
      </c>
      <c r="N982" s="5">
        <v>3000</v>
      </c>
      <c r="O982" s="5">
        <v>100</v>
      </c>
      <c r="P982" s="5">
        <f t="shared" si="80"/>
        <v>-0.30000000000000071</v>
      </c>
      <c r="Q982" s="6">
        <f t="shared" si="81"/>
        <v>-2.7272727272727337E-2</v>
      </c>
      <c r="R982" s="5">
        <f t="shared" si="82"/>
        <v>0</v>
      </c>
      <c r="S982" s="6">
        <f t="shared" si="83"/>
        <v>0</v>
      </c>
      <c r="T982" s="6">
        <f t="shared" si="84"/>
        <v>0</v>
      </c>
    </row>
    <row r="983" spans="1:20" hidden="1" x14ac:dyDescent="0.25">
      <c r="A983" s="4" t="s">
        <v>940</v>
      </c>
      <c r="B983" s="5" t="s">
        <v>24</v>
      </c>
      <c r="C983" s="5" t="s">
        <v>1823</v>
      </c>
      <c r="D983" s="5">
        <v>4.45</v>
      </c>
      <c r="E983" s="5">
        <v>4.25</v>
      </c>
      <c r="F983" s="5">
        <v>4.25</v>
      </c>
      <c r="G983" s="5">
        <v>4.25</v>
      </c>
      <c r="H983" s="5">
        <v>4.25</v>
      </c>
      <c r="I983" s="5">
        <v>4.25</v>
      </c>
      <c r="J983" s="5">
        <v>4.25</v>
      </c>
      <c r="K983" s="5">
        <v>36</v>
      </c>
      <c r="L983" s="5">
        <v>0</v>
      </c>
      <c r="M983" s="5">
        <v>1</v>
      </c>
      <c r="N983" s="5" t="s">
        <v>25</v>
      </c>
      <c r="O983" s="5" t="s">
        <v>25</v>
      </c>
      <c r="P983" s="5">
        <f t="shared" si="80"/>
        <v>-0.20000000000000018</v>
      </c>
      <c r="Q983" s="6">
        <f t="shared" si="81"/>
        <v>-4.4943820224719142E-2</v>
      </c>
      <c r="R983" s="5">
        <f t="shared" si="82"/>
        <v>0</v>
      </c>
      <c r="S983" s="6">
        <f t="shared" si="83"/>
        <v>0</v>
      </c>
      <c r="T983" s="6">
        <f t="shared" si="84"/>
        <v>0</v>
      </c>
    </row>
    <row r="984" spans="1:20" x14ac:dyDescent="0.25">
      <c r="A984" s="4" t="s">
        <v>941</v>
      </c>
      <c r="B984" s="5" t="s">
        <v>16</v>
      </c>
      <c r="C984" s="5" t="s">
        <v>1823</v>
      </c>
      <c r="D984" s="5">
        <v>39.1</v>
      </c>
      <c r="E984" s="5">
        <v>38.700000000000003</v>
      </c>
      <c r="F984" s="5">
        <v>38.700000000000003</v>
      </c>
      <c r="G984" s="5">
        <v>37.15</v>
      </c>
      <c r="H984" s="5">
        <v>37.549999999999997</v>
      </c>
      <c r="I984" s="5">
        <v>37.6</v>
      </c>
      <c r="J984" s="5">
        <v>37.72</v>
      </c>
      <c r="K984" s="5">
        <v>1006645</v>
      </c>
      <c r="L984" s="5">
        <v>379.72</v>
      </c>
      <c r="M984" s="5">
        <v>3871</v>
      </c>
      <c r="N984" s="5">
        <v>495774</v>
      </c>
      <c r="O984" s="5">
        <v>49.25</v>
      </c>
      <c r="P984" s="5">
        <f t="shared" si="80"/>
        <v>-1.5</v>
      </c>
      <c r="Q984" s="6">
        <f t="shared" si="81"/>
        <v>-3.8363171355498722E-2</v>
      </c>
      <c r="R984" s="5">
        <f t="shared" si="82"/>
        <v>1.5500000000000043</v>
      </c>
      <c r="S984" s="6">
        <f t="shared" si="83"/>
        <v>3.9641943734015452E-2</v>
      </c>
      <c r="T984" s="6">
        <f t="shared" si="84"/>
        <v>-3.154781465658822E-3</v>
      </c>
    </row>
    <row r="985" spans="1:20" hidden="1" x14ac:dyDescent="0.25">
      <c r="A985" s="4" t="s">
        <v>942</v>
      </c>
      <c r="B985" s="5" t="s">
        <v>16</v>
      </c>
      <c r="C985" s="5" t="s">
        <v>1823</v>
      </c>
      <c r="D985" s="5">
        <v>1403.4</v>
      </c>
      <c r="E985" s="5">
        <v>1403.4</v>
      </c>
      <c r="F985" s="5">
        <v>1406.95</v>
      </c>
      <c r="G985" s="5">
        <v>1381.3</v>
      </c>
      <c r="H985" s="5">
        <v>1390.6</v>
      </c>
      <c r="I985" s="5">
        <v>1390.4</v>
      </c>
      <c r="J985" s="5">
        <v>1389.51</v>
      </c>
      <c r="K985" s="5">
        <v>28763</v>
      </c>
      <c r="L985" s="5">
        <v>399.66</v>
      </c>
      <c r="M985" s="5">
        <v>5098</v>
      </c>
      <c r="N985" s="5">
        <v>17301</v>
      </c>
      <c r="O985" s="5">
        <v>60.15</v>
      </c>
      <c r="P985" s="5">
        <f t="shared" si="80"/>
        <v>-13</v>
      </c>
      <c r="Q985" s="6">
        <f t="shared" si="81"/>
        <v>-9.2632178993872025E-3</v>
      </c>
      <c r="R985" s="5">
        <f t="shared" si="82"/>
        <v>25.650000000000091</v>
      </c>
      <c r="S985" s="6">
        <f t="shared" si="83"/>
        <v>1.8277041470714045E-2</v>
      </c>
      <c r="T985" s="6">
        <f t="shared" si="84"/>
        <v>6.3775852957254043E-4</v>
      </c>
    </row>
    <row r="986" spans="1:20" hidden="1" x14ac:dyDescent="0.25">
      <c r="A986" s="4" t="s">
        <v>943</v>
      </c>
      <c r="B986" s="5" t="s">
        <v>16</v>
      </c>
      <c r="C986" s="5" t="s">
        <v>1823</v>
      </c>
      <c r="D986" s="5">
        <v>32.75</v>
      </c>
      <c r="E986" s="5">
        <v>33.9</v>
      </c>
      <c r="F986" s="5">
        <v>33.9</v>
      </c>
      <c r="G986" s="5">
        <v>30.6</v>
      </c>
      <c r="H986" s="5">
        <v>30.75</v>
      </c>
      <c r="I986" s="5">
        <v>30.8</v>
      </c>
      <c r="J986" s="5">
        <v>31.88</v>
      </c>
      <c r="K986" s="5">
        <v>5346</v>
      </c>
      <c r="L986" s="5">
        <v>1.7</v>
      </c>
      <c r="M986" s="5">
        <v>344</v>
      </c>
      <c r="N986" s="5">
        <v>4064</v>
      </c>
      <c r="O986" s="5">
        <v>76.02</v>
      </c>
      <c r="P986" s="5">
        <f t="shared" si="80"/>
        <v>-1.9499999999999993</v>
      </c>
      <c r="Q986" s="6">
        <f t="shared" si="81"/>
        <v>-5.9541984732824405E-2</v>
      </c>
      <c r="R986" s="5">
        <f t="shared" si="82"/>
        <v>3.2999999999999972</v>
      </c>
      <c r="S986" s="6">
        <f t="shared" si="83"/>
        <v>0.10076335877862587</v>
      </c>
      <c r="T986" s="6">
        <f t="shared" si="84"/>
        <v>-3.3436532507739883E-2</v>
      </c>
    </row>
    <row r="987" spans="1:20" hidden="1" x14ac:dyDescent="0.25">
      <c r="A987" s="4" t="s">
        <v>944</v>
      </c>
      <c r="B987" s="5" t="s">
        <v>16</v>
      </c>
      <c r="C987" s="5" t="s">
        <v>1823</v>
      </c>
      <c r="D987" s="5">
        <v>186.35</v>
      </c>
      <c r="E987" s="5">
        <v>184.05</v>
      </c>
      <c r="F987" s="5">
        <v>186.25</v>
      </c>
      <c r="G987" s="5">
        <v>180.05</v>
      </c>
      <c r="H987" s="5">
        <v>183.5</v>
      </c>
      <c r="I987" s="5">
        <v>183.5</v>
      </c>
      <c r="J987" s="5">
        <v>183.58</v>
      </c>
      <c r="K987" s="5">
        <v>40679</v>
      </c>
      <c r="L987" s="5">
        <v>74.680000000000007</v>
      </c>
      <c r="M987" s="5">
        <v>1810</v>
      </c>
      <c r="N987" s="5">
        <v>30268</v>
      </c>
      <c r="O987" s="5">
        <v>74.41</v>
      </c>
      <c r="P987" s="5">
        <f t="shared" si="80"/>
        <v>-2.8499999999999943</v>
      </c>
      <c r="Q987" s="6">
        <f t="shared" si="81"/>
        <v>-1.5293801985511104E-2</v>
      </c>
      <c r="R987" s="5">
        <f t="shared" si="82"/>
        <v>6.1999999999999886</v>
      </c>
      <c r="S987" s="6">
        <f t="shared" si="83"/>
        <v>3.3270727126375042E-2</v>
      </c>
      <c r="T987" s="6">
        <f t="shared" si="84"/>
        <v>-4.3605641479873273E-4</v>
      </c>
    </row>
    <row r="988" spans="1:20" hidden="1" x14ac:dyDescent="0.25">
      <c r="A988" s="4" t="s">
        <v>945</v>
      </c>
      <c r="B988" s="5" t="s">
        <v>39</v>
      </c>
      <c r="C988" s="5" t="s">
        <v>1823</v>
      </c>
      <c r="D988" s="5">
        <v>17.2</v>
      </c>
      <c r="E988" s="5">
        <v>17.5</v>
      </c>
      <c r="F988" s="5">
        <v>17.850000000000001</v>
      </c>
      <c r="G988" s="5">
        <v>17.25</v>
      </c>
      <c r="H988" s="5">
        <v>17.5</v>
      </c>
      <c r="I988" s="5">
        <v>17.5</v>
      </c>
      <c r="J988" s="5">
        <v>17.38</v>
      </c>
      <c r="K988" s="5">
        <v>46357</v>
      </c>
      <c r="L988" s="5">
        <v>8.06</v>
      </c>
      <c r="M988" s="5">
        <v>70</v>
      </c>
      <c r="N988" s="5" t="s">
        <v>25</v>
      </c>
      <c r="O988" s="5" t="s">
        <v>25</v>
      </c>
      <c r="P988" s="5">
        <f t="shared" si="80"/>
        <v>0.30000000000000071</v>
      </c>
      <c r="Q988" s="6">
        <f t="shared" si="81"/>
        <v>1.744186046511632E-2</v>
      </c>
      <c r="R988" s="5">
        <f t="shared" si="82"/>
        <v>0.60000000000000142</v>
      </c>
      <c r="S988" s="6">
        <f t="shared" si="83"/>
        <v>3.4883720930232641E-2</v>
      </c>
      <c r="T988" s="6">
        <f t="shared" si="84"/>
        <v>6.8473609129815127E-3</v>
      </c>
    </row>
    <row r="989" spans="1:20" hidden="1" x14ac:dyDescent="0.25">
      <c r="A989" s="4" t="s">
        <v>946</v>
      </c>
      <c r="B989" s="5" t="s">
        <v>16</v>
      </c>
      <c r="C989" s="5" t="s">
        <v>1823</v>
      </c>
      <c r="D989" s="5">
        <v>349.7</v>
      </c>
      <c r="E989" s="5">
        <v>347</v>
      </c>
      <c r="F989" s="5">
        <v>364.4</v>
      </c>
      <c r="G989" s="5">
        <v>344</v>
      </c>
      <c r="H989" s="5">
        <v>353</v>
      </c>
      <c r="I989" s="5">
        <v>354.8</v>
      </c>
      <c r="J989" s="5">
        <v>354.93</v>
      </c>
      <c r="K989" s="5">
        <v>84080</v>
      </c>
      <c r="L989" s="5">
        <v>298.42</v>
      </c>
      <c r="M989" s="5">
        <v>2236</v>
      </c>
      <c r="N989" s="5">
        <v>66364</v>
      </c>
      <c r="O989" s="5">
        <v>78.930000000000007</v>
      </c>
      <c r="P989" s="5">
        <f t="shared" si="80"/>
        <v>5.1000000000000227</v>
      </c>
      <c r="Q989" s="6">
        <f t="shared" si="81"/>
        <v>1.4583929082070412E-2</v>
      </c>
      <c r="R989" s="5">
        <f t="shared" si="82"/>
        <v>20.399999999999977</v>
      </c>
      <c r="S989" s="6">
        <f t="shared" si="83"/>
        <v>5.8335716328281322E-2</v>
      </c>
      <c r="T989" s="6">
        <f t="shared" si="84"/>
        <v>-3.6874202240815614E-4</v>
      </c>
    </row>
    <row r="990" spans="1:20" hidden="1" x14ac:dyDescent="0.25">
      <c r="A990" s="4" t="s">
        <v>1845</v>
      </c>
      <c r="B990" s="5" t="s">
        <v>28</v>
      </c>
      <c r="C990" s="5" t="s">
        <v>1823</v>
      </c>
      <c r="D990" s="5">
        <v>13.4</v>
      </c>
      <c r="E990" s="5">
        <v>11.1</v>
      </c>
      <c r="F990" s="5">
        <v>11.1</v>
      </c>
      <c r="G990" s="5">
        <v>11.1</v>
      </c>
      <c r="H990" s="5">
        <v>11.1</v>
      </c>
      <c r="I990" s="5">
        <v>11.1</v>
      </c>
      <c r="J990" s="5">
        <v>11.1</v>
      </c>
      <c r="K990" s="5">
        <v>6000</v>
      </c>
      <c r="L990" s="5">
        <v>0.67</v>
      </c>
      <c r="M990" s="5">
        <v>1</v>
      </c>
      <c r="N990" s="5">
        <v>6000</v>
      </c>
      <c r="O990" s="5">
        <v>100</v>
      </c>
      <c r="P990" s="5">
        <f t="shared" si="80"/>
        <v>-2.3000000000000007</v>
      </c>
      <c r="Q990" s="6">
        <f t="shared" si="81"/>
        <v>-0.17164179104477617</v>
      </c>
      <c r="R990" s="5">
        <f t="shared" si="82"/>
        <v>0</v>
      </c>
      <c r="S990" s="6">
        <f t="shared" si="83"/>
        <v>0</v>
      </c>
      <c r="T990" s="6">
        <f t="shared" si="84"/>
        <v>0</v>
      </c>
    </row>
    <row r="991" spans="1:20" hidden="1" x14ac:dyDescent="0.25">
      <c r="A991" s="4" t="s">
        <v>947</v>
      </c>
      <c r="B991" s="5" t="s">
        <v>16</v>
      </c>
      <c r="C991" s="5" t="s">
        <v>1823</v>
      </c>
      <c r="D991" s="5">
        <v>3837.4</v>
      </c>
      <c r="E991" s="5">
        <v>3894</v>
      </c>
      <c r="F991" s="5">
        <v>3894</v>
      </c>
      <c r="G991" s="5">
        <v>3761.2</v>
      </c>
      <c r="H991" s="5">
        <v>3780</v>
      </c>
      <c r="I991" s="5">
        <v>3776.8</v>
      </c>
      <c r="J991" s="5">
        <v>3802.39</v>
      </c>
      <c r="K991" s="5">
        <v>3023</v>
      </c>
      <c r="L991" s="5">
        <v>114.95</v>
      </c>
      <c r="M991" s="5">
        <v>801</v>
      </c>
      <c r="N991" s="5">
        <v>2415</v>
      </c>
      <c r="O991" s="5">
        <v>79.89</v>
      </c>
      <c r="P991" s="5">
        <f t="shared" si="80"/>
        <v>-60.599999999999909</v>
      </c>
      <c r="Q991" s="6">
        <f t="shared" si="81"/>
        <v>-1.5791942461041306E-2</v>
      </c>
      <c r="R991" s="5">
        <f t="shared" si="82"/>
        <v>132.80000000000018</v>
      </c>
      <c r="S991" s="6">
        <f t="shared" si="83"/>
        <v>3.460676499713352E-2</v>
      </c>
      <c r="T991" s="6">
        <f t="shared" si="84"/>
        <v>-6.6788464048022156E-3</v>
      </c>
    </row>
    <row r="992" spans="1:20" hidden="1" x14ac:dyDescent="0.25">
      <c r="A992" s="4" t="s">
        <v>948</v>
      </c>
      <c r="B992" s="5" t="s">
        <v>16</v>
      </c>
      <c r="C992" s="5" t="s">
        <v>1823</v>
      </c>
      <c r="D992" s="5">
        <v>58.45</v>
      </c>
      <c r="E992" s="5">
        <v>58.95</v>
      </c>
      <c r="F992" s="5">
        <v>58.95</v>
      </c>
      <c r="G992" s="5">
        <v>57.3</v>
      </c>
      <c r="H992" s="5">
        <v>58.6</v>
      </c>
      <c r="I992" s="5">
        <v>58.55</v>
      </c>
      <c r="J992" s="5">
        <v>58.21</v>
      </c>
      <c r="K992" s="5">
        <v>1249458</v>
      </c>
      <c r="L992" s="5">
        <v>727.29</v>
      </c>
      <c r="M992" s="5">
        <v>8043</v>
      </c>
      <c r="N992" s="5">
        <v>680076</v>
      </c>
      <c r="O992" s="5">
        <v>54.43</v>
      </c>
      <c r="P992" s="5">
        <f t="shared" si="80"/>
        <v>9.9999999999994316E-2</v>
      </c>
      <c r="Q992" s="6">
        <f t="shared" si="81"/>
        <v>1.7108639863129909E-3</v>
      </c>
      <c r="R992" s="5">
        <f t="shared" si="82"/>
        <v>1.6500000000000057</v>
      </c>
      <c r="S992" s="6">
        <f t="shared" si="83"/>
        <v>2.8229255774166049E-2</v>
      </c>
      <c r="T992" s="6">
        <f t="shared" si="84"/>
        <v>5.8181818181817554E-3</v>
      </c>
    </row>
    <row r="993" spans="1:20" hidden="1" x14ac:dyDescent="0.25">
      <c r="A993" s="4" t="s">
        <v>949</v>
      </c>
      <c r="B993" s="5" t="s">
        <v>28</v>
      </c>
      <c r="C993" s="5" t="s">
        <v>1823</v>
      </c>
      <c r="D993" s="5">
        <v>14.7</v>
      </c>
      <c r="E993" s="5">
        <v>14.5</v>
      </c>
      <c r="F993" s="5">
        <v>14.5</v>
      </c>
      <c r="G993" s="5">
        <v>14.5</v>
      </c>
      <c r="H993" s="5">
        <v>14.5</v>
      </c>
      <c r="I993" s="5">
        <v>14.5</v>
      </c>
      <c r="J993" s="5">
        <v>14.5</v>
      </c>
      <c r="K993" s="5">
        <v>4000</v>
      </c>
      <c r="L993" s="5">
        <v>0.57999999999999996</v>
      </c>
      <c r="M993" s="5">
        <v>1</v>
      </c>
      <c r="N993" s="5">
        <v>4000</v>
      </c>
      <c r="O993" s="5">
        <v>100</v>
      </c>
      <c r="P993" s="5">
        <f t="shared" si="80"/>
        <v>-0.19999999999999929</v>
      </c>
      <c r="Q993" s="6">
        <f t="shared" si="81"/>
        <v>-1.3605442176870701E-2</v>
      </c>
      <c r="R993" s="5">
        <f t="shared" si="82"/>
        <v>0</v>
      </c>
      <c r="S993" s="6">
        <f t="shared" si="83"/>
        <v>0</v>
      </c>
      <c r="T993" s="6">
        <f t="shared" si="84"/>
        <v>0</v>
      </c>
    </row>
    <row r="994" spans="1:20" hidden="1" x14ac:dyDescent="0.25">
      <c r="A994" s="4" t="s">
        <v>950</v>
      </c>
      <c r="B994" s="5" t="s">
        <v>16</v>
      </c>
      <c r="C994" s="5" t="s">
        <v>1823</v>
      </c>
      <c r="D994" s="5">
        <v>55.85</v>
      </c>
      <c r="E994" s="5">
        <v>53.1</v>
      </c>
      <c r="F994" s="5">
        <v>58.5</v>
      </c>
      <c r="G994" s="5">
        <v>53.1</v>
      </c>
      <c r="H994" s="5">
        <v>58.4</v>
      </c>
      <c r="I994" s="5">
        <v>58.4</v>
      </c>
      <c r="J994" s="5">
        <v>53.16</v>
      </c>
      <c r="K994" s="5">
        <v>529</v>
      </c>
      <c r="L994" s="5">
        <v>0.28000000000000003</v>
      </c>
      <c r="M994" s="5">
        <v>8</v>
      </c>
      <c r="N994" s="5">
        <v>524</v>
      </c>
      <c r="O994" s="5">
        <v>99.05</v>
      </c>
      <c r="P994" s="5">
        <f t="shared" si="80"/>
        <v>2.5499999999999972</v>
      </c>
      <c r="Q994" s="6">
        <f t="shared" si="81"/>
        <v>4.5658012533572018E-2</v>
      </c>
      <c r="R994" s="5">
        <f t="shared" si="82"/>
        <v>5.3999999999999986</v>
      </c>
      <c r="S994" s="6">
        <f t="shared" si="83"/>
        <v>9.6687555953446705E-2</v>
      </c>
      <c r="T994" s="6">
        <f t="shared" si="84"/>
        <v>9.3948901837740961E-2</v>
      </c>
    </row>
    <row r="995" spans="1:20" hidden="1" x14ac:dyDescent="0.25">
      <c r="A995" s="4" t="s">
        <v>951</v>
      </c>
      <c r="B995" s="5" t="s">
        <v>16</v>
      </c>
      <c r="C995" s="5" t="s">
        <v>1823</v>
      </c>
      <c r="D995" s="5">
        <v>327.9</v>
      </c>
      <c r="E995" s="5">
        <v>325</v>
      </c>
      <c r="F995" s="5">
        <v>336.9</v>
      </c>
      <c r="G995" s="5">
        <v>325</v>
      </c>
      <c r="H995" s="5">
        <v>336.9</v>
      </c>
      <c r="I995" s="5">
        <v>333.95</v>
      </c>
      <c r="J995" s="5">
        <v>331.29</v>
      </c>
      <c r="K995" s="5">
        <v>2080</v>
      </c>
      <c r="L995" s="5">
        <v>6.89</v>
      </c>
      <c r="M995" s="5">
        <v>158</v>
      </c>
      <c r="N995" s="5">
        <v>1639</v>
      </c>
      <c r="O995" s="5">
        <v>78.8</v>
      </c>
      <c r="P995" s="5">
        <f t="shared" si="80"/>
        <v>6.0500000000000114</v>
      </c>
      <c r="Q995" s="6">
        <f t="shared" si="81"/>
        <v>1.845074717901803E-2</v>
      </c>
      <c r="R995" s="5">
        <f t="shared" si="82"/>
        <v>11.899999999999977</v>
      </c>
      <c r="S995" s="6">
        <f t="shared" si="83"/>
        <v>3.6291552302531192E-2</v>
      </c>
      <c r="T995" s="6">
        <f t="shared" si="84"/>
        <v>8.0554188590679279E-3</v>
      </c>
    </row>
    <row r="996" spans="1:20" hidden="1" x14ac:dyDescent="0.25">
      <c r="A996" s="4" t="s">
        <v>952</v>
      </c>
      <c r="B996" s="5" t="s">
        <v>16</v>
      </c>
      <c r="C996" s="5" t="s">
        <v>1823</v>
      </c>
      <c r="D996" s="5">
        <v>2.6</v>
      </c>
      <c r="E996" s="5">
        <v>2.7</v>
      </c>
      <c r="F996" s="5">
        <v>2.7</v>
      </c>
      <c r="G996" s="5">
        <v>2.5</v>
      </c>
      <c r="H996" s="5">
        <v>2.6</v>
      </c>
      <c r="I996" s="5">
        <v>2.6</v>
      </c>
      <c r="J996" s="5">
        <v>2.57</v>
      </c>
      <c r="K996" s="5">
        <v>12002</v>
      </c>
      <c r="L996" s="5">
        <v>0.31</v>
      </c>
      <c r="M996" s="5">
        <v>41</v>
      </c>
      <c r="N996" s="5">
        <v>7812</v>
      </c>
      <c r="O996" s="5">
        <v>65.09</v>
      </c>
      <c r="P996" s="5">
        <f t="shared" si="80"/>
        <v>0</v>
      </c>
      <c r="Q996" s="6">
        <f t="shared" si="81"/>
        <v>0</v>
      </c>
      <c r="R996" s="5">
        <f t="shared" si="82"/>
        <v>0.20000000000000018</v>
      </c>
      <c r="S996" s="6">
        <f t="shared" si="83"/>
        <v>7.6923076923076983E-2</v>
      </c>
      <c r="T996" s="6">
        <f t="shared" si="84"/>
        <v>1.1428571428571524E-2</v>
      </c>
    </row>
    <row r="997" spans="1:20" hidden="1" x14ac:dyDescent="0.25">
      <c r="A997" s="4" t="s">
        <v>1846</v>
      </c>
      <c r="B997" s="5" t="s">
        <v>16</v>
      </c>
      <c r="C997" s="5" t="s">
        <v>1823</v>
      </c>
      <c r="D997" s="5">
        <v>56.05</v>
      </c>
      <c r="E997" s="5">
        <v>56.05</v>
      </c>
      <c r="F997" s="5">
        <v>58.85</v>
      </c>
      <c r="G997" s="5">
        <v>56.05</v>
      </c>
      <c r="H997" s="5">
        <v>58</v>
      </c>
      <c r="I997" s="5">
        <v>58</v>
      </c>
      <c r="J997" s="5">
        <v>57.78</v>
      </c>
      <c r="K997" s="5">
        <v>5</v>
      </c>
      <c r="L997" s="5">
        <v>0</v>
      </c>
      <c r="M997" s="5">
        <v>4</v>
      </c>
      <c r="N997" s="5">
        <v>3</v>
      </c>
      <c r="O997" s="5">
        <v>60</v>
      </c>
      <c r="P997" s="5">
        <f t="shared" si="80"/>
        <v>1.9500000000000028</v>
      </c>
      <c r="Q997" s="6">
        <f t="shared" si="81"/>
        <v>3.4790365744870703E-2</v>
      </c>
      <c r="R997" s="5">
        <f t="shared" si="82"/>
        <v>2.8000000000000043</v>
      </c>
      <c r="S997" s="6">
        <f t="shared" si="83"/>
        <v>4.9955396966993831E-2</v>
      </c>
      <c r="T997" s="6">
        <f t="shared" si="84"/>
        <v>3.8436339812185868E-3</v>
      </c>
    </row>
    <row r="998" spans="1:20" hidden="1" x14ac:dyDescent="0.25">
      <c r="A998" s="4" t="s">
        <v>953</v>
      </c>
      <c r="B998" s="5" t="s">
        <v>16</v>
      </c>
      <c r="C998" s="5" t="s">
        <v>1823</v>
      </c>
      <c r="D998" s="5">
        <v>113.5</v>
      </c>
      <c r="E998" s="5">
        <v>112.9</v>
      </c>
      <c r="F998" s="5">
        <v>113.4</v>
      </c>
      <c r="G998" s="5">
        <v>109.2</v>
      </c>
      <c r="H998" s="5">
        <v>109.8</v>
      </c>
      <c r="I998" s="5">
        <v>110.05</v>
      </c>
      <c r="J998" s="5">
        <v>110.99</v>
      </c>
      <c r="K998" s="5">
        <v>47307</v>
      </c>
      <c r="L998" s="5">
        <v>52.51</v>
      </c>
      <c r="M998" s="5">
        <v>1133</v>
      </c>
      <c r="N998" s="5">
        <v>23180</v>
      </c>
      <c r="O998" s="5">
        <v>49</v>
      </c>
      <c r="P998" s="5">
        <f t="shared" si="80"/>
        <v>-3.4500000000000028</v>
      </c>
      <c r="Q998" s="6">
        <f t="shared" si="81"/>
        <v>-3.0396475770925135E-2</v>
      </c>
      <c r="R998" s="5">
        <f t="shared" si="82"/>
        <v>4.2000000000000028</v>
      </c>
      <c r="S998" s="6">
        <f t="shared" si="83"/>
        <v>3.700440528634364E-2</v>
      </c>
      <c r="T998" s="6">
        <f t="shared" si="84"/>
        <v>-8.4390079676803752E-3</v>
      </c>
    </row>
    <row r="999" spans="1:20" x14ac:dyDescent="0.25">
      <c r="A999" s="4" t="s">
        <v>985</v>
      </c>
      <c r="B999" s="5" t="s">
        <v>16</v>
      </c>
      <c r="C999" s="5" t="s">
        <v>1823</v>
      </c>
      <c r="D999" s="5">
        <v>23.05</v>
      </c>
      <c r="E999" s="5">
        <v>23.45</v>
      </c>
      <c r="F999" s="5">
        <v>23.8</v>
      </c>
      <c r="G999" s="5">
        <v>22.4</v>
      </c>
      <c r="H999" s="5">
        <v>22.5</v>
      </c>
      <c r="I999" s="5">
        <v>22.65</v>
      </c>
      <c r="J999" s="5">
        <v>23.13</v>
      </c>
      <c r="K999" s="5">
        <v>413294</v>
      </c>
      <c r="L999" s="5">
        <v>95.6</v>
      </c>
      <c r="M999" s="5">
        <v>1652</v>
      </c>
      <c r="N999" s="5">
        <v>204073</v>
      </c>
      <c r="O999" s="5">
        <v>49.38</v>
      </c>
      <c r="P999" s="5">
        <f t="shared" si="80"/>
        <v>-0.40000000000000213</v>
      </c>
      <c r="Q999" s="6">
        <f t="shared" si="81"/>
        <v>-1.735357917570508E-2</v>
      </c>
      <c r="R999" s="5">
        <f t="shared" si="82"/>
        <v>1.4000000000000021</v>
      </c>
      <c r="S999" s="6">
        <f t="shared" si="83"/>
        <v>6.0737527114967556E-2</v>
      </c>
      <c r="T999" s="6">
        <f t="shared" si="84"/>
        <v>-2.0801733477789831E-2</v>
      </c>
    </row>
    <row r="1000" spans="1:20" hidden="1" x14ac:dyDescent="0.25">
      <c r="A1000" s="4" t="s">
        <v>955</v>
      </c>
      <c r="B1000" s="5" t="s">
        <v>16</v>
      </c>
      <c r="C1000" s="5" t="s">
        <v>1823</v>
      </c>
      <c r="D1000" s="5">
        <v>20.27</v>
      </c>
      <c r="E1000" s="5">
        <v>20.27</v>
      </c>
      <c r="F1000" s="5">
        <v>20.69</v>
      </c>
      <c r="G1000" s="5">
        <v>20</v>
      </c>
      <c r="H1000" s="5">
        <v>20.239999999999998</v>
      </c>
      <c r="I1000" s="5">
        <v>20.239999999999998</v>
      </c>
      <c r="J1000" s="5">
        <v>20.22</v>
      </c>
      <c r="K1000" s="5">
        <v>761</v>
      </c>
      <c r="L1000" s="5">
        <v>0.15</v>
      </c>
      <c r="M1000" s="5">
        <v>25</v>
      </c>
      <c r="N1000" s="5">
        <v>226</v>
      </c>
      <c r="O1000" s="5">
        <v>29.7</v>
      </c>
      <c r="P1000" s="5">
        <f t="shared" si="80"/>
        <v>-3.0000000000001137E-2</v>
      </c>
      <c r="Q1000" s="6">
        <f t="shared" si="81"/>
        <v>-1.480019733596504E-3</v>
      </c>
      <c r="R1000" s="5">
        <f t="shared" si="82"/>
        <v>0.69000000000000128</v>
      </c>
      <c r="S1000" s="6">
        <f t="shared" si="83"/>
        <v>3.4040453872718368E-2</v>
      </c>
      <c r="T1000" s="6">
        <f t="shared" si="84"/>
        <v>9.8522167487682618E-4</v>
      </c>
    </row>
    <row r="1001" spans="1:20" hidden="1" x14ac:dyDescent="0.25">
      <c r="A1001" s="4" t="s">
        <v>956</v>
      </c>
      <c r="B1001" s="5" t="s">
        <v>16</v>
      </c>
      <c r="C1001" s="5" t="s">
        <v>1823</v>
      </c>
      <c r="D1001" s="5">
        <v>120.3</v>
      </c>
      <c r="E1001" s="5">
        <v>119.3</v>
      </c>
      <c r="F1001" s="5">
        <v>132</v>
      </c>
      <c r="G1001" s="5">
        <v>119.01</v>
      </c>
      <c r="H1001" s="5">
        <v>130</v>
      </c>
      <c r="I1001" s="5">
        <v>126.9</v>
      </c>
      <c r="J1001" s="5">
        <v>124.6</v>
      </c>
      <c r="K1001" s="5">
        <v>118</v>
      </c>
      <c r="L1001" s="5">
        <v>0.15</v>
      </c>
      <c r="M1001" s="5">
        <v>32</v>
      </c>
      <c r="N1001" s="5">
        <v>49</v>
      </c>
      <c r="O1001" s="5">
        <v>41.53</v>
      </c>
      <c r="P1001" s="5">
        <f t="shared" si="80"/>
        <v>6.6000000000000085</v>
      </c>
      <c r="Q1001" s="6">
        <f t="shared" si="81"/>
        <v>5.4862842892768153E-2</v>
      </c>
      <c r="R1001" s="5">
        <f t="shared" si="82"/>
        <v>12.989999999999995</v>
      </c>
      <c r="S1001" s="6">
        <f t="shared" si="83"/>
        <v>0.10798004987531168</v>
      </c>
      <c r="T1001" s="6">
        <f t="shared" si="84"/>
        <v>1.8503248124534993E-2</v>
      </c>
    </row>
    <row r="1002" spans="1:20" hidden="1" x14ac:dyDescent="0.25">
      <c r="A1002" s="4" t="s">
        <v>957</v>
      </c>
      <c r="B1002" s="5" t="s">
        <v>16</v>
      </c>
      <c r="C1002" s="5" t="s">
        <v>1823</v>
      </c>
      <c r="D1002" s="5">
        <v>120.15</v>
      </c>
      <c r="E1002" s="5">
        <v>123</v>
      </c>
      <c r="F1002" s="5">
        <v>123.1</v>
      </c>
      <c r="G1002" s="5">
        <v>123</v>
      </c>
      <c r="H1002" s="5">
        <v>123</v>
      </c>
      <c r="I1002" s="5">
        <v>123</v>
      </c>
      <c r="J1002" s="5">
        <v>123.01</v>
      </c>
      <c r="K1002" s="5">
        <v>12</v>
      </c>
      <c r="L1002" s="5">
        <v>0.01</v>
      </c>
      <c r="M1002" s="5">
        <v>5</v>
      </c>
      <c r="N1002" s="5">
        <v>10</v>
      </c>
      <c r="O1002" s="5">
        <v>83.33</v>
      </c>
      <c r="P1002" s="5">
        <f t="shared" si="80"/>
        <v>2.8499999999999943</v>
      </c>
      <c r="Q1002" s="6">
        <f t="shared" si="81"/>
        <v>2.3720349563046143E-2</v>
      </c>
      <c r="R1002" s="5">
        <f t="shared" si="82"/>
        <v>9.9999999999994316E-2</v>
      </c>
      <c r="S1002" s="6">
        <f t="shared" si="83"/>
        <v>8.3229296712438046E-4</v>
      </c>
      <c r="T1002" s="6">
        <f t="shared" si="84"/>
        <v>-8.1284291810649175E-5</v>
      </c>
    </row>
    <row r="1003" spans="1:20" hidden="1" x14ac:dyDescent="0.25">
      <c r="A1003" s="4" t="s">
        <v>958</v>
      </c>
      <c r="B1003" s="5" t="s">
        <v>16</v>
      </c>
      <c r="C1003" s="5" t="s">
        <v>1823</v>
      </c>
      <c r="D1003" s="5">
        <v>170.85</v>
      </c>
      <c r="E1003" s="5">
        <v>169</v>
      </c>
      <c r="F1003" s="5">
        <v>172.2</v>
      </c>
      <c r="G1003" s="5">
        <v>166.3</v>
      </c>
      <c r="H1003" s="5">
        <v>167</v>
      </c>
      <c r="I1003" s="5">
        <v>169.3</v>
      </c>
      <c r="J1003" s="5">
        <v>169.95</v>
      </c>
      <c r="K1003" s="5">
        <v>14805</v>
      </c>
      <c r="L1003" s="5">
        <v>25.16</v>
      </c>
      <c r="M1003" s="5">
        <v>511</v>
      </c>
      <c r="N1003" s="5">
        <v>7257</v>
      </c>
      <c r="O1003" s="5">
        <v>49.02</v>
      </c>
      <c r="P1003" s="5">
        <f t="shared" si="80"/>
        <v>-1.5499999999999829</v>
      </c>
      <c r="Q1003" s="6">
        <f t="shared" si="81"/>
        <v>-9.0722856306700798E-3</v>
      </c>
      <c r="R1003" s="5">
        <f t="shared" si="82"/>
        <v>5.8999999999999773</v>
      </c>
      <c r="S1003" s="6">
        <f t="shared" si="83"/>
        <v>3.453321627158313E-2</v>
      </c>
      <c r="T1003" s="6">
        <f t="shared" si="84"/>
        <v>-3.8416075650116862E-3</v>
      </c>
    </row>
    <row r="1004" spans="1:20" hidden="1" x14ac:dyDescent="0.25">
      <c r="A1004" s="4" t="s">
        <v>959</v>
      </c>
      <c r="B1004" s="5" t="s">
        <v>16</v>
      </c>
      <c r="C1004" s="5" t="s">
        <v>1823</v>
      </c>
      <c r="D1004" s="5">
        <v>198.5</v>
      </c>
      <c r="E1004" s="5">
        <v>190</v>
      </c>
      <c r="F1004" s="5">
        <v>199.95</v>
      </c>
      <c r="G1004" s="5">
        <v>185.05</v>
      </c>
      <c r="H1004" s="5">
        <v>191.5</v>
      </c>
      <c r="I1004" s="5">
        <v>191.5</v>
      </c>
      <c r="J1004" s="5">
        <v>191.89</v>
      </c>
      <c r="K1004" s="5">
        <v>732</v>
      </c>
      <c r="L1004" s="5">
        <v>1.4</v>
      </c>
      <c r="M1004" s="5">
        <v>124</v>
      </c>
      <c r="N1004" s="5">
        <v>599</v>
      </c>
      <c r="O1004" s="5">
        <v>81.83</v>
      </c>
      <c r="P1004" s="5">
        <f t="shared" si="80"/>
        <v>-7</v>
      </c>
      <c r="Q1004" s="6">
        <f t="shared" si="81"/>
        <v>-3.5264483627204031E-2</v>
      </c>
      <c r="R1004" s="5">
        <f t="shared" si="82"/>
        <v>14.899999999999977</v>
      </c>
      <c r="S1004" s="6">
        <f t="shared" si="83"/>
        <v>7.5062972292191318E-2</v>
      </c>
      <c r="T1004" s="6">
        <f t="shared" si="84"/>
        <v>-2.0352250489236077E-3</v>
      </c>
    </row>
    <row r="1005" spans="1:20" hidden="1" x14ac:dyDescent="0.25">
      <c r="A1005" s="4" t="s">
        <v>960</v>
      </c>
      <c r="B1005" s="5" t="s">
        <v>16</v>
      </c>
      <c r="C1005" s="5" t="s">
        <v>1823</v>
      </c>
      <c r="D1005" s="5">
        <v>501.35</v>
      </c>
      <c r="E1005" s="5">
        <v>500.35</v>
      </c>
      <c r="F1005" s="5">
        <v>521</v>
      </c>
      <c r="G1005" s="5">
        <v>498</v>
      </c>
      <c r="H1005" s="5">
        <v>512</v>
      </c>
      <c r="I1005" s="5">
        <v>514.5</v>
      </c>
      <c r="J1005" s="5">
        <v>513.29</v>
      </c>
      <c r="K1005" s="5">
        <v>48407</v>
      </c>
      <c r="L1005" s="5">
        <v>248.47</v>
      </c>
      <c r="M1005" s="5">
        <v>2380</v>
      </c>
      <c r="N1005" s="5">
        <v>28043</v>
      </c>
      <c r="O1005" s="5">
        <v>57.93</v>
      </c>
      <c r="P1005" s="5">
        <f t="shared" si="80"/>
        <v>13.149999999999977</v>
      </c>
      <c r="Q1005" s="6">
        <f t="shared" si="81"/>
        <v>2.6229181210730979E-2</v>
      </c>
      <c r="R1005" s="5">
        <f t="shared" si="82"/>
        <v>23</v>
      </c>
      <c r="S1005" s="6">
        <f t="shared" si="83"/>
        <v>4.5876134437020044E-2</v>
      </c>
      <c r="T1005" s="6">
        <f t="shared" si="84"/>
        <v>2.3797231850923844E-3</v>
      </c>
    </row>
    <row r="1006" spans="1:20" hidden="1" x14ac:dyDescent="0.25">
      <c r="A1006" s="4" t="s">
        <v>961</v>
      </c>
      <c r="B1006" s="5" t="s">
        <v>16</v>
      </c>
      <c r="C1006" s="5" t="s">
        <v>1823</v>
      </c>
      <c r="D1006" s="5">
        <v>999.98</v>
      </c>
      <c r="E1006" s="5">
        <v>999</v>
      </c>
      <c r="F1006" s="5">
        <v>1000.01</v>
      </c>
      <c r="G1006" s="5">
        <v>998.25</v>
      </c>
      <c r="H1006" s="5">
        <v>1000</v>
      </c>
      <c r="I1006" s="5">
        <v>1000</v>
      </c>
      <c r="J1006" s="5">
        <v>1000</v>
      </c>
      <c r="K1006" s="5">
        <v>1016938</v>
      </c>
      <c r="L1006" s="5">
        <v>10169.370000000001</v>
      </c>
      <c r="M1006" s="5">
        <v>4980</v>
      </c>
      <c r="N1006" s="5">
        <v>538483</v>
      </c>
      <c r="O1006" s="5">
        <v>52.95</v>
      </c>
      <c r="P1006" s="5">
        <f t="shared" si="80"/>
        <v>1.999999999998181E-2</v>
      </c>
      <c r="Q1006" s="6">
        <f t="shared" si="81"/>
        <v>2.000040000798197E-5</v>
      </c>
      <c r="R1006" s="5">
        <f t="shared" si="82"/>
        <v>1.7599999999999909</v>
      </c>
      <c r="S1006" s="6">
        <f t="shared" si="83"/>
        <v>1.7600352007040049E-3</v>
      </c>
      <c r="T1006" s="6">
        <f t="shared" si="84"/>
        <v>0</v>
      </c>
    </row>
    <row r="1007" spans="1:20" hidden="1" x14ac:dyDescent="0.25">
      <c r="A1007" s="4" t="s">
        <v>962</v>
      </c>
      <c r="B1007" s="5" t="s">
        <v>16</v>
      </c>
      <c r="C1007" s="5" t="s">
        <v>1823</v>
      </c>
      <c r="D1007" s="5">
        <v>1000</v>
      </c>
      <c r="E1007" s="5">
        <v>1000.01</v>
      </c>
      <c r="F1007" s="5">
        <v>1000.01</v>
      </c>
      <c r="G1007" s="5">
        <v>999.99</v>
      </c>
      <c r="H1007" s="5">
        <v>999.99</v>
      </c>
      <c r="I1007" s="5">
        <v>999.99</v>
      </c>
      <c r="J1007" s="5">
        <v>1000</v>
      </c>
      <c r="K1007" s="5">
        <v>55893</v>
      </c>
      <c r="L1007" s="5">
        <v>558.92999999999995</v>
      </c>
      <c r="M1007" s="5">
        <v>134</v>
      </c>
      <c r="N1007" s="5">
        <v>9245</v>
      </c>
      <c r="O1007" s="5">
        <v>16.54</v>
      </c>
      <c r="P1007" s="5">
        <f t="shared" si="80"/>
        <v>-9.9999999999909051E-3</v>
      </c>
      <c r="Q1007" s="6">
        <f t="shared" si="81"/>
        <v>-9.9999999999909054E-6</v>
      </c>
      <c r="R1007" s="5">
        <f t="shared" si="82"/>
        <v>1.999999999998181E-2</v>
      </c>
      <c r="S1007" s="6">
        <f t="shared" si="83"/>
        <v>1.9999999999981811E-5</v>
      </c>
      <c r="T1007" s="6">
        <f t="shared" si="84"/>
        <v>-9.9999999999909054E-6</v>
      </c>
    </row>
    <row r="1008" spans="1:20" hidden="1" x14ac:dyDescent="0.25">
      <c r="A1008" s="4" t="s">
        <v>963</v>
      </c>
      <c r="B1008" s="5" t="s">
        <v>16</v>
      </c>
      <c r="C1008" s="5" t="s">
        <v>1823</v>
      </c>
      <c r="D1008" s="5">
        <v>36.5</v>
      </c>
      <c r="E1008" s="5">
        <v>36.049999999999997</v>
      </c>
      <c r="F1008" s="5">
        <v>37.049999999999997</v>
      </c>
      <c r="G1008" s="5">
        <v>35.700000000000003</v>
      </c>
      <c r="H1008" s="5">
        <v>36.299999999999997</v>
      </c>
      <c r="I1008" s="5">
        <v>36.200000000000003</v>
      </c>
      <c r="J1008" s="5">
        <v>36.520000000000003</v>
      </c>
      <c r="K1008" s="5">
        <v>8142</v>
      </c>
      <c r="L1008" s="5">
        <v>2.97</v>
      </c>
      <c r="M1008" s="5">
        <v>91</v>
      </c>
      <c r="N1008" s="5">
        <v>6303</v>
      </c>
      <c r="O1008" s="5">
        <v>77.41</v>
      </c>
      <c r="P1008" s="5">
        <f t="shared" si="80"/>
        <v>-0.29999999999999716</v>
      </c>
      <c r="Q1008" s="6">
        <f t="shared" si="81"/>
        <v>-8.2191780821917037E-3</v>
      </c>
      <c r="R1008" s="5">
        <f t="shared" si="82"/>
        <v>1.3499999999999943</v>
      </c>
      <c r="S1008" s="6">
        <f t="shared" si="83"/>
        <v>3.6986301369862855E-2</v>
      </c>
      <c r="T1008" s="6">
        <f t="shared" si="84"/>
        <v>-8.827586206896559E-3</v>
      </c>
    </row>
    <row r="1009" spans="1:20" hidden="1" x14ac:dyDescent="0.25">
      <c r="A1009" s="4" t="s">
        <v>964</v>
      </c>
      <c r="B1009" s="5" t="s">
        <v>16</v>
      </c>
      <c r="C1009" s="5" t="s">
        <v>1823</v>
      </c>
      <c r="D1009" s="5">
        <v>23.35</v>
      </c>
      <c r="E1009" s="5">
        <v>22.5</v>
      </c>
      <c r="F1009" s="5">
        <v>23.9</v>
      </c>
      <c r="G1009" s="5">
        <v>22.15</v>
      </c>
      <c r="H1009" s="5">
        <v>23</v>
      </c>
      <c r="I1009" s="5">
        <v>22.95</v>
      </c>
      <c r="J1009" s="5">
        <v>22.87</v>
      </c>
      <c r="K1009" s="5">
        <v>3561</v>
      </c>
      <c r="L1009" s="5">
        <v>0.81</v>
      </c>
      <c r="M1009" s="5">
        <v>426</v>
      </c>
      <c r="N1009" s="5">
        <v>2655</v>
      </c>
      <c r="O1009" s="5">
        <v>74.56</v>
      </c>
      <c r="P1009" s="5">
        <f t="shared" si="80"/>
        <v>-0.40000000000000213</v>
      </c>
      <c r="Q1009" s="6">
        <f t="shared" si="81"/>
        <v>-1.7130620985010798E-2</v>
      </c>
      <c r="R1009" s="5">
        <f t="shared" si="82"/>
        <v>1.75</v>
      </c>
      <c r="S1009" s="6">
        <f t="shared" si="83"/>
        <v>7.4946466809421838E-2</v>
      </c>
      <c r="T1009" s="6">
        <f t="shared" si="84"/>
        <v>3.4972677595627669E-3</v>
      </c>
    </row>
    <row r="1010" spans="1:20" hidden="1" x14ac:dyDescent="0.25">
      <c r="A1010" s="4" t="s">
        <v>965</v>
      </c>
      <c r="B1010" s="5" t="s">
        <v>16</v>
      </c>
      <c r="C1010" s="5" t="s">
        <v>1823</v>
      </c>
      <c r="D1010" s="5">
        <v>68.599999999999994</v>
      </c>
      <c r="E1010" s="5">
        <v>69.150000000000006</v>
      </c>
      <c r="F1010" s="5">
        <v>69.2</v>
      </c>
      <c r="G1010" s="5">
        <v>67</v>
      </c>
      <c r="H1010" s="5">
        <v>67.7</v>
      </c>
      <c r="I1010" s="5">
        <v>67.95</v>
      </c>
      <c r="J1010" s="5">
        <v>68.2</v>
      </c>
      <c r="K1010" s="5">
        <v>9750</v>
      </c>
      <c r="L1010" s="5">
        <v>6.65</v>
      </c>
      <c r="M1010" s="5">
        <v>224</v>
      </c>
      <c r="N1010" s="5">
        <v>7241</v>
      </c>
      <c r="O1010" s="5">
        <v>74.27</v>
      </c>
      <c r="P1010" s="5">
        <f t="shared" si="80"/>
        <v>-0.64999999999999147</v>
      </c>
      <c r="Q1010" s="6">
        <f t="shared" si="81"/>
        <v>-9.475218658892004E-3</v>
      </c>
      <c r="R1010" s="5">
        <f t="shared" si="82"/>
        <v>2.2000000000000028</v>
      </c>
      <c r="S1010" s="6">
        <f t="shared" si="83"/>
        <v>3.2069970845481091E-2</v>
      </c>
      <c r="T1010" s="6">
        <f t="shared" si="84"/>
        <v>-3.6589828027808269E-3</v>
      </c>
    </row>
    <row r="1011" spans="1:20" hidden="1" x14ac:dyDescent="0.25">
      <c r="A1011" s="4" t="s">
        <v>966</v>
      </c>
      <c r="B1011" s="5" t="s">
        <v>16</v>
      </c>
      <c r="C1011" s="5" t="s">
        <v>1823</v>
      </c>
      <c r="D1011" s="5">
        <v>1.85</v>
      </c>
      <c r="E1011" s="5">
        <v>1.9</v>
      </c>
      <c r="F1011" s="5">
        <v>1.9</v>
      </c>
      <c r="G1011" s="5">
        <v>1.8</v>
      </c>
      <c r="H1011" s="5">
        <v>1.85</v>
      </c>
      <c r="I1011" s="5">
        <v>1.85</v>
      </c>
      <c r="J1011" s="5">
        <v>1.81</v>
      </c>
      <c r="K1011" s="5">
        <v>1961</v>
      </c>
      <c r="L1011" s="5">
        <v>0.04</v>
      </c>
      <c r="M1011" s="5">
        <v>11</v>
      </c>
      <c r="N1011" s="5">
        <v>1705</v>
      </c>
      <c r="O1011" s="5">
        <v>86.95</v>
      </c>
      <c r="P1011" s="5">
        <f t="shared" si="80"/>
        <v>0</v>
      </c>
      <c r="Q1011" s="6">
        <f t="shared" si="81"/>
        <v>0</v>
      </c>
      <c r="R1011" s="5">
        <f t="shared" si="82"/>
        <v>9.9999999999999867E-2</v>
      </c>
      <c r="S1011" s="6">
        <f t="shared" si="83"/>
        <v>5.4054054054053981E-2</v>
      </c>
      <c r="T1011" s="6">
        <f t="shared" si="84"/>
        <v>2.1476510067114114E-2</v>
      </c>
    </row>
    <row r="1012" spans="1:20" hidden="1" x14ac:dyDescent="0.25">
      <c r="A1012" s="4" t="s">
        <v>967</v>
      </c>
      <c r="B1012" s="5" t="s">
        <v>16</v>
      </c>
      <c r="C1012" s="5" t="s">
        <v>1823</v>
      </c>
      <c r="D1012" s="5">
        <v>0.45</v>
      </c>
      <c r="E1012" s="5">
        <v>0.5</v>
      </c>
      <c r="F1012" s="5">
        <v>0.5</v>
      </c>
      <c r="G1012" s="5">
        <v>0.45</v>
      </c>
      <c r="H1012" s="5">
        <v>0.5</v>
      </c>
      <c r="I1012" s="5">
        <v>0.5</v>
      </c>
      <c r="J1012" s="5">
        <v>0.48</v>
      </c>
      <c r="K1012" s="5">
        <v>784697</v>
      </c>
      <c r="L1012" s="5">
        <v>3.75</v>
      </c>
      <c r="M1012" s="5">
        <v>167</v>
      </c>
      <c r="N1012" s="5">
        <v>297520</v>
      </c>
      <c r="O1012" s="5">
        <v>37.92</v>
      </c>
      <c r="P1012" s="5">
        <f t="shared" si="80"/>
        <v>4.9999999999999989E-2</v>
      </c>
      <c r="Q1012" s="6">
        <f t="shared" si="81"/>
        <v>0.11111111111111108</v>
      </c>
      <c r="R1012" s="5">
        <f t="shared" si="82"/>
        <v>4.9999999999999989E-2</v>
      </c>
      <c r="S1012" s="6">
        <f t="shared" si="83"/>
        <v>0.11111111111111108</v>
      </c>
      <c r="T1012" s="6">
        <f t="shared" si="84"/>
        <v>4.102564102564106E-2</v>
      </c>
    </row>
    <row r="1013" spans="1:20" hidden="1" x14ac:dyDescent="0.25">
      <c r="A1013" s="4" t="s">
        <v>968</v>
      </c>
      <c r="B1013" s="5" t="s">
        <v>16</v>
      </c>
      <c r="C1013" s="5" t="s">
        <v>1823</v>
      </c>
      <c r="D1013" s="5">
        <v>1481.3</v>
      </c>
      <c r="E1013" s="5">
        <v>1480.9</v>
      </c>
      <c r="F1013" s="5">
        <v>1481.7</v>
      </c>
      <c r="G1013" s="5">
        <v>1446.65</v>
      </c>
      <c r="H1013" s="5">
        <v>1450.55</v>
      </c>
      <c r="I1013" s="5">
        <v>1450.1</v>
      </c>
      <c r="J1013" s="5">
        <v>1461.93</v>
      </c>
      <c r="K1013" s="5">
        <v>2746428</v>
      </c>
      <c r="L1013" s="5">
        <v>40150.800000000003</v>
      </c>
      <c r="M1013" s="5">
        <v>151908</v>
      </c>
      <c r="N1013" s="5">
        <v>1611868</v>
      </c>
      <c r="O1013" s="5">
        <v>58.69</v>
      </c>
      <c r="P1013" s="5">
        <f t="shared" si="80"/>
        <v>-31.200000000000045</v>
      </c>
      <c r="Q1013" s="6">
        <f t="shared" si="81"/>
        <v>-2.1062580166070374E-2</v>
      </c>
      <c r="R1013" s="5">
        <f t="shared" si="82"/>
        <v>35.049999999999955</v>
      </c>
      <c r="S1013" s="6">
        <f t="shared" si="83"/>
        <v>2.3661648551947585E-2</v>
      </c>
      <c r="T1013" s="6">
        <f t="shared" si="84"/>
        <v>-8.0759811241862354E-3</v>
      </c>
    </row>
    <row r="1014" spans="1:20" x14ac:dyDescent="0.25">
      <c r="A1014" s="4" t="s">
        <v>1604</v>
      </c>
      <c r="B1014" s="5" t="s">
        <v>16</v>
      </c>
      <c r="C1014" s="5" t="s">
        <v>1823</v>
      </c>
      <c r="D1014" s="5">
        <v>185.7</v>
      </c>
      <c r="E1014" s="5">
        <v>185</v>
      </c>
      <c r="F1014" s="5">
        <v>188.9</v>
      </c>
      <c r="G1014" s="5">
        <v>176</v>
      </c>
      <c r="H1014" s="5">
        <v>179.85</v>
      </c>
      <c r="I1014" s="5">
        <v>182.25</v>
      </c>
      <c r="J1014" s="5">
        <v>181.9</v>
      </c>
      <c r="K1014" s="5">
        <v>102542</v>
      </c>
      <c r="L1014" s="5">
        <v>186.52</v>
      </c>
      <c r="M1014" s="5">
        <v>2055</v>
      </c>
      <c r="N1014" s="5">
        <v>50942</v>
      </c>
      <c r="O1014" s="5">
        <v>49.68</v>
      </c>
      <c r="P1014" s="5">
        <f t="shared" si="80"/>
        <v>-3.4499999999999886</v>
      </c>
      <c r="Q1014" s="6">
        <f t="shared" si="81"/>
        <v>-1.8578352180936935E-2</v>
      </c>
      <c r="R1014" s="5">
        <f t="shared" si="82"/>
        <v>12.900000000000006</v>
      </c>
      <c r="S1014" s="6">
        <f t="shared" si="83"/>
        <v>6.9466882067851413E-2</v>
      </c>
      <c r="T1014" s="6">
        <f t="shared" si="84"/>
        <v>1.9121764665710268E-3</v>
      </c>
    </row>
    <row r="1015" spans="1:20" hidden="1" x14ac:dyDescent="0.25">
      <c r="A1015" s="4" t="s">
        <v>970</v>
      </c>
      <c r="B1015" s="5" t="s">
        <v>16</v>
      </c>
      <c r="C1015" s="5" t="s">
        <v>1823</v>
      </c>
      <c r="D1015" s="5">
        <v>1564.6</v>
      </c>
      <c r="E1015" s="5">
        <v>1569</v>
      </c>
      <c r="F1015" s="5">
        <v>1603</v>
      </c>
      <c r="G1015" s="5">
        <v>1553.2</v>
      </c>
      <c r="H1015" s="5">
        <v>1590</v>
      </c>
      <c r="I1015" s="5">
        <v>1591.9</v>
      </c>
      <c r="J1015" s="5">
        <v>1582.31</v>
      </c>
      <c r="K1015" s="5">
        <v>45974</v>
      </c>
      <c r="L1015" s="5">
        <v>727.45</v>
      </c>
      <c r="M1015" s="5">
        <v>5050</v>
      </c>
      <c r="N1015" s="5">
        <v>27462</v>
      </c>
      <c r="O1015" s="5">
        <v>59.73</v>
      </c>
      <c r="P1015" s="5">
        <f t="shared" si="80"/>
        <v>27.300000000000182</v>
      </c>
      <c r="Q1015" s="6">
        <f t="shared" si="81"/>
        <v>1.7448549149942594E-2</v>
      </c>
      <c r="R1015" s="5">
        <f t="shared" si="82"/>
        <v>49.799999999999955</v>
      </c>
      <c r="S1015" s="6">
        <f t="shared" si="83"/>
        <v>3.1829221526268665E-2</v>
      </c>
      <c r="T1015" s="6">
        <f t="shared" si="84"/>
        <v>6.0724066422884835E-3</v>
      </c>
    </row>
    <row r="1016" spans="1:20" hidden="1" x14ac:dyDescent="0.25">
      <c r="A1016" s="4" t="s">
        <v>971</v>
      </c>
      <c r="B1016" s="5" t="s">
        <v>16</v>
      </c>
      <c r="C1016" s="5" t="s">
        <v>1823</v>
      </c>
      <c r="D1016" s="5">
        <v>1295.4000000000001</v>
      </c>
      <c r="E1016" s="5">
        <v>1300.05</v>
      </c>
      <c r="F1016" s="5">
        <v>1320.45</v>
      </c>
      <c r="G1016" s="5">
        <v>1262</v>
      </c>
      <c r="H1016" s="5">
        <v>1270</v>
      </c>
      <c r="I1016" s="5">
        <v>1271.5999999999999</v>
      </c>
      <c r="J1016" s="5">
        <v>1287.1099999999999</v>
      </c>
      <c r="K1016" s="5">
        <v>1916</v>
      </c>
      <c r="L1016" s="5">
        <v>24.66</v>
      </c>
      <c r="M1016" s="5">
        <v>309</v>
      </c>
      <c r="N1016" s="5">
        <v>1285</v>
      </c>
      <c r="O1016" s="5">
        <v>67.069999999999993</v>
      </c>
      <c r="P1016" s="5">
        <f t="shared" si="80"/>
        <v>-23.800000000000182</v>
      </c>
      <c r="Q1016" s="6">
        <f t="shared" si="81"/>
        <v>-1.8372703412073629E-2</v>
      </c>
      <c r="R1016" s="5">
        <f t="shared" si="82"/>
        <v>58.450000000000045</v>
      </c>
      <c r="S1016" s="6">
        <f t="shared" si="83"/>
        <v>4.5121198085533457E-2</v>
      </c>
      <c r="T1016" s="6">
        <f t="shared" si="84"/>
        <v>-1.2037019072194944E-2</v>
      </c>
    </row>
    <row r="1017" spans="1:20" hidden="1" x14ac:dyDescent="0.25">
      <c r="A1017" s="4" t="s">
        <v>972</v>
      </c>
      <c r="B1017" s="5" t="s">
        <v>16</v>
      </c>
      <c r="C1017" s="5" t="s">
        <v>1823</v>
      </c>
      <c r="D1017" s="5">
        <v>92.15</v>
      </c>
      <c r="E1017" s="5">
        <v>95.45</v>
      </c>
      <c r="F1017" s="5">
        <v>95.45</v>
      </c>
      <c r="G1017" s="5">
        <v>89.1</v>
      </c>
      <c r="H1017" s="5">
        <v>89.5</v>
      </c>
      <c r="I1017" s="5">
        <v>89.35</v>
      </c>
      <c r="J1017" s="5">
        <v>90.32</v>
      </c>
      <c r="K1017" s="5">
        <v>9708</v>
      </c>
      <c r="L1017" s="5">
        <v>8.77</v>
      </c>
      <c r="M1017" s="5">
        <v>313</v>
      </c>
      <c r="N1017" s="5">
        <v>6236</v>
      </c>
      <c r="O1017" s="5">
        <v>64.239999999999995</v>
      </c>
      <c r="P1017" s="5">
        <f t="shared" si="80"/>
        <v>-2.8000000000000114</v>
      </c>
      <c r="Q1017" s="6">
        <f t="shared" si="81"/>
        <v>-3.0385241454150964E-2</v>
      </c>
      <c r="R1017" s="5">
        <f t="shared" si="82"/>
        <v>6.3500000000000085</v>
      </c>
      <c r="S1017" s="6">
        <f t="shared" si="83"/>
        <v>6.8909386869235034E-2</v>
      </c>
      <c r="T1017" s="6">
        <f t="shared" si="84"/>
        <v>-1.0504941112765656E-2</v>
      </c>
    </row>
    <row r="1018" spans="1:20" hidden="1" x14ac:dyDescent="0.25">
      <c r="A1018" s="4" t="s">
        <v>973</v>
      </c>
      <c r="B1018" s="5" t="s">
        <v>16</v>
      </c>
      <c r="C1018" s="5" t="s">
        <v>1823</v>
      </c>
      <c r="D1018" s="5">
        <v>739.25</v>
      </c>
      <c r="E1018" s="5">
        <v>738.9</v>
      </c>
      <c r="F1018" s="5">
        <v>740</v>
      </c>
      <c r="G1018" s="5">
        <v>727.3</v>
      </c>
      <c r="H1018" s="5">
        <v>729.1</v>
      </c>
      <c r="I1018" s="5">
        <v>731.4</v>
      </c>
      <c r="J1018" s="5">
        <v>732.25</v>
      </c>
      <c r="K1018" s="5">
        <v>610227</v>
      </c>
      <c r="L1018" s="5">
        <v>4468.38</v>
      </c>
      <c r="M1018" s="5">
        <v>17459</v>
      </c>
      <c r="N1018" s="5">
        <v>122474</v>
      </c>
      <c r="O1018" s="5">
        <v>20.07</v>
      </c>
      <c r="P1018" s="5">
        <f t="shared" si="80"/>
        <v>-7.8500000000000227</v>
      </c>
      <c r="Q1018" s="6">
        <f t="shared" si="81"/>
        <v>-1.0618870476834661E-2</v>
      </c>
      <c r="R1018" s="5">
        <f t="shared" si="82"/>
        <v>12.700000000000045</v>
      </c>
      <c r="S1018" s="6">
        <f t="shared" si="83"/>
        <v>1.7179573892458635E-2</v>
      </c>
      <c r="T1018" s="6">
        <f t="shared" si="84"/>
        <v>-1.1574074074074384E-3</v>
      </c>
    </row>
    <row r="1019" spans="1:20" hidden="1" x14ac:dyDescent="0.25">
      <c r="A1019" s="4" t="s">
        <v>974</v>
      </c>
      <c r="B1019" s="5" t="s">
        <v>16</v>
      </c>
      <c r="C1019" s="5" t="s">
        <v>1823</v>
      </c>
      <c r="D1019" s="5">
        <v>1260.2</v>
      </c>
      <c r="E1019" s="5">
        <v>1268</v>
      </c>
      <c r="F1019" s="5">
        <v>1279</v>
      </c>
      <c r="G1019" s="5">
        <v>1226.3</v>
      </c>
      <c r="H1019" s="5">
        <v>1270</v>
      </c>
      <c r="I1019" s="5">
        <v>1269</v>
      </c>
      <c r="J1019" s="5">
        <v>1257.18</v>
      </c>
      <c r="K1019" s="5">
        <v>53649</v>
      </c>
      <c r="L1019" s="5">
        <v>674.46</v>
      </c>
      <c r="M1019" s="5">
        <v>3741</v>
      </c>
      <c r="N1019" s="5">
        <v>16454</v>
      </c>
      <c r="O1019" s="5">
        <v>30.67</v>
      </c>
      <c r="P1019" s="5">
        <f t="shared" si="80"/>
        <v>8.7999999999999545</v>
      </c>
      <c r="Q1019" s="6">
        <f t="shared" si="81"/>
        <v>6.9830185684811568E-3</v>
      </c>
      <c r="R1019" s="5">
        <f t="shared" si="82"/>
        <v>52.700000000000045</v>
      </c>
      <c r="S1019" s="6">
        <f t="shared" si="83"/>
        <v>4.1818758927154455E-2</v>
      </c>
      <c r="T1019" s="6">
        <f t="shared" si="84"/>
        <v>9.3766733435138219E-3</v>
      </c>
    </row>
    <row r="1020" spans="1:20" hidden="1" x14ac:dyDescent="0.25">
      <c r="A1020" s="4" t="s">
        <v>975</v>
      </c>
      <c r="B1020" s="5" t="s">
        <v>16</v>
      </c>
      <c r="C1020" s="5" t="s">
        <v>1823</v>
      </c>
      <c r="D1020" s="5">
        <v>18.95</v>
      </c>
      <c r="E1020" s="5">
        <v>18.850000000000001</v>
      </c>
      <c r="F1020" s="5">
        <v>19.2</v>
      </c>
      <c r="G1020" s="5">
        <v>18.05</v>
      </c>
      <c r="H1020" s="5">
        <v>18.05</v>
      </c>
      <c r="I1020" s="5">
        <v>18.05</v>
      </c>
      <c r="J1020" s="5">
        <v>18.649999999999999</v>
      </c>
      <c r="K1020" s="5">
        <v>12903</v>
      </c>
      <c r="L1020" s="5">
        <v>2.41</v>
      </c>
      <c r="M1020" s="5">
        <v>108</v>
      </c>
      <c r="N1020" s="5">
        <v>6866</v>
      </c>
      <c r="O1020" s="5">
        <v>53.21</v>
      </c>
      <c r="P1020" s="5">
        <f t="shared" si="80"/>
        <v>-0.89999999999999858</v>
      </c>
      <c r="Q1020" s="6">
        <f t="shared" si="81"/>
        <v>-4.7493403693931326E-2</v>
      </c>
      <c r="R1020" s="5">
        <f t="shared" si="82"/>
        <v>1.1499999999999986</v>
      </c>
      <c r="S1020" s="6">
        <f t="shared" si="83"/>
        <v>6.068601583113449E-2</v>
      </c>
      <c r="T1020" s="6">
        <f t="shared" si="84"/>
        <v>-3.2366824005394361E-2</v>
      </c>
    </row>
    <row r="1021" spans="1:20" hidden="1" x14ac:dyDescent="0.25">
      <c r="A1021" s="4" t="s">
        <v>976</v>
      </c>
      <c r="B1021" s="5" t="s">
        <v>16</v>
      </c>
      <c r="C1021" s="5" t="s">
        <v>1823</v>
      </c>
      <c r="D1021" s="5">
        <v>4.9000000000000004</v>
      </c>
      <c r="E1021" s="5">
        <v>5.0999999999999996</v>
      </c>
      <c r="F1021" s="5">
        <v>5.0999999999999996</v>
      </c>
      <c r="G1021" s="5">
        <v>4.7</v>
      </c>
      <c r="H1021" s="5">
        <v>4.7</v>
      </c>
      <c r="I1021" s="5">
        <v>4.7</v>
      </c>
      <c r="J1021" s="5">
        <v>4.7699999999999996</v>
      </c>
      <c r="K1021" s="5">
        <v>11313</v>
      </c>
      <c r="L1021" s="5">
        <v>0.54</v>
      </c>
      <c r="M1021" s="5">
        <v>82</v>
      </c>
      <c r="N1021" s="5">
        <v>10612</v>
      </c>
      <c r="O1021" s="5">
        <v>93.8</v>
      </c>
      <c r="P1021" s="5">
        <f t="shared" si="80"/>
        <v>-0.20000000000000018</v>
      </c>
      <c r="Q1021" s="6">
        <f t="shared" si="81"/>
        <v>-4.0816326530612276E-2</v>
      </c>
      <c r="R1021" s="5">
        <f t="shared" si="82"/>
        <v>0.39999999999999947</v>
      </c>
      <c r="S1021" s="6">
        <f t="shared" si="83"/>
        <v>8.1632653061224372E-2</v>
      </c>
      <c r="T1021" s="6">
        <f t="shared" si="84"/>
        <v>-1.4285714285714164E-2</v>
      </c>
    </row>
    <row r="1022" spans="1:20" x14ac:dyDescent="0.25">
      <c r="A1022" s="4" t="s">
        <v>521</v>
      </c>
      <c r="B1022" s="5" t="s">
        <v>16</v>
      </c>
      <c r="C1022" s="5" t="s">
        <v>1823</v>
      </c>
      <c r="D1022" s="5">
        <v>139.25</v>
      </c>
      <c r="E1022" s="5">
        <v>138.55000000000001</v>
      </c>
      <c r="F1022" s="5">
        <v>138.55000000000001</v>
      </c>
      <c r="G1022" s="5">
        <v>134.19999999999999</v>
      </c>
      <c r="H1022" s="5">
        <v>136.9</v>
      </c>
      <c r="I1022" s="5">
        <v>136.44999999999999</v>
      </c>
      <c r="J1022" s="5">
        <v>136.13</v>
      </c>
      <c r="K1022" s="5">
        <v>6757199</v>
      </c>
      <c r="L1022" s="5">
        <v>9198.34</v>
      </c>
      <c r="M1022" s="5">
        <v>73213</v>
      </c>
      <c r="N1022" s="5">
        <v>3363640</v>
      </c>
      <c r="O1022" s="5">
        <v>49.78</v>
      </c>
      <c r="P1022" s="5">
        <f t="shared" si="80"/>
        <v>-2.8000000000000114</v>
      </c>
      <c r="Q1022" s="6">
        <f t="shared" si="81"/>
        <v>-2.0107719928186798E-2</v>
      </c>
      <c r="R1022" s="5">
        <f t="shared" si="82"/>
        <v>4.3500000000000227</v>
      </c>
      <c r="S1022" s="6">
        <f t="shared" si="83"/>
        <v>3.1238779174147382E-2</v>
      </c>
      <c r="T1022" s="6">
        <f t="shared" si="84"/>
        <v>2.3368324965768556E-3</v>
      </c>
    </row>
    <row r="1023" spans="1:20" x14ac:dyDescent="0.25">
      <c r="A1023" s="4" t="s">
        <v>315</v>
      </c>
      <c r="B1023" s="5" t="s">
        <v>16</v>
      </c>
      <c r="C1023" s="5" t="s">
        <v>1823</v>
      </c>
      <c r="D1023" s="5">
        <v>14.55</v>
      </c>
      <c r="E1023" s="5">
        <v>15.25</v>
      </c>
      <c r="F1023" s="5">
        <v>15.25</v>
      </c>
      <c r="G1023" s="5">
        <v>14.55</v>
      </c>
      <c r="H1023" s="5">
        <v>15.25</v>
      </c>
      <c r="I1023" s="5">
        <v>15.25</v>
      </c>
      <c r="J1023" s="5">
        <v>15.21</v>
      </c>
      <c r="K1023" s="5">
        <v>3075857</v>
      </c>
      <c r="L1023" s="5">
        <v>467.87</v>
      </c>
      <c r="M1023" s="5">
        <v>2622</v>
      </c>
      <c r="N1023" s="5">
        <v>1535470</v>
      </c>
      <c r="O1023" s="5">
        <v>49.92</v>
      </c>
      <c r="P1023" s="5">
        <f t="shared" si="80"/>
        <v>0.69999999999999929</v>
      </c>
      <c r="Q1023" s="6">
        <f t="shared" si="81"/>
        <v>4.8109965635738779E-2</v>
      </c>
      <c r="R1023" s="5">
        <f t="shared" si="82"/>
        <v>0.69999999999999929</v>
      </c>
      <c r="S1023" s="6">
        <f t="shared" si="83"/>
        <v>4.8109965635738779E-2</v>
      </c>
      <c r="T1023" s="6">
        <f t="shared" si="84"/>
        <v>2.6533996683249851E-3</v>
      </c>
    </row>
    <row r="1024" spans="1:20" hidden="1" x14ac:dyDescent="0.25">
      <c r="A1024" s="4" t="s">
        <v>978</v>
      </c>
      <c r="B1024" s="5" t="s">
        <v>480</v>
      </c>
      <c r="C1024" s="5" t="s">
        <v>1823</v>
      </c>
      <c r="D1024" s="5">
        <v>1037.95</v>
      </c>
      <c r="E1024" s="5">
        <v>1038.8</v>
      </c>
      <c r="F1024" s="5">
        <v>1038.8</v>
      </c>
      <c r="G1024" s="5">
        <v>1034.5</v>
      </c>
      <c r="H1024" s="5">
        <v>1036</v>
      </c>
      <c r="I1024" s="5">
        <v>1036</v>
      </c>
      <c r="J1024" s="5">
        <v>1035.23</v>
      </c>
      <c r="K1024" s="5">
        <v>1303</v>
      </c>
      <c r="L1024" s="5">
        <v>13.49</v>
      </c>
      <c r="M1024" s="5">
        <v>10</v>
      </c>
      <c r="N1024" s="5">
        <v>1303</v>
      </c>
      <c r="O1024" s="5">
        <v>100</v>
      </c>
      <c r="P1024" s="5">
        <f t="shared" si="80"/>
        <v>-1.9500000000000455</v>
      </c>
      <c r="Q1024" s="6">
        <f t="shared" si="81"/>
        <v>-1.8787032130642568E-3</v>
      </c>
      <c r="R1024" s="5">
        <f t="shared" si="82"/>
        <v>4.2999999999999545</v>
      </c>
      <c r="S1024" s="6">
        <f t="shared" si="83"/>
        <v>4.1427814441928361E-3</v>
      </c>
      <c r="T1024" s="6">
        <f t="shared" si="84"/>
        <v>7.4250861840358888E-4</v>
      </c>
    </row>
    <row r="1025" spans="1:20" hidden="1" x14ac:dyDescent="0.25">
      <c r="A1025" s="4" t="s">
        <v>979</v>
      </c>
      <c r="B1025" s="5" t="s">
        <v>16</v>
      </c>
      <c r="C1025" s="5" t="s">
        <v>1823</v>
      </c>
      <c r="D1025" s="5">
        <v>17.45</v>
      </c>
      <c r="E1025" s="5">
        <v>18.48</v>
      </c>
      <c r="F1025" s="5">
        <v>18.48</v>
      </c>
      <c r="G1025" s="5">
        <v>17.05</v>
      </c>
      <c r="H1025" s="5">
        <v>17.149999999999999</v>
      </c>
      <c r="I1025" s="5">
        <v>17.149999999999999</v>
      </c>
      <c r="J1025" s="5">
        <v>17.260000000000002</v>
      </c>
      <c r="K1025" s="5">
        <v>98790</v>
      </c>
      <c r="L1025" s="5">
        <v>17.05</v>
      </c>
      <c r="M1025" s="5">
        <v>196</v>
      </c>
      <c r="N1025" s="5">
        <v>80778</v>
      </c>
      <c r="O1025" s="5">
        <v>81.77</v>
      </c>
      <c r="P1025" s="5">
        <f t="shared" si="80"/>
        <v>-0.30000000000000071</v>
      </c>
      <c r="Q1025" s="6">
        <f t="shared" si="81"/>
        <v>-1.7191977077363939E-2</v>
      </c>
      <c r="R1025" s="5">
        <f t="shared" si="82"/>
        <v>1.4299999999999997</v>
      </c>
      <c r="S1025" s="6">
        <f t="shared" si="83"/>
        <v>8.19484240687679E-2</v>
      </c>
      <c r="T1025" s="6">
        <f t="shared" si="84"/>
        <v>-6.1832490163014611E-3</v>
      </c>
    </row>
    <row r="1026" spans="1:20" hidden="1" x14ac:dyDescent="0.25">
      <c r="A1026" s="4" t="s">
        <v>980</v>
      </c>
      <c r="B1026" s="5" t="s">
        <v>16</v>
      </c>
      <c r="C1026" s="5" t="s">
        <v>1823</v>
      </c>
      <c r="D1026" s="5">
        <v>113.21</v>
      </c>
      <c r="E1026" s="5">
        <v>114</v>
      </c>
      <c r="F1026" s="5">
        <v>114</v>
      </c>
      <c r="G1026" s="5">
        <v>111.33</v>
      </c>
      <c r="H1026" s="5">
        <v>111.49</v>
      </c>
      <c r="I1026" s="5">
        <v>111.49</v>
      </c>
      <c r="J1026" s="5">
        <v>111.6</v>
      </c>
      <c r="K1026" s="5">
        <v>1141</v>
      </c>
      <c r="L1026" s="5">
        <v>1.27</v>
      </c>
      <c r="M1026" s="5">
        <v>14</v>
      </c>
      <c r="N1026" s="5">
        <v>1059</v>
      </c>
      <c r="O1026" s="5">
        <v>92.81</v>
      </c>
      <c r="P1026" s="5">
        <f t="shared" si="80"/>
        <v>-1.7199999999999989</v>
      </c>
      <c r="Q1026" s="6">
        <f t="shared" si="81"/>
        <v>-1.5193004151576707E-2</v>
      </c>
      <c r="R1026" s="5">
        <f t="shared" si="82"/>
        <v>2.6700000000000017</v>
      </c>
      <c r="S1026" s="6">
        <f t="shared" si="83"/>
        <v>2.3584489002738289E-2</v>
      </c>
      <c r="T1026" s="6">
        <f t="shared" si="84"/>
        <v>-9.7599929018232941E-4</v>
      </c>
    </row>
    <row r="1027" spans="1:20" hidden="1" x14ac:dyDescent="0.25">
      <c r="A1027" s="4" t="s">
        <v>981</v>
      </c>
      <c r="B1027" s="5" t="s">
        <v>16</v>
      </c>
      <c r="C1027" s="5" t="s">
        <v>1823</v>
      </c>
      <c r="D1027" s="5">
        <v>74.3</v>
      </c>
      <c r="E1027" s="5">
        <v>74.900000000000006</v>
      </c>
      <c r="F1027" s="5">
        <v>76.900000000000006</v>
      </c>
      <c r="G1027" s="5">
        <v>71</v>
      </c>
      <c r="H1027" s="5">
        <v>71</v>
      </c>
      <c r="I1027" s="5">
        <v>71.5</v>
      </c>
      <c r="J1027" s="5">
        <v>74.430000000000007</v>
      </c>
      <c r="K1027" s="5">
        <v>35234</v>
      </c>
      <c r="L1027" s="5">
        <v>26.22</v>
      </c>
      <c r="M1027" s="5">
        <v>498</v>
      </c>
      <c r="N1027" s="5">
        <v>16625</v>
      </c>
      <c r="O1027" s="5">
        <v>47.18</v>
      </c>
      <c r="P1027" s="5">
        <f t="shared" si="80"/>
        <v>-2.7999999999999972</v>
      </c>
      <c r="Q1027" s="6">
        <f t="shared" si="81"/>
        <v>-3.7685060565275874E-2</v>
      </c>
      <c r="R1027" s="5">
        <f t="shared" si="82"/>
        <v>5.9000000000000057</v>
      </c>
      <c r="S1027" s="6">
        <f t="shared" si="83"/>
        <v>7.9407806191117175E-2</v>
      </c>
      <c r="T1027" s="6">
        <f t="shared" si="84"/>
        <v>-3.9823309548080284E-2</v>
      </c>
    </row>
    <row r="1028" spans="1:20" hidden="1" x14ac:dyDescent="0.25">
      <c r="A1028" s="4" t="s">
        <v>982</v>
      </c>
      <c r="B1028" s="5" t="s">
        <v>28</v>
      </c>
      <c r="C1028" s="5" t="s">
        <v>1823</v>
      </c>
      <c r="D1028" s="5">
        <v>117.6</v>
      </c>
      <c r="E1028" s="5">
        <v>119.95</v>
      </c>
      <c r="F1028" s="5">
        <v>119.95</v>
      </c>
      <c r="G1028" s="5">
        <v>119.95</v>
      </c>
      <c r="H1028" s="5">
        <v>119.95</v>
      </c>
      <c r="I1028" s="5">
        <v>119.95</v>
      </c>
      <c r="J1028" s="5">
        <v>119.95</v>
      </c>
      <c r="K1028" s="5">
        <v>500</v>
      </c>
      <c r="L1028" s="5">
        <v>0.6</v>
      </c>
      <c r="M1028" s="5">
        <v>1</v>
      </c>
      <c r="N1028" s="5">
        <v>500</v>
      </c>
      <c r="O1028" s="5">
        <v>100</v>
      </c>
      <c r="P1028" s="5">
        <f t="shared" si="80"/>
        <v>2.3500000000000085</v>
      </c>
      <c r="Q1028" s="6">
        <f t="shared" si="81"/>
        <v>1.9982993197278986E-2</v>
      </c>
      <c r="R1028" s="5">
        <f t="shared" si="82"/>
        <v>0</v>
      </c>
      <c r="S1028" s="6">
        <f t="shared" si="83"/>
        <v>0</v>
      </c>
      <c r="T1028" s="6">
        <f t="shared" si="84"/>
        <v>0</v>
      </c>
    </row>
    <row r="1029" spans="1:20" hidden="1" x14ac:dyDescent="0.25">
      <c r="A1029" s="4" t="s">
        <v>983</v>
      </c>
      <c r="B1029" s="5" t="s">
        <v>16</v>
      </c>
      <c r="C1029" s="5" t="s">
        <v>1823</v>
      </c>
      <c r="D1029" s="5">
        <v>28.5</v>
      </c>
      <c r="E1029" s="5">
        <v>29</v>
      </c>
      <c r="F1029" s="5">
        <v>29.4</v>
      </c>
      <c r="G1029" s="5">
        <v>28.5</v>
      </c>
      <c r="H1029" s="5">
        <v>28.5</v>
      </c>
      <c r="I1029" s="5">
        <v>28.6</v>
      </c>
      <c r="J1029" s="5">
        <v>28.75</v>
      </c>
      <c r="K1029" s="5">
        <v>4575</v>
      </c>
      <c r="L1029" s="5">
        <v>1.32</v>
      </c>
      <c r="M1029" s="5">
        <v>29</v>
      </c>
      <c r="N1029" s="5">
        <v>3672</v>
      </c>
      <c r="O1029" s="5">
        <v>80.260000000000005</v>
      </c>
      <c r="P1029" s="5">
        <f t="shared" si="80"/>
        <v>0.10000000000000142</v>
      </c>
      <c r="Q1029" s="6">
        <f t="shared" si="81"/>
        <v>3.5087719298246113E-3</v>
      </c>
      <c r="R1029" s="5">
        <f t="shared" si="82"/>
        <v>0.89999999999999858</v>
      </c>
      <c r="S1029" s="6">
        <f t="shared" si="83"/>
        <v>3.1578947368421005E-2</v>
      </c>
      <c r="T1029" s="6">
        <f t="shared" si="84"/>
        <v>-5.1948051948051454E-3</v>
      </c>
    </row>
    <row r="1030" spans="1:20" hidden="1" x14ac:dyDescent="0.25">
      <c r="A1030" s="4" t="s">
        <v>984</v>
      </c>
      <c r="B1030" s="5" t="s">
        <v>16</v>
      </c>
      <c r="C1030" s="5" t="s">
        <v>1823</v>
      </c>
      <c r="D1030" s="5">
        <v>4.55</v>
      </c>
      <c r="E1030" s="5">
        <v>4.3499999999999996</v>
      </c>
      <c r="F1030" s="5">
        <v>4.75</v>
      </c>
      <c r="G1030" s="5">
        <v>4.3499999999999996</v>
      </c>
      <c r="H1030" s="5">
        <v>4.5</v>
      </c>
      <c r="I1030" s="5">
        <v>4.5</v>
      </c>
      <c r="J1030" s="5">
        <v>4.58</v>
      </c>
      <c r="K1030" s="5">
        <v>8017</v>
      </c>
      <c r="L1030" s="5">
        <v>0.37</v>
      </c>
      <c r="M1030" s="5">
        <v>33</v>
      </c>
      <c r="N1030" s="5">
        <v>5374</v>
      </c>
      <c r="O1030" s="5">
        <v>67.03</v>
      </c>
      <c r="P1030" s="5">
        <f t="shared" si="80"/>
        <v>-4.9999999999999822E-2</v>
      </c>
      <c r="Q1030" s="6">
        <f t="shared" si="81"/>
        <v>-1.098901098901095E-2</v>
      </c>
      <c r="R1030" s="5">
        <f t="shared" si="82"/>
        <v>0.40000000000000036</v>
      </c>
      <c r="S1030" s="6">
        <f t="shared" si="83"/>
        <v>8.7912087912087988E-2</v>
      </c>
      <c r="T1030" s="6">
        <f t="shared" si="84"/>
        <v>-1.7827298050139294E-2</v>
      </c>
    </row>
    <row r="1031" spans="1:20" x14ac:dyDescent="0.25">
      <c r="A1031" s="4" t="s">
        <v>154</v>
      </c>
      <c r="B1031" s="5" t="s">
        <v>16</v>
      </c>
      <c r="C1031" s="5" t="s">
        <v>1823</v>
      </c>
      <c r="D1031" s="5">
        <v>122.75</v>
      </c>
      <c r="E1031" s="5">
        <v>127.9</v>
      </c>
      <c r="F1031" s="5">
        <v>129</v>
      </c>
      <c r="G1031" s="5">
        <v>123</v>
      </c>
      <c r="H1031" s="5">
        <v>124</v>
      </c>
      <c r="I1031" s="5">
        <v>123.85</v>
      </c>
      <c r="J1031" s="5">
        <v>125.53</v>
      </c>
      <c r="K1031" s="5">
        <v>135616</v>
      </c>
      <c r="L1031" s="5">
        <v>170.24</v>
      </c>
      <c r="M1031" s="5">
        <v>3366</v>
      </c>
      <c r="N1031" s="5">
        <v>67746</v>
      </c>
      <c r="O1031" s="5">
        <v>49.95</v>
      </c>
      <c r="P1031" s="5">
        <f t="shared" si="80"/>
        <v>1.0999999999999943</v>
      </c>
      <c r="Q1031" s="6">
        <f t="shared" si="81"/>
        <v>8.9613034623217454E-3</v>
      </c>
      <c r="R1031" s="5">
        <f t="shared" si="82"/>
        <v>6</v>
      </c>
      <c r="S1031" s="6">
        <f t="shared" si="83"/>
        <v>4.8879837067209775E-2</v>
      </c>
      <c r="T1031" s="6">
        <f t="shared" si="84"/>
        <v>-1.3339950372208491E-2</v>
      </c>
    </row>
    <row r="1032" spans="1:20" hidden="1" x14ac:dyDescent="0.25">
      <c r="A1032" s="4" t="s">
        <v>986</v>
      </c>
      <c r="B1032" s="5" t="s">
        <v>16</v>
      </c>
      <c r="C1032" s="5" t="s">
        <v>1823</v>
      </c>
      <c r="D1032" s="5">
        <v>114.1</v>
      </c>
      <c r="E1032" s="5">
        <v>117</v>
      </c>
      <c r="F1032" s="5">
        <v>122.4</v>
      </c>
      <c r="G1032" s="5">
        <v>113.1</v>
      </c>
      <c r="H1032" s="5">
        <v>119.9</v>
      </c>
      <c r="I1032" s="5">
        <v>118.15</v>
      </c>
      <c r="J1032" s="5">
        <v>118.44</v>
      </c>
      <c r="K1032" s="5">
        <v>36274</v>
      </c>
      <c r="L1032" s="5">
        <v>42.96</v>
      </c>
      <c r="M1032" s="5">
        <v>654</v>
      </c>
      <c r="N1032" s="5">
        <v>18993</v>
      </c>
      <c r="O1032" s="5">
        <v>52.36</v>
      </c>
      <c r="P1032" s="5">
        <f t="shared" si="80"/>
        <v>4.0500000000000114</v>
      </c>
      <c r="Q1032" s="6">
        <f t="shared" si="81"/>
        <v>3.5495179666958906E-2</v>
      </c>
      <c r="R1032" s="5">
        <f t="shared" si="82"/>
        <v>9.3000000000000114</v>
      </c>
      <c r="S1032" s="6">
        <f t="shared" si="83"/>
        <v>8.1507449605609225E-2</v>
      </c>
      <c r="T1032" s="6">
        <f t="shared" si="84"/>
        <v>-2.4646765112078363E-3</v>
      </c>
    </row>
    <row r="1033" spans="1:20" x14ac:dyDescent="0.25">
      <c r="A1033" s="4" t="s">
        <v>258</v>
      </c>
      <c r="B1033" s="5" t="s">
        <v>16</v>
      </c>
      <c r="C1033" s="5" t="s">
        <v>1823</v>
      </c>
      <c r="D1033" s="5">
        <v>181.2</v>
      </c>
      <c r="E1033" s="5">
        <v>184.05</v>
      </c>
      <c r="F1033" s="5">
        <v>185.8</v>
      </c>
      <c r="G1033" s="5">
        <v>175</v>
      </c>
      <c r="H1033" s="5">
        <v>176.5</v>
      </c>
      <c r="I1033" s="5">
        <v>176.7</v>
      </c>
      <c r="J1033" s="5">
        <v>180.27</v>
      </c>
      <c r="K1033" s="5">
        <v>132583</v>
      </c>
      <c r="L1033" s="5">
        <v>239.01</v>
      </c>
      <c r="M1033" s="5">
        <v>3108</v>
      </c>
      <c r="N1033" s="5">
        <v>66287</v>
      </c>
      <c r="O1033" s="5">
        <v>50</v>
      </c>
      <c r="P1033" s="5">
        <f t="shared" si="80"/>
        <v>-4.5</v>
      </c>
      <c r="Q1033" s="6">
        <f t="shared" si="81"/>
        <v>-2.4834437086092717E-2</v>
      </c>
      <c r="R1033" s="5">
        <f t="shared" si="82"/>
        <v>10.800000000000011</v>
      </c>
      <c r="S1033" s="6">
        <f t="shared" si="83"/>
        <v>5.9602649006622585E-2</v>
      </c>
      <c r="T1033" s="6">
        <f t="shared" si="84"/>
        <v>-1.9790728293257693E-2</v>
      </c>
    </row>
    <row r="1034" spans="1:20" hidden="1" x14ac:dyDescent="0.25">
      <c r="A1034" s="4" t="s">
        <v>988</v>
      </c>
      <c r="B1034" s="5" t="s">
        <v>39</v>
      </c>
      <c r="C1034" s="5" t="s">
        <v>1823</v>
      </c>
      <c r="D1034" s="5">
        <v>4.05</v>
      </c>
      <c r="E1034" s="5">
        <v>4.25</v>
      </c>
      <c r="F1034" s="5">
        <v>4.25</v>
      </c>
      <c r="G1034" s="5">
        <v>3.9</v>
      </c>
      <c r="H1034" s="5">
        <v>4.25</v>
      </c>
      <c r="I1034" s="5">
        <v>4.25</v>
      </c>
      <c r="J1034" s="5">
        <v>4.24</v>
      </c>
      <c r="K1034" s="5">
        <v>6412</v>
      </c>
      <c r="L1034" s="5">
        <v>0.27</v>
      </c>
      <c r="M1034" s="5">
        <v>26</v>
      </c>
      <c r="N1034" s="5" t="s">
        <v>25</v>
      </c>
      <c r="O1034" s="5" t="s">
        <v>25</v>
      </c>
      <c r="P1034" s="5">
        <f t="shared" si="80"/>
        <v>0.20000000000000018</v>
      </c>
      <c r="Q1034" s="6">
        <f t="shared" si="81"/>
        <v>4.9382716049382762E-2</v>
      </c>
      <c r="R1034" s="5">
        <f t="shared" si="82"/>
        <v>0.35000000000000009</v>
      </c>
      <c r="S1034" s="6">
        <f t="shared" si="83"/>
        <v>8.6419753086419776E-2</v>
      </c>
      <c r="T1034" s="6">
        <f t="shared" si="84"/>
        <v>2.4024024024023516E-3</v>
      </c>
    </row>
    <row r="1035" spans="1:20" hidden="1" x14ac:dyDescent="0.25">
      <c r="A1035" s="4" t="s">
        <v>989</v>
      </c>
      <c r="B1035" s="5" t="s">
        <v>16</v>
      </c>
      <c r="C1035" s="5" t="s">
        <v>1823</v>
      </c>
      <c r="D1035" s="5">
        <v>11.9</v>
      </c>
      <c r="E1035" s="5">
        <v>11.85</v>
      </c>
      <c r="F1035" s="5">
        <v>11.9</v>
      </c>
      <c r="G1035" s="5">
        <v>11.65</v>
      </c>
      <c r="H1035" s="5">
        <v>11.75</v>
      </c>
      <c r="I1035" s="5">
        <v>11.75</v>
      </c>
      <c r="J1035" s="5">
        <v>11.74</v>
      </c>
      <c r="K1035" s="5">
        <v>359827</v>
      </c>
      <c r="L1035" s="5">
        <v>42.24</v>
      </c>
      <c r="M1035" s="5">
        <v>793</v>
      </c>
      <c r="N1035" s="5">
        <v>258879</v>
      </c>
      <c r="O1035" s="5">
        <v>71.95</v>
      </c>
      <c r="P1035" s="5">
        <f t="shared" si="80"/>
        <v>-0.15000000000000036</v>
      </c>
      <c r="Q1035" s="6">
        <f t="shared" si="81"/>
        <v>-1.2605042016806753E-2</v>
      </c>
      <c r="R1035" s="5">
        <f t="shared" si="82"/>
        <v>0.25</v>
      </c>
      <c r="S1035" s="6">
        <f t="shared" si="83"/>
        <v>2.1008403361344536E-2</v>
      </c>
      <c r="T1035" s="6">
        <f t="shared" si="84"/>
        <v>8.4835630965003498E-4</v>
      </c>
    </row>
    <row r="1036" spans="1:20" hidden="1" x14ac:dyDescent="0.25">
      <c r="A1036" s="4" t="s">
        <v>990</v>
      </c>
      <c r="B1036" s="5" t="s">
        <v>39</v>
      </c>
      <c r="C1036" s="5" t="s">
        <v>1823</v>
      </c>
      <c r="D1036" s="5">
        <v>77</v>
      </c>
      <c r="E1036" s="5">
        <v>73.2</v>
      </c>
      <c r="F1036" s="5">
        <v>73.3</v>
      </c>
      <c r="G1036" s="5">
        <v>73.2</v>
      </c>
      <c r="H1036" s="5">
        <v>73.3</v>
      </c>
      <c r="I1036" s="5">
        <v>73.3</v>
      </c>
      <c r="J1036" s="5">
        <v>73.290000000000006</v>
      </c>
      <c r="K1036" s="5">
        <v>449</v>
      </c>
      <c r="L1036" s="5">
        <v>0.33</v>
      </c>
      <c r="M1036" s="5">
        <v>5</v>
      </c>
      <c r="N1036" s="5" t="s">
        <v>25</v>
      </c>
      <c r="O1036" s="5" t="s">
        <v>25</v>
      </c>
      <c r="P1036" s="5">
        <f t="shared" ref="P1036:P1099" si="85">I1036-D1036</f>
        <v>-3.7000000000000028</v>
      </c>
      <c r="Q1036" s="6">
        <f t="shared" ref="Q1036:Q1099" si="86">P1036/D1036</f>
        <v>-4.8051948051948089E-2</v>
      </c>
      <c r="R1036" s="5">
        <f t="shared" ref="R1036:R1099" si="87">ABS(F1036-G1036)</f>
        <v>9.9999999999994316E-2</v>
      </c>
      <c r="S1036" s="6">
        <f t="shared" ref="S1036:S1099" si="88">R1036/D1036</f>
        <v>1.298701298701225E-3</v>
      </c>
      <c r="T1036" s="6">
        <f t="shared" ref="T1036:T1099" si="89">(I1036-J1036)/AVERAGE(E1036:G1036,I1036)</f>
        <v>1.3651877133093385E-4</v>
      </c>
    </row>
    <row r="1037" spans="1:20" hidden="1" x14ac:dyDescent="0.25">
      <c r="A1037" s="4" t="s">
        <v>991</v>
      </c>
      <c r="B1037" s="5" t="s">
        <v>16</v>
      </c>
      <c r="C1037" s="5" t="s">
        <v>1823</v>
      </c>
      <c r="D1037" s="5">
        <v>131.9</v>
      </c>
      <c r="E1037" s="5">
        <v>132.25</v>
      </c>
      <c r="F1037" s="5">
        <v>132.25</v>
      </c>
      <c r="G1037" s="5">
        <v>125.35</v>
      </c>
      <c r="H1037" s="5">
        <v>126.75</v>
      </c>
      <c r="I1037" s="5">
        <v>126.15</v>
      </c>
      <c r="J1037" s="5">
        <v>126.92</v>
      </c>
      <c r="K1037" s="5">
        <v>13658</v>
      </c>
      <c r="L1037" s="5">
        <v>17.329999999999998</v>
      </c>
      <c r="M1037" s="5">
        <v>147</v>
      </c>
      <c r="N1037" s="5">
        <v>12090</v>
      </c>
      <c r="O1037" s="5">
        <v>88.52</v>
      </c>
      <c r="P1037" s="5">
        <f t="shared" si="85"/>
        <v>-5.75</v>
      </c>
      <c r="Q1037" s="6">
        <f t="shared" si="86"/>
        <v>-4.3593631539044726E-2</v>
      </c>
      <c r="R1037" s="5">
        <f t="shared" si="87"/>
        <v>6.9000000000000057</v>
      </c>
      <c r="S1037" s="6">
        <f t="shared" si="88"/>
        <v>5.2312357846853716E-2</v>
      </c>
      <c r="T1037" s="6">
        <f t="shared" si="89"/>
        <v>-5.9689922480619844E-3</v>
      </c>
    </row>
    <row r="1038" spans="1:20" hidden="1" x14ac:dyDescent="0.25">
      <c r="A1038" s="4" t="s">
        <v>992</v>
      </c>
      <c r="B1038" s="5" t="s">
        <v>16</v>
      </c>
      <c r="C1038" s="5" t="s">
        <v>1823</v>
      </c>
      <c r="D1038" s="5">
        <v>252.15</v>
      </c>
      <c r="E1038" s="5">
        <v>253</v>
      </c>
      <c r="F1038" s="5">
        <v>253</v>
      </c>
      <c r="G1038" s="5">
        <v>239.8</v>
      </c>
      <c r="H1038" s="5">
        <v>245.3</v>
      </c>
      <c r="I1038" s="5">
        <v>242.5</v>
      </c>
      <c r="J1038" s="5">
        <v>244.22</v>
      </c>
      <c r="K1038" s="5">
        <v>61162</v>
      </c>
      <c r="L1038" s="5">
        <v>149.37</v>
      </c>
      <c r="M1038" s="5">
        <v>382</v>
      </c>
      <c r="N1038" s="5">
        <v>27550</v>
      </c>
      <c r="O1038" s="5">
        <v>45.04</v>
      </c>
      <c r="P1038" s="5">
        <f t="shared" si="85"/>
        <v>-9.6500000000000057</v>
      </c>
      <c r="Q1038" s="6">
        <f t="shared" si="86"/>
        <v>-3.8270870513583209E-2</v>
      </c>
      <c r="R1038" s="5">
        <f t="shared" si="87"/>
        <v>13.199999999999989</v>
      </c>
      <c r="S1038" s="6">
        <f t="shared" si="88"/>
        <v>5.2349791790600786E-2</v>
      </c>
      <c r="T1038" s="6">
        <f t="shared" si="89"/>
        <v>-6.9614489527471375E-3</v>
      </c>
    </row>
    <row r="1039" spans="1:20" hidden="1" x14ac:dyDescent="0.25">
      <c r="A1039" s="4" t="s">
        <v>993</v>
      </c>
      <c r="B1039" s="5" t="s">
        <v>28</v>
      </c>
      <c r="C1039" s="5" t="s">
        <v>1823</v>
      </c>
      <c r="D1039" s="5">
        <v>60.85</v>
      </c>
      <c r="E1039" s="5">
        <v>52.1</v>
      </c>
      <c r="F1039" s="5">
        <v>62.75</v>
      </c>
      <c r="G1039" s="5">
        <v>52.1</v>
      </c>
      <c r="H1039" s="5">
        <v>61</v>
      </c>
      <c r="I1039" s="5">
        <v>61.85</v>
      </c>
      <c r="J1039" s="5">
        <v>60.06</v>
      </c>
      <c r="K1039" s="5">
        <v>24000</v>
      </c>
      <c r="L1039" s="5">
        <v>14.42</v>
      </c>
      <c r="M1039" s="5">
        <v>8</v>
      </c>
      <c r="N1039" s="5">
        <v>18000</v>
      </c>
      <c r="O1039" s="5">
        <v>75</v>
      </c>
      <c r="P1039" s="5">
        <f t="shared" si="85"/>
        <v>1</v>
      </c>
      <c r="Q1039" s="6">
        <f t="shared" si="86"/>
        <v>1.6433853738701727E-2</v>
      </c>
      <c r="R1039" s="5">
        <f t="shared" si="87"/>
        <v>10.649999999999999</v>
      </c>
      <c r="S1039" s="6">
        <f t="shared" si="88"/>
        <v>0.17502054231717334</v>
      </c>
      <c r="T1039" s="6">
        <f t="shared" si="89"/>
        <v>3.1293706293706279E-2</v>
      </c>
    </row>
    <row r="1040" spans="1:20" x14ac:dyDescent="0.25">
      <c r="A1040" s="4" t="s">
        <v>901</v>
      </c>
      <c r="B1040" s="5" t="s">
        <v>16</v>
      </c>
      <c r="C1040" s="5" t="s">
        <v>1823</v>
      </c>
      <c r="D1040" s="5">
        <v>467.75</v>
      </c>
      <c r="E1040" s="5">
        <v>471</v>
      </c>
      <c r="F1040" s="5">
        <v>484</v>
      </c>
      <c r="G1040" s="5">
        <v>455</v>
      </c>
      <c r="H1040" s="5">
        <v>455</v>
      </c>
      <c r="I1040" s="5">
        <v>460.5</v>
      </c>
      <c r="J1040" s="5">
        <v>471.66</v>
      </c>
      <c r="K1040" s="5">
        <v>115424</v>
      </c>
      <c r="L1040" s="5">
        <v>544.4</v>
      </c>
      <c r="M1040" s="5">
        <v>8017</v>
      </c>
      <c r="N1040" s="5">
        <v>57802</v>
      </c>
      <c r="O1040" s="5">
        <v>50.08</v>
      </c>
      <c r="P1040" s="5">
        <f t="shared" si="85"/>
        <v>-7.25</v>
      </c>
      <c r="Q1040" s="6">
        <f t="shared" si="86"/>
        <v>-1.5499732763228221E-2</v>
      </c>
      <c r="R1040" s="5">
        <f t="shared" si="87"/>
        <v>29</v>
      </c>
      <c r="S1040" s="6">
        <f t="shared" si="88"/>
        <v>6.1998931052912883E-2</v>
      </c>
      <c r="T1040" s="6">
        <f t="shared" si="89"/>
        <v>-2.3865276663993639E-2</v>
      </c>
    </row>
    <row r="1041" spans="1:20" hidden="1" x14ac:dyDescent="0.25">
      <c r="A1041" s="4" t="s">
        <v>995</v>
      </c>
      <c r="B1041" s="5" t="s">
        <v>16</v>
      </c>
      <c r="C1041" s="5" t="s">
        <v>1823</v>
      </c>
      <c r="D1041" s="5">
        <v>408.55</v>
      </c>
      <c r="E1041" s="5">
        <v>413.85</v>
      </c>
      <c r="F1041" s="5">
        <v>413.85</v>
      </c>
      <c r="G1041" s="5">
        <v>406.05</v>
      </c>
      <c r="H1041" s="5">
        <v>410</v>
      </c>
      <c r="I1041" s="5">
        <v>409.9</v>
      </c>
      <c r="J1041" s="5">
        <v>409.86</v>
      </c>
      <c r="K1041" s="5">
        <v>167996</v>
      </c>
      <c r="L1041" s="5">
        <v>688.55</v>
      </c>
      <c r="M1041" s="5">
        <v>4212</v>
      </c>
      <c r="N1041" s="5">
        <v>147605</v>
      </c>
      <c r="O1041" s="5">
        <v>87.86</v>
      </c>
      <c r="P1041" s="5">
        <f t="shared" si="85"/>
        <v>1.3499999999999659</v>
      </c>
      <c r="Q1041" s="6">
        <f t="shared" si="86"/>
        <v>3.3043691102679373E-3</v>
      </c>
      <c r="R1041" s="5">
        <f t="shared" si="87"/>
        <v>7.8000000000000114</v>
      </c>
      <c r="S1041" s="6">
        <f t="shared" si="88"/>
        <v>1.9091910414881928E-2</v>
      </c>
      <c r="T1041" s="6">
        <f t="shared" si="89"/>
        <v>9.7344325129957389E-5</v>
      </c>
    </row>
    <row r="1042" spans="1:20" hidden="1" x14ac:dyDescent="0.25">
      <c r="A1042" s="4" t="s">
        <v>996</v>
      </c>
      <c r="B1042" s="5" t="s">
        <v>16</v>
      </c>
      <c r="C1042" s="5" t="s">
        <v>1823</v>
      </c>
      <c r="D1042" s="5">
        <v>387.05</v>
      </c>
      <c r="E1042" s="5">
        <v>386.95</v>
      </c>
      <c r="F1042" s="5">
        <v>386.95</v>
      </c>
      <c r="G1042" s="5">
        <v>370</v>
      </c>
      <c r="H1042" s="5">
        <v>373.95</v>
      </c>
      <c r="I1042" s="5">
        <v>373.35</v>
      </c>
      <c r="J1042" s="5">
        <v>379.35</v>
      </c>
      <c r="K1042" s="5">
        <v>47830</v>
      </c>
      <c r="L1042" s="5">
        <v>181.44</v>
      </c>
      <c r="M1042" s="5">
        <v>2032</v>
      </c>
      <c r="N1042" s="5">
        <v>23724</v>
      </c>
      <c r="O1042" s="5">
        <v>49.6</v>
      </c>
      <c r="P1042" s="5">
        <f t="shared" si="85"/>
        <v>-13.699999999999989</v>
      </c>
      <c r="Q1042" s="6">
        <f t="shared" si="86"/>
        <v>-3.5395943676527548E-2</v>
      </c>
      <c r="R1042" s="5">
        <f t="shared" si="87"/>
        <v>16.949999999999989</v>
      </c>
      <c r="S1042" s="6">
        <f t="shared" si="88"/>
        <v>4.379279162898847E-2</v>
      </c>
      <c r="T1042" s="6">
        <f t="shared" si="89"/>
        <v>-1.5818091942659415E-2</v>
      </c>
    </row>
    <row r="1043" spans="1:20" hidden="1" x14ac:dyDescent="0.25">
      <c r="A1043" s="4" t="s">
        <v>997</v>
      </c>
      <c r="B1043" s="5" t="s">
        <v>16</v>
      </c>
      <c r="C1043" s="5" t="s">
        <v>1823</v>
      </c>
      <c r="D1043" s="5">
        <v>4366.8999999999996</v>
      </c>
      <c r="E1043" s="5">
        <v>4370</v>
      </c>
      <c r="F1043" s="5">
        <v>4399</v>
      </c>
      <c r="G1043" s="5">
        <v>4320.8</v>
      </c>
      <c r="H1043" s="5">
        <v>4368</v>
      </c>
      <c r="I1043" s="5">
        <v>4341.3999999999996</v>
      </c>
      <c r="J1043" s="5">
        <v>4351.71</v>
      </c>
      <c r="K1043" s="5">
        <v>3234</v>
      </c>
      <c r="L1043" s="5">
        <v>140.72999999999999</v>
      </c>
      <c r="M1043" s="5">
        <v>628</v>
      </c>
      <c r="N1043" s="5">
        <v>2363</v>
      </c>
      <c r="O1043" s="5">
        <v>73.069999999999993</v>
      </c>
      <c r="P1043" s="5">
        <f t="shared" si="85"/>
        <v>-25.5</v>
      </c>
      <c r="Q1043" s="6">
        <f t="shared" si="86"/>
        <v>-5.8393826284091691E-3</v>
      </c>
      <c r="R1043" s="5">
        <f t="shared" si="87"/>
        <v>78.199999999999818</v>
      </c>
      <c r="S1043" s="6">
        <f t="shared" si="88"/>
        <v>1.7907440060454746E-2</v>
      </c>
      <c r="T1043" s="6">
        <f t="shared" si="89"/>
        <v>-2.3658726880536971E-3</v>
      </c>
    </row>
    <row r="1044" spans="1:20" x14ac:dyDescent="0.25">
      <c r="A1044" s="4" t="s">
        <v>1167</v>
      </c>
      <c r="B1044" s="5" t="s">
        <v>16</v>
      </c>
      <c r="C1044" s="5" t="s">
        <v>1823</v>
      </c>
      <c r="D1044" s="5">
        <v>546.29999999999995</v>
      </c>
      <c r="E1044" s="5">
        <v>550.79999999999995</v>
      </c>
      <c r="F1044" s="5">
        <v>550.79999999999995</v>
      </c>
      <c r="G1044" s="5">
        <v>514.6</v>
      </c>
      <c r="H1044" s="5">
        <v>517.79999999999995</v>
      </c>
      <c r="I1044" s="5">
        <v>521.20000000000005</v>
      </c>
      <c r="J1044" s="5">
        <v>527.36</v>
      </c>
      <c r="K1044" s="5">
        <v>549424</v>
      </c>
      <c r="L1044" s="5">
        <v>2897.43</v>
      </c>
      <c r="M1044" s="5">
        <v>35001</v>
      </c>
      <c r="N1044" s="5">
        <v>275184</v>
      </c>
      <c r="O1044" s="5">
        <v>50.09</v>
      </c>
      <c r="P1044" s="5">
        <f t="shared" si="85"/>
        <v>-25.099999999999909</v>
      </c>
      <c r="Q1044" s="6">
        <f t="shared" si="86"/>
        <v>-4.594545121727972E-2</v>
      </c>
      <c r="R1044" s="5">
        <f t="shared" si="87"/>
        <v>36.199999999999932</v>
      </c>
      <c r="S1044" s="6">
        <f t="shared" si="88"/>
        <v>6.6263957532491188E-2</v>
      </c>
      <c r="T1044" s="6">
        <f t="shared" si="89"/>
        <v>-1.152802470291002E-2</v>
      </c>
    </row>
    <row r="1045" spans="1:20" hidden="1" x14ac:dyDescent="0.25">
      <c r="A1045" s="4" t="s">
        <v>999</v>
      </c>
      <c r="B1045" s="5" t="s">
        <v>16</v>
      </c>
      <c r="C1045" s="5" t="s">
        <v>1823</v>
      </c>
      <c r="D1045" s="5">
        <v>520.04999999999995</v>
      </c>
      <c r="E1045" s="5">
        <v>527</v>
      </c>
      <c r="F1045" s="5">
        <v>527</v>
      </c>
      <c r="G1045" s="5">
        <v>490</v>
      </c>
      <c r="H1045" s="5">
        <v>491.8</v>
      </c>
      <c r="I1045" s="5">
        <v>490.9</v>
      </c>
      <c r="J1045" s="5">
        <v>499.87</v>
      </c>
      <c r="K1045" s="5">
        <v>31693</v>
      </c>
      <c r="L1045" s="5">
        <v>158.41999999999999</v>
      </c>
      <c r="M1045" s="5">
        <v>2444</v>
      </c>
      <c r="N1045" s="5">
        <v>16699</v>
      </c>
      <c r="O1045" s="5">
        <v>52.69</v>
      </c>
      <c r="P1045" s="5">
        <f t="shared" si="85"/>
        <v>-29.149999999999977</v>
      </c>
      <c r="Q1045" s="6">
        <f t="shared" si="86"/>
        <v>-5.6052302663205419E-2</v>
      </c>
      <c r="R1045" s="5">
        <f t="shared" si="87"/>
        <v>37</v>
      </c>
      <c r="S1045" s="6">
        <f t="shared" si="88"/>
        <v>7.1147005095663879E-2</v>
      </c>
      <c r="T1045" s="6">
        <f t="shared" si="89"/>
        <v>-1.7632316084328522E-2</v>
      </c>
    </row>
    <row r="1046" spans="1:20" hidden="1" x14ac:dyDescent="0.25">
      <c r="A1046" s="4" t="s">
        <v>1000</v>
      </c>
      <c r="B1046" s="5" t="s">
        <v>16</v>
      </c>
      <c r="C1046" s="5" t="s">
        <v>1823</v>
      </c>
      <c r="D1046" s="5">
        <v>421.55</v>
      </c>
      <c r="E1046" s="5">
        <v>423.5</v>
      </c>
      <c r="F1046" s="5">
        <v>449.95</v>
      </c>
      <c r="G1046" s="5">
        <v>420.3</v>
      </c>
      <c r="H1046" s="5">
        <v>434.5</v>
      </c>
      <c r="I1046" s="5">
        <v>435.6</v>
      </c>
      <c r="J1046" s="5">
        <v>435.07</v>
      </c>
      <c r="K1046" s="5">
        <v>94314</v>
      </c>
      <c r="L1046" s="5">
        <v>410.33</v>
      </c>
      <c r="M1046" s="5">
        <v>3827</v>
      </c>
      <c r="N1046" s="5">
        <v>56842</v>
      </c>
      <c r="O1046" s="5">
        <v>60.27</v>
      </c>
      <c r="P1046" s="5">
        <f t="shared" si="85"/>
        <v>14.050000000000011</v>
      </c>
      <c r="Q1046" s="6">
        <f t="shared" si="86"/>
        <v>3.3329379670264524E-2</v>
      </c>
      <c r="R1046" s="5">
        <f t="shared" si="87"/>
        <v>29.649999999999977</v>
      </c>
      <c r="S1046" s="6">
        <f t="shared" si="88"/>
        <v>7.0335665994543883E-2</v>
      </c>
      <c r="T1046" s="6">
        <f t="shared" si="89"/>
        <v>1.2258941220690538E-3</v>
      </c>
    </row>
    <row r="1047" spans="1:20" hidden="1" x14ac:dyDescent="0.25">
      <c r="A1047" s="4" t="s">
        <v>1001</v>
      </c>
      <c r="B1047" s="5" t="s">
        <v>16</v>
      </c>
      <c r="C1047" s="5" t="s">
        <v>1823</v>
      </c>
      <c r="D1047" s="5">
        <v>28.7</v>
      </c>
      <c r="E1047" s="5">
        <v>29.4</v>
      </c>
      <c r="F1047" s="5">
        <v>29.8</v>
      </c>
      <c r="G1047" s="5">
        <v>27.2</v>
      </c>
      <c r="H1047" s="5">
        <v>29.4</v>
      </c>
      <c r="I1047" s="5">
        <v>29.35</v>
      </c>
      <c r="J1047" s="5">
        <v>29.2</v>
      </c>
      <c r="K1047" s="5">
        <v>44784</v>
      </c>
      <c r="L1047" s="5">
        <v>13.08</v>
      </c>
      <c r="M1047" s="5">
        <v>390</v>
      </c>
      <c r="N1047" s="5">
        <v>23000</v>
      </c>
      <c r="O1047" s="5">
        <v>51.36</v>
      </c>
      <c r="P1047" s="5">
        <f t="shared" si="85"/>
        <v>0.65000000000000213</v>
      </c>
      <c r="Q1047" s="6">
        <f t="shared" si="86"/>
        <v>2.2648083623693454E-2</v>
      </c>
      <c r="R1047" s="5">
        <f t="shared" si="87"/>
        <v>2.6000000000000014</v>
      </c>
      <c r="S1047" s="6">
        <f t="shared" si="88"/>
        <v>9.0592334494773566E-2</v>
      </c>
      <c r="T1047" s="6">
        <f t="shared" si="89"/>
        <v>5.1835853131750199E-3</v>
      </c>
    </row>
    <row r="1048" spans="1:20" hidden="1" x14ac:dyDescent="0.25">
      <c r="A1048" s="4" t="s">
        <v>1002</v>
      </c>
      <c r="B1048" s="5" t="s">
        <v>16</v>
      </c>
      <c r="C1048" s="5" t="s">
        <v>1823</v>
      </c>
      <c r="D1048" s="5">
        <v>117.25</v>
      </c>
      <c r="E1048" s="5">
        <v>116.4</v>
      </c>
      <c r="F1048" s="5">
        <v>116.4</v>
      </c>
      <c r="G1048" s="5">
        <v>115.3</v>
      </c>
      <c r="H1048" s="5">
        <v>115.3</v>
      </c>
      <c r="I1048" s="5">
        <v>115.3</v>
      </c>
      <c r="J1048" s="5">
        <v>116.1</v>
      </c>
      <c r="K1048" s="5">
        <v>51076</v>
      </c>
      <c r="L1048" s="5">
        <v>59.3</v>
      </c>
      <c r="M1048" s="5">
        <v>11</v>
      </c>
      <c r="N1048" s="5">
        <v>51074</v>
      </c>
      <c r="O1048" s="5">
        <v>100</v>
      </c>
      <c r="P1048" s="5">
        <f t="shared" si="85"/>
        <v>-1.9500000000000028</v>
      </c>
      <c r="Q1048" s="6">
        <f t="shared" si="86"/>
        <v>-1.663113006396591E-2</v>
      </c>
      <c r="R1048" s="5">
        <f t="shared" si="87"/>
        <v>1.1000000000000085</v>
      </c>
      <c r="S1048" s="6">
        <f t="shared" si="88"/>
        <v>9.3816631130064689E-3</v>
      </c>
      <c r="T1048" s="6">
        <f t="shared" si="89"/>
        <v>-6.9054812257228924E-3</v>
      </c>
    </row>
    <row r="1049" spans="1:20" hidden="1" x14ac:dyDescent="0.25">
      <c r="A1049" s="4" t="s">
        <v>1003</v>
      </c>
      <c r="B1049" s="5" t="s">
        <v>16</v>
      </c>
      <c r="C1049" s="5" t="s">
        <v>1823</v>
      </c>
      <c r="D1049" s="5">
        <v>5.05</v>
      </c>
      <c r="E1049" s="5">
        <v>4.8</v>
      </c>
      <c r="F1049" s="5">
        <v>5.2</v>
      </c>
      <c r="G1049" s="5">
        <v>4.8</v>
      </c>
      <c r="H1049" s="5">
        <v>5.05</v>
      </c>
      <c r="I1049" s="5">
        <v>5.0999999999999996</v>
      </c>
      <c r="J1049" s="5">
        <v>5.01</v>
      </c>
      <c r="K1049" s="5">
        <v>16642</v>
      </c>
      <c r="L1049" s="5">
        <v>0.83</v>
      </c>
      <c r="M1049" s="5">
        <v>66</v>
      </c>
      <c r="N1049" s="5">
        <v>12280</v>
      </c>
      <c r="O1049" s="5">
        <v>73.790000000000006</v>
      </c>
      <c r="P1049" s="5">
        <f t="shared" si="85"/>
        <v>4.9999999999999822E-2</v>
      </c>
      <c r="Q1049" s="6">
        <f t="shared" si="86"/>
        <v>9.9009900990098664E-3</v>
      </c>
      <c r="R1049" s="5">
        <f t="shared" si="87"/>
        <v>0.40000000000000036</v>
      </c>
      <c r="S1049" s="6">
        <f t="shared" si="88"/>
        <v>7.9207920792079278E-2</v>
      </c>
      <c r="T1049" s="6">
        <f t="shared" si="89"/>
        <v>1.8090452261306504E-2</v>
      </c>
    </row>
    <row r="1050" spans="1:20" hidden="1" x14ac:dyDescent="0.25">
      <c r="A1050" s="4" t="s">
        <v>1004</v>
      </c>
      <c r="B1050" s="5" t="s">
        <v>16</v>
      </c>
      <c r="C1050" s="5" t="s">
        <v>1823</v>
      </c>
      <c r="D1050" s="5">
        <v>3.8</v>
      </c>
      <c r="E1050" s="5">
        <v>3.7</v>
      </c>
      <c r="F1050" s="5">
        <v>3.95</v>
      </c>
      <c r="G1050" s="5">
        <v>3.65</v>
      </c>
      <c r="H1050" s="5">
        <v>3.7</v>
      </c>
      <c r="I1050" s="5">
        <v>3.7</v>
      </c>
      <c r="J1050" s="5">
        <v>3.8</v>
      </c>
      <c r="K1050" s="5">
        <v>133240</v>
      </c>
      <c r="L1050" s="5">
        <v>5.0599999999999996</v>
      </c>
      <c r="M1050" s="5">
        <v>83</v>
      </c>
      <c r="N1050" s="5">
        <v>128439</v>
      </c>
      <c r="O1050" s="5">
        <v>96.4</v>
      </c>
      <c r="P1050" s="5">
        <f t="shared" si="85"/>
        <v>-9.9999999999999645E-2</v>
      </c>
      <c r="Q1050" s="6">
        <f t="shared" si="86"/>
        <v>-2.6315789473684119E-2</v>
      </c>
      <c r="R1050" s="5">
        <f t="shared" si="87"/>
        <v>0.30000000000000027</v>
      </c>
      <c r="S1050" s="6">
        <f t="shared" si="88"/>
        <v>7.894736842105271E-2</v>
      </c>
      <c r="T1050" s="6">
        <f t="shared" si="89"/>
        <v>-2.6666666666666571E-2</v>
      </c>
    </row>
    <row r="1051" spans="1:20" x14ac:dyDescent="0.25">
      <c r="A1051" s="4" t="s">
        <v>885</v>
      </c>
      <c r="B1051" s="5" t="s">
        <v>16</v>
      </c>
      <c r="C1051" s="5" t="s">
        <v>1823</v>
      </c>
      <c r="D1051" s="5">
        <v>280.35000000000002</v>
      </c>
      <c r="E1051" s="5">
        <v>282.8</v>
      </c>
      <c r="F1051" s="5">
        <v>284.64999999999998</v>
      </c>
      <c r="G1051" s="5">
        <v>274.5</v>
      </c>
      <c r="H1051" s="5">
        <v>275.25</v>
      </c>
      <c r="I1051" s="5">
        <v>275.85000000000002</v>
      </c>
      <c r="J1051" s="5">
        <v>278.64</v>
      </c>
      <c r="K1051" s="5">
        <v>365878</v>
      </c>
      <c r="L1051" s="5">
        <v>1019.47</v>
      </c>
      <c r="M1051" s="5">
        <v>16910</v>
      </c>
      <c r="N1051" s="5">
        <v>184003</v>
      </c>
      <c r="O1051" s="5">
        <v>50.29</v>
      </c>
      <c r="P1051" s="5">
        <f t="shared" si="85"/>
        <v>-4.5</v>
      </c>
      <c r="Q1051" s="6">
        <f t="shared" si="86"/>
        <v>-1.6051364365971106E-2</v>
      </c>
      <c r="R1051" s="5">
        <f t="shared" si="87"/>
        <v>10.149999999999977</v>
      </c>
      <c r="S1051" s="6">
        <f t="shared" si="88"/>
        <v>3.6204744069912524E-2</v>
      </c>
      <c r="T1051" s="6">
        <f t="shared" si="89"/>
        <v>-9.9838969404185476E-3</v>
      </c>
    </row>
    <row r="1052" spans="1:20" hidden="1" x14ac:dyDescent="0.25">
      <c r="A1052" s="4" t="s">
        <v>1006</v>
      </c>
      <c r="B1052" s="5" t="s">
        <v>16</v>
      </c>
      <c r="C1052" s="5" t="s">
        <v>1823</v>
      </c>
      <c r="D1052" s="5">
        <v>12.35</v>
      </c>
      <c r="E1052" s="5">
        <v>12</v>
      </c>
      <c r="F1052" s="5">
        <v>12.25</v>
      </c>
      <c r="G1052" s="5">
        <v>11.3</v>
      </c>
      <c r="H1052" s="5">
        <v>12.1</v>
      </c>
      <c r="I1052" s="5">
        <v>12.05</v>
      </c>
      <c r="J1052" s="5">
        <v>11.85</v>
      </c>
      <c r="K1052" s="5">
        <v>6487</v>
      </c>
      <c r="L1052" s="5">
        <v>0.77</v>
      </c>
      <c r="M1052" s="5">
        <v>110</v>
      </c>
      <c r="N1052" s="5">
        <v>4075</v>
      </c>
      <c r="O1052" s="5">
        <v>62.82</v>
      </c>
      <c r="P1052" s="5">
        <f t="shared" si="85"/>
        <v>-0.29999999999999893</v>
      </c>
      <c r="Q1052" s="6">
        <f t="shared" si="86"/>
        <v>-2.4291497975708416E-2</v>
      </c>
      <c r="R1052" s="5">
        <f t="shared" si="87"/>
        <v>0.94999999999999929</v>
      </c>
      <c r="S1052" s="6">
        <f t="shared" si="88"/>
        <v>7.6923076923076872E-2</v>
      </c>
      <c r="T1052" s="6">
        <f t="shared" si="89"/>
        <v>1.6806722689075723E-2</v>
      </c>
    </row>
    <row r="1053" spans="1:20" x14ac:dyDescent="0.25">
      <c r="A1053" s="4" t="s">
        <v>1109</v>
      </c>
      <c r="B1053" s="5" t="s">
        <v>16</v>
      </c>
      <c r="C1053" s="5" t="s">
        <v>1823</v>
      </c>
      <c r="D1053" s="5">
        <v>2082.1999999999998</v>
      </c>
      <c r="E1053" s="5">
        <v>2069.9499999999998</v>
      </c>
      <c r="F1053" s="5">
        <v>2095</v>
      </c>
      <c r="G1053" s="5">
        <v>2020.05</v>
      </c>
      <c r="H1053" s="5">
        <v>2058</v>
      </c>
      <c r="I1053" s="5">
        <v>2057.15</v>
      </c>
      <c r="J1053" s="5">
        <v>2062.9299999999998</v>
      </c>
      <c r="K1053" s="5">
        <v>107684</v>
      </c>
      <c r="L1053" s="5">
        <v>2221.4499999999998</v>
      </c>
      <c r="M1053" s="5">
        <v>15748</v>
      </c>
      <c r="N1053" s="5">
        <v>54254</v>
      </c>
      <c r="O1053" s="5">
        <v>50.38</v>
      </c>
      <c r="P1053" s="5">
        <f t="shared" si="85"/>
        <v>-25.049999999999727</v>
      </c>
      <c r="Q1053" s="6">
        <f t="shared" si="86"/>
        <v>-1.2030544616271122E-2</v>
      </c>
      <c r="R1053" s="5">
        <f t="shared" si="87"/>
        <v>74.950000000000045</v>
      </c>
      <c r="S1053" s="6">
        <f t="shared" si="88"/>
        <v>3.5995581596388458E-2</v>
      </c>
      <c r="T1053" s="6">
        <f t="shared" si="89"/>
        <v>-2.8050933312301989E-3</v>
      </c>
    </row>
    <row r="1054" spans="1:20" x14ac:dyDescent="0.25">
      <c r="A1054" s="4" t="s">
        <v>1043</v>
      </c>
      <c r="B1054" s="5" t="s">
        <v>16</v>
      </c>
      <c r="C1054" s="5" t="s">
        <v>1823</v>
      </c>
      <c r="D1054" s="5">
        <v>30.4</v>
      </c>
      <c r="E1054" s="5">
        <v>30</v>
      </c>
      <c r="F1054" s="5">
        <v>30.8</v>
      </c>
      <c r="G1054" s="5">
        <v>28.65</v>
      </c>
      <c r="H1054" s="5">
        <v>28.85</v>
      </c>
      <c r="I1054" s="5">
        <v>29.15</v>
      </c>
      <c r="J1054" s="5">
        <v>29.75</v>
      </c>
      <c r="K1054" s="5">
        <v>149777</v>
      </c>
      <c r="L1054" s="5">
        <v>44.55</v>
      </c>
      <c r="M1054" s="5">
        <v>744</v>
      </c>
      <c r="N1054" s="5">
        <v>75863</v>
      </c>
      <c r="O1054" s="5">
        <v>50.65</v>
      </c>
      <c r="P1054" s="5">
        <f t="shared" si="85"/>
        <v>-1.25</v>
      </c>
      <c r="Q1054" s="6">
        <f t="shared" si="86"/>
        <v>-4.1118421052631582E-2</v>
      </c>
      <c r="R1054" s="5">
        <f t="shared" si="87"/>
        <v>2.1500000000000021</v>
      </c>
      <c r="S1054" s="6">
        <f t="shared" si="88"/>
        <v>7.0723684210526383E-2</v>
      </c>
      <c r="T1054" s="6">
        <f t="shared" si="89"/>
        <v>-2.023608768971337E-2</v>
      </c>
    </row>
    <row r="1055" spans="1:20" hidden="1" x14ac:dyDescent="0.25">
      <c r="A1055" s="4" t="s">
        <v>1009</v>
      </c>
      <c r="B1055" s="5" t="s">
        <v>16</v>
      </c>
      <c r="C1055" s="5" t="s">
        <v>1823</v>
      </c>
      <c r="D1055" s="5">
        <v>31.95</v>
      </c>
      <c r="E1055" s="5">
        <v>32.9</v>
      </c>
      <c r="F1055" s="5">
        <v>33.35</v>
      </c>
      <c r="G1055" s="5">
        <v>30.9</v>
      </c>
      <c r="H1055" s="5">
        <v>30.9</v>
      </c>
      <c r="I1055" s="5">
        <v>30.95</v>
      </c>
      <c r="J1055" s="5">
        <v>32.29</v>
      </c>
      <c r="K1055" s="5">
        <v>15270</v>
      </c>
      <c r="L1055" s="5">
        <v>4.93</v>
      </c>
      <c r="M1055" s="5">
        <v>281</v>
      </c>
      <c r="N1055" s="5">
        <v>9493</v>
      </c>
      <c r="O1055" s="5">
        <v>62.17</v>
      </c>
      <c r="P1055" s="5">
        <f t="shared" si="85"/>
        <v>-1</v>
      </c>
      <c r="Q1055" s="6">
        <f t="shared" si="86"/>
        <v>-3.1298904538341159E-2</v>
      </c>
      <c r="R1055" s="5">
        <f t="shared" si="87"/>
        <v>2.4500000000000028</v>
      </c>
      <c r="S1055" s="6">
        <f t="shared" si="88"/>
        <v>7.6682316118935931E-2</v>
      </c>
      <c r="T1055" s="6">
        <f t="shared" si="89"/>
        <v>-4.1842310694769708E-2</v>
      </c>
    </row>
    <row r="1056" spans="1:20" x14ac:dyDescent="0.25">
      <c r="A1056" s="4" t="s">
        <v>26</v>
      </c>
      <c r="B1056" s="5" t="s">
        <v>16</v>
      </c>
      <c r="C1056" s="5" t="s">
        <v>1823</v>
      </c>
      <c r="D1056" s="5">
        <v>11</v>
      </c>
      <c r="E1056" s="5">
        <v>10.9</v>
      </c>
      <c r="F1056" s="5">
        <v>11.25</v>
      </c>
      <c r="G1056" s="5">
        <v>10.25</v>
      </c>
      <c r="H1056" s="5">
        <v>10.6</v>
      </c>
      <c r="I1056" s="5">
        <v>10.45</v>
      </c>
      <c r="J1056" s="5">
        <v>10.63</v>
      </c>
      <c r="K1056" s="5">
        <v>281153</v>
      </c>
      <c r="L1056" s="5">
        <v>29.88</v>
      </c>
      <c r="M1056" s="5">
        <v>475</v>
      </c>
      <c r="N1056" s="5">
        <v>142833</v>
      </c>
      <c r="O1056" s="5">
        <v>50.8</v>
      </c>
      <c r="P1056" s="5">
        <f t="shared" si="85"/>
        <v>-0.55000000000000071</v>
      </c>
      <c r="Q1056" s="6">
        <f t="shared" si="86"/>
        <v>-5.0000000000000065E-2</v>
      </c>
      <c r="R1056" s="5">
        <f t="shared" si="87"/>
        <v>1</v>
      </c>
      <c r="S1056" s="6">
        <f t="shared" si="88"/>
        <v>9.0909090909090912E-2</v>
      </c>
      <c r="T1056" s="6">
        <f t="shared" si="89"/>
        <v>-1.6802800466744598E-2</v>
      </c>
    </row>
    <row r="1057" spans="1:20" hidden="1" x14ac:dyDescent="0.25">
      <c r="A1057" s="4" t="s">
        <v>1011</v>
      </c>
      <c r="B1057" s="5" t="s">
        <v>16</v>
      </c>
      <c r="C1057" s="5" t="s">
        <v>1823</v>
      </c>
      <c r="D1057" s="5">
        <v>296.55</v>
      </c>
      <c r="E1057" s="5">
        <v>294</v>
      </c>
      <c r="F1057" s="5">
        <v>308.95</v>
      </c>
      <c r="G1057" s="5">
        <v>290</v>
      </c>
      <c r="H1057" s="5">
        <v>300</v>
      </c>
      <c r="I1057" s="5">
        <v>300.25</v>
      </c>
      <c r="J1057" s="5">
        <v>301.95999999999998</v>
      </c>
      <c r="K1057" s="5">
        <v>60002</v>
      </c>
      <c r="L1057" s="5">
        <v>181.18</v>
      </c>
      <c r="M1057" s="5">
        <v>1969</v>
      </c>
      <c r="N1057" s="5">
        <v>17680</v>
      </c>
      <c r="O1057" s="5">
        <v>29.47</v>
      </c>
      <c r="P1057" s="5">
        <f t="shared" si="85"/>
        <v>3.6999999999999886</v>
      </c>
      <c r="Q1057" s="6">
        <f t="shared" si="86"/>
        <v>1.2476816725678599E-2</v>
      </c>
      <c r="R1057" s="5">
        <f t="shared" si="87"/>
        <v>18.949999999999989</v>
      </c>
      <c r="S1057" s="6">
        <f t="shared" si="88"/>
        <v>6.3901534311245956E-2</v>
      </c>
      <c r="T1057" s="6">
        <f t="shared" si="89"/>
        <v>-5.7324840764330521E-3</v>
      </c>
    </row>
    <row r="1058" spans="1:20" hidden="1" x14ac:dyDescent="0.25">
      <c r="A1058" s="4" t="s">
        <v>1012</v>
      </c>
      <c r="B1058" s="5" t="s">
        <v>39</v>
      </c>
      <c r="C1058" s="5" t="s">
        <v>1823</v>
      </c>
      <c r="D1058" s="5">
        <v>7.7</v>
      </c>
      <c r="E1058" s="5">
        <v>7.5</v>
      </c>
      <c r="F1058" s="5">
        <v>7.7</v>
      </c>
      <c r="G1058" s="5">
        <v>7.35</v>
      </c>
      <c r="H1058" s="5">
        <v>7.55</v>
      </c>
      <c r="I1058" s="5">
        <v>7.55</v>
      </c>
      <c r="J1058" s="5">
        <v>7.57</v>
      </c>
      <c r="K1058" s="5">
        <v>7850</v>
      </c>
      <c r="L1058" s="5">
        <v>0.59</v>
      </c>
      <c r="M1058" s="5">
        <v>29</v>
      </c>
      <c r="N1058" s="5" t="s">
        <v>25</v>
      </c>
      <c r="O1058" s="5" t="s">
        <v>25</v>
      </c>
      <c r="P1058" s="5">
        <f t="shared" si="85"/>
        <v>-0.15000000000000036</v>
      </c>
      <c r="Q1058" s="6">
        <f t="shared" si="86"/>
        <v>-1.9480519480519525E-2</v>
      </c>
      <c r="R1058" s="5">
        <f t="shared" si="87"/>
        <v>0.35000000000000053</v>
      </c>
      <c r="S1058" s="6">
        <f t="shared" si="88"/>
        <v>4.5454545454545525E-2</v>
      </c>
      <c r="T1058" s="6">
        <f t="shared" si="89"/>
        <v>-2.6578073089701614E-3</v>
      </c>
    </row>
    <row r="1059" spans="1:20" hidden="1" x14ac:dyDescent="0.25">
      <c r="A1059" s="4" t="s">
        <v>1013</v>
      </c>
      <c r="B1059" s="5" t="s">
        <v>16</v>
      </c>
      <c r="C1059" s="5" t="s">
        <v>1823</v>
      </c>
      <c r="D1059" s="5">
        <v>52.75</v>
      </c>
      <c r="E1059" s="5">
        <v>52</v>
      </c>
      <c r="F1059" s="5">
        <v>52.25</v>
      </c>
      <c r="G1059" s="5">
        <v>48</v>
      </c>
      <c r="H1059" s="5">
        <v>48.9</v>
      </c>
      <c r="I1059" s="5">
        <v>48.95</v>
      </c>
      <c r="J1059" s="5">
        <v>49.75</v>
      </c>
      <c r="K1059" s="5">
        <v>80303</v>
      </c>
      <c r="L1059" s="5">
        <v>39.950000000000003</v>
      </c>
      <c r="M1059" s="5">
        <v>530</v>
      </c>
      <c r="N1059" s="5">
        <v>58663</v>
      </c>
      <c r="O1059" s="5">
        <v>73.05</v>
      </c>
      <c r="P1059" s="5">
        <f t="shared" si="85"/>
        <v>-3.7999999999999972</v>
      </c>
      <c r="Q1059" s="6">
        <f t="shared" si="86"/>
        <v>-7.2037914691943081E-2</v>
      </c>
      <c r="R1059" s="5">
        <f t="shared" si="87"/>
        <v>4.25</v>
      </c>
      <c r="S1059" s="6">
        <f t="shared" si="88"/>
        <v>8.0568720379146919E-2</v>
      </c>
      <c r="T1059" s="6">
        <f t="shared" si="89"/>
        <v>-1.5904572564612269E-2</v>
      </c>
    </row>
    <row r="1060" spans="1:20" x14ac:dyDescent="0.25">
      <c r="A1060" s="4" t="s">
        <v>574</v>
      </c>
      <c r="B1060" s="5" t="s">
        <v>16</v>
      </c>
      <c r="C1060" s="5" t="s">
        <v>1823</v>
      </c>
      <c r="D1060" s="5">
        <v>1009.85</v>
      </c>
      <c r="E1060" s="5">
        <v>1016.4</v>
      </c>
      <c r="F1060" s="5">
        <v>1026.9000000000001</v>
      </c>
      <c r="G1060" s="5">
        <v>995</v>
      </c>
      <c r="H1060" s="5">
        <v>1008</v>
      </c>
      <c r="I1060" s="5">
        <v>1012.5</v>
      </c>
      <c r="J1060" s="5">
        <v>1012.3</v>
      </c>
      <c r="K1060" s="5">
        <v>223058</v>
      </c>
      <c r="L1060" s="5">
        <v>2258.0100000000002</v>
      </c>
      <c r="M1060" s="5">
        <v>15880</v>
      </c>
      <c r="N1060" s="5">
        <v>113408</v>
      </c>
      <c r="O1060" s="5">
        <v>50.84</v>
      </c>
      <c r="P1060" s="5">
        <f t="shared" si="85"/>
        <v>2.6499999999999773</v>
      </c>
      <c r="Q1060" s="6">
        <f t="shared" si="86"/>
        <v>2.624152101797274E-3</v>
      </c>
      <c r="R1060" s="5">
        <f t="shared" si="87"/>
        <v>31.900000000000091</v>
      </c>
      <c r="S1060" s="6">
        <f t="shared" si="88"/>
        <v>3.1588849829182641E-2</v>
      </c>
      <c r="T1060" s="6">
        <f t="shared" si="89"/>
        <v>1.9749185346108964E-4</v>
      </c>
    </row>
    <row r="1061" spans="1:20" hidden="1" x14ac:dyDescent="0.25">
      <c r="A1061" s="4" t="s">
        <v>1015</v>
      </c>
      <c r="B1061" s="5" t="s">
        <v>24</v>
      </c>
      <c r="C1061" s="5" t="s">
        <v>1823</v>
      </c>
      <c r="D1061" s="5">
        <v>9.0500000000000007</v>
      </c>
      <c r="E1061" s="5">
        <v>8.6</v>
      </c>
      <c r="F1061" s="5">
        <v>8.6</v>
      </c>
      <c r="G1061" s="5">
        <v>8.6</v>
      </c>
      <c r="H1061" s="5">
        <v>8.6</v>
      </c>
      <c r="I1061" s="5">
        <v>8.6</v>
      </c>
      <c r="J1061" s="5">
        <v>8.6</v>
      </c>
      <c r="K1061" s="5">
        <v>40597</v>
      </c>
      <c r="L1061" s="5">
        <v>3.49</v>
      </c>
      <c r="M1061" s="5">
        <v>198</v>
      </c>
      <c r="N1061" s="5" t="s">
        <v>25</v>
      </c>
      <c r="O1061" s="5" t="s">
        <v>25</v>
      </c>
      <c r="P1061" s="5">
        <f t="shared" si="85"/>
        <v>-0.45000000000000107</v>
      </c>
      <c r="Q1061" s="6">
        <f t="shared" si="86"/>
        <v>-4.9723756906077464E-2</v>
      </c>
      <c r="R1061" s="5">
        <f t="shared" si="87"/>
        <v>0</v>
      </c>
      <c r="S1061" s="6">
        <f t="shared" si="88"/>
        <v>0</v>
      </c>
      <c r="T1061" s="6">
        <f t="shared" si="89"/>
        <v>0</v>
      </c>
    </row>
    <row r="1062" spans="1:20" hidden="1" x14ac:dyDescent="0.25">
      <c r="A1062" s="4" t="s">
        <v>1016</v>
      </c>
      <c r="B1062" s="5" t="s">
        <v>16</v>
      </c>
      <c r="C1062" s="5" t="s">
        <v>1823</v>
      </c>
      <c r="D1062" s="5">
        <v>16.5</v>
      </c>
      <c r="E1062" s="5">
        <v>16.5</v>
      </c>
      <c r="F1062" s="5">
        <v>16.55</v>
      </c>
      <c r="G1062" s="5">
        <v>15.5</v>
      </c>
      <c r="H1062" s="5">
        <v>15.65</v>
      </c>
      <c r="I1062" s="5">
        <v>15.9</v>
      </c>
      <c r="J1062" s="5">
        <v>16.13</v>
      </c>
      <c r="K1062" s="5">
        <v>4527</v>
      </c>
      <c r="L1062" s="5">
        <v>0.73</v>
      </c>
      <c r="M1062" s="5">
        <v>55</v>
      </c>
      <c r="N1062" s="5">
        <v>3279</v>
      </c>
      <c r="O1062" s="5">
        <v>72.430000000000007</v>
      </c>
      <c r="P1062" s="5">
        <f t="shared" si="85"/>
        <v>-0.59999999999999964</v>
      </c>
      <c r="Q1062" s="6">
        <f t="shared" si="86"/>
        <v>-3.6363636363636341E-2</v>
      </c>
      <c r="R1062" s="5">
        <f t="shared" si="87"/>
        <v>1.0500000000000007</v>
      </c>
      <c r="S1062" s="6">
        <f t="shared" si="88"/>
        <v>6.3636363636363685E-2</v>
      </c>
      <c r="T1062" s="6">
        <f t="shared" si="89"/>
        <v>-1.4274631497284633E-2</v>
      </c>
    </row>
    <row r="1063" spans="1:20" hidden="1" x14ac:dyDescent="0.25">
      <c r="A1063" s="4" t="s">
        <v>1017</v>
      </c>
      <c r="B1063" s="5" t="s">
        <v>16</v>
      </c>
      <c r="C1063" s="5" t="s">
        <v>1823</v>
      </c>
      <c r="D1063" s="5">
        <v>19.8</v>
      </c>
      <c r="E1063" s="5">
        <v>19.45</v>
      </c>
      <c r="F1063" s="5">
        <v>19.45</v>
      </c>
      <c r="G1063" s="5">
        <v>18</v>
      </c>
      <c r="H1063" s="5">
        <v>18.8</v>
      </c>
      <c r="I1063" s="5">
        <v>18.8</v>
      </c>
      <c r="J1063" s="5">
        <v>18.760000000000002</v>
      </c>
      <c r="K1063" s="5">
        <v>2479</v>
      </c>
      <c r="L1063" s="5">
        <v>0.46</v>
      </c>
      <c r="M1063" s="5">
        <v>74</v>
      </c>
      <c r="N1063" s="5">
        <v>1192</v>
      </c>
      <c r="O1063" s="5">
        <v>48.08</v>
      </c>
      <c r="P1063" s="5">
        <f t="shared" si="85"/>
        <v>-1</v>
      </c>
      <c r="Q1063" s="6">
        <f t="shared" si="86"/>
        <v>-5.0505050505050504E-2</v>
      </c>
      <c r="R1063" s="5">
        <f t="shared" si="87"/>
        <v>1.4499999999999993</v>
      </c>
      <c r="S1063" s="6">
        <f t="shared" si="88"/>
        <v>7.323232323232319E-2</v>
      </c>
      <c r="T1063" s="6">
        <f t="shared" si="89"/>
        <v>2.1136063408189773E-3</v>
      </c>
    </row>
    <row r="1064" spans="1:20" hidden="1" x14ac:dyDescent="0.25">
      <c r="A1064" s="4" t="s">
        <v>1018</v>
      </c>
      <c r="B1064" s="5" t="s">
        <v>16</v>
      </c>
      <c r="C1064" s="5" t="s">
        <v>1823</v>
      </c>
      <c r="D1064" s="5">
        <v>82.35</v>
      </c>
      <c r="E1064" s="5">
        <v>80</v>
      </c>
      <c r="F1064" s="5">
        <v>82.05</v>
      </c>
      <c r="G1064" s="5">
        <v>76.400000000000006</v>
      </c>
      <c r="H1064" s="5">
        <v>79.849999999999994</v>
      </c>
      <c r="I1064" s="5">
        <v>80.45</v>
      </c>
      <c r="J1064" s="5">
        <v>80.55</v>
      </c>
      <c r="K1064" s="5">
        <v>3564</v>
      </c>
      <c r="L1064" s="5">
        <v>2.87</v>
      </c>
      <c r="M1064" s="5">
        <v>111</v>
      </c>
      <c r="N1064" s="5">
        <v>2598</v>
      </c>
      <c r="O1064" s="5">
        <v>72.900000000000006</v>
      </c>
      <c r="P1064" s="5">
        <f t="shared" si="85"/>
        <v>-1.8999999999999915</v>
      </c>
      <c r="Q1064" s="6">
        <f t="shared" si="86"/>
        <v>-2.3072252580449201E-2</v>
      </c>
      <c r="R1064" s="5">
        <f t="shared" si="87"/>
        <v>5.6499999999999915</v>
      </c>
      <c r="S1064" s="6">
        <f t="shared" si="88"/>
        <v>6.8609593199757041E-2</v>
      </c>
      <c r="T1064" s="6">
        <f t="shared" si="89"/>
        <v>-1.2543116964564981E-3</v>
      </c>
    </row>
    <row r="1065" spans="1:20" x14ac:dyDescent="0.25">
      <c r="A1065" s="4" t="s">
        <v>364</v>
      </c>
      <c r="B1065" s="5" t="s">
        <v>16</v>
      </c>
      <c r="C1065" s="5" t="s">
        <v>1823</v>
      </c>
      <c r="D1065" s="5">
        <v>28.1</v>
      </c>
      <c r="E1065" s="5">
        <v>28.05</v>
      </c>
      <c r="F1065" s="5">
        <v>29</v>
      </c>
      <c r="G1065" s="5">
        <v>27.55</v>
      </c>
      <c r="H1065" s="5">
        <v>27.8</v>
      </c>
      <c r="I1065" s="5">
        <v>27.85</v>
      </c>
      <c r="J1065" s="5">
        <v>28.08</v>
      </c>
      <c r="K1065" s="5">
        <v>530954</v>
      </c>
      <c r="L1065" s="5">
        <v>149.12</v>
      </c>
      <c r="M1065" s="5">
        <v>1726</v>
      </c>
      <c r="N1065" s="5">
        <v>270430</v>
      </c>
      <c r="O1065" s="5">
        <v>50.93</v>
      </c>
      <c r="P1065" s="5">
        <f t="shared" si="85"/>
        <v>-0.25</v>
      </c>
      <c r="Q1065" s="6">
        <f t="shared" si="86"/>
        <v>-8.8967971530249101E-3</v>
      </c>
      <c r="R1065" s="5">
        <f t="shared" si="87"/>
        <v>1.4499999999999993</v>
      </c>
      <c r="S1065" s="6">
        <f t="shared" si="88"/>
        <v>5.1601423487544457E-2</v>
      </c>
      <c r="T1065" s="6">
        <f t="shared" si="89"/>
        <v>-8.1814139617606713E-3</v>
      </c>
    </row>
    <row r="1066" spans="1:20" hidden="1" x14ac:dyDescent="0.25">
      <c r="A1066" s="4" t="s">
        <v>1020</v>
      </c>
      <c r="B1066" s="5" t="s">
        <v>28</v>
      </c>
      <c r="C1066" s="5" t="s">
        <v>1823</v>
      </c>
      <c r="D1066" s="5">
        <v>103.5</v>
      </c>
      <c r="E1066" s="5">
        <v>103</v>
      </c>
      <c r="F1066" s="5">
        <v>104</v>
      </c>
      <c r="G1066" s="5">
        <v>103</v>
      </c>
      <c r="H1066" s="5">
        <v>103.25</v>
      </c>
      <c r="I1066" s="5">
        <v>103.25</v>
      </c>
      <c r="J1066" s="5">
        <v>103.3</v>
      </c>
      <c r="K1066" s="5">
        <v>10000</v>
      </c>
      <c r="L1066" s="5">
        <v>10.33</v>
      </c>
      <c r="M1066" s="5">
        <v>4</v>
      </c>
      <c r="N1066" s="5">
        <v>4000</v>
      </c>
      <c r="O1066" s="5">
        <v>40</v>
      </c>
      <c r="P1066" s="5">
        <f t="shared" si="85"/>
        <v>-0.25</v>
      </c>
      <c r="Q1066" s="6">
        <f t="shared" si="86"/>
        <v>-2.4154589371980675E-3</v>
      </c>
      <c r="R1066" s="5">
        <f t="shared" si="87"/>
        <v>1</v>
      </c>
      <c r="S1066" s="6">
        <f t="shared" si="88"/>
        <v>9.6618357487922701E-3</v>
      </c>
      <c r="T1066" s="6">
        <f t="shared" si="89"/>
        <v>-4.8396854204473959E-4</v>
      </c>
    </row>
    <row r="1067" spans="1:20" x14ac:dyDescent="0.25">
      <c r="A1067" s="4" t="s">
        <v>1253</v>
      </c>
      <c r="B1067" s="5" t="s">
        <v>16</v>
      </c>
      <c r="C1067" s="5" t="s">
        <v>1823</v>
      </c>
      <c r="D1067" s="5">
        <v>132.30000000000001</v>
      </c>
      <c r="E1067" s="5">
        <v>129.5</v>
      </c>
      <c r="F1067" s="5">
        <v>154</v>
      </c>
      <c r="G1067" s="5">
        <v>129.5</v>
      </c>
      <c r="H1067" s="5">
        <v>142.69999999999999</v>
      </c>
      <c r="I1067" s="5">
        <v>143.25</v>
      </c>
      <c r="J1067" s="5">
        <v>145.82</v>
      </c>
      <c r="K1067" s="5">
        <v>307026</v>
      </c>
      <c r="L1067" s="5">
        <v>447.7</v>
      </c>
      <c r="M1067" s="5">
        <v>6256</v>
      </c>
      <c r="N1067" s="5">
        <v>156678</v>
      </c>
      <c r="O1067" s="5">
        <v>51.03</v>
      </c>
      <c r="P1067" s="5">
        <f t="shared" si="85"/>
        <v>10.949999999999989</v>
      </c>
      <c r="Q1067" s="6">
        <f t="shared" si="86"/>
        <v>8.2766439909296954E-2</v>
      </c>
      <c r="R1067" s="5">
        <f t="shared" si="87"/>
        <v>24.5</v>
      </c>
      <c r="S1067" s="6">
        <f t="shared" si="88"/>
        <v>0.18518518518518517</v>
      </c>
      <c r="T1067" s="6">
        <f t="shared" si="89"/>
        <v>-1.8480898876404445E-2</v>
      </c>
    </row>
    <row r="1068" spans="1:20" x14ac:dyDescent="0.25">
      <c r="A1068" s="4" t="s">
        <v>978</v>
      </c>
      <c r="B1068" s="5" t="s">
        <v>16</v>
      </c>
      <c r="C1068" s="5" t="s">
        <v>1823</v>
      </c>
      <c r="D1068" s="5">
        <v>342.6</v>
      </c>
      <c r="E1068" s="5">
        <v>341</v>
      </c>
      <c r="F1068" s="5">
        <v>346.75</v>
      </c>
      <c r="G1068" s="5">
        <v>334.4</v>
      </c>
      <c r="H1068" s="5">
        <v>338.35</v>
      </c>
      <c r="I1068" s="5">
        <v>337.3</v>
      </c>
      <c r="J1068" s="5">
        <v>338.18</v>
      </c>
      <c r="K1068" s="5">
        <v>1527378</v>
      </c>
      <c r="L1068" s="5">
        <v>5165.22</v>
      </c>
      <c r="M1068" s="5">
        <v>36594</v>
      </c>
      <c r="N1068" s="5">
        <v>783313</v>
      </c>
      <c r="O1068" s="5">
        <v>51.28</v>
      </c>
      <c r="P1068" s="5">
        <f t="shared" si="85"/>
        <v>-5.3000000000000114</v>
      </c>
      <c r="Q1068" s="6">
        <f t="shared" si="86"/>
        <v>-1.5469935785172244E-2</v>
      </c>
      <c r="R1068" s="5">
        <f t="shared" si="87"/>
        <v>12.350000000000023</v>
      </c>
      <c r="S1068" s="6">
        <f t="shared" si="88"/>
        <v>3.6047869235259843E-2</v>
      </c>
      <c r="T1068" s="6">
        <f t="shared" si="89"/>
        <v>-2.5892824303946314E-3</v>
      </c>
    </row>
    <row r="1069" spans="1:20" hidden="1" x14ac:dyDescent="0.25">
      <c r="A1069" s="4" t="s">
        <v>1023</v>
      </c>
      <c r="B1069" s="5" t="s">
        <v>16</v>
      </c>
      <c r="C1069" s="5" t="s">
        <v>1823</v>
      </c>
      <c r="D1069" s="5">
        <v>707.3</v>
      </c>
      <c r="E1069" s="5">
        <v>695.3</v>
      </c>
      <c r="F1069" s="5">
        <v>707</v>
      </c>
      <c r="G1069" s="5">
        <v>673.45</v>
      </c>
      <c r="H1069" s="5">
        <v>683</v>
      </c>
      <c r="I1069" s="5">
        <v>680.65</v>
      </c>
      <c r="J1069" s="5">
        <v>691.25</v>
      </c>
      <c r="K1069" s="5">
        <v>8133</v>
      </c>
      <c r="L1069" s="5">
        <v>56.22</v>
      </c>
      <c r="M1069" s="5">
        <v>769</v>
      </c>
      <c r="N1069" s="5">
        <v>4398</v>
      </c>
      <c r="O1069" s="5">
        <v>54.08</v>
      </c>
      <c r="P1069" s="5">
        <f t="shared" si="85"/>
        <v>-26.649999999999977</v>
      </c>
      <c r="Q1069" s="6">
        <f t="shared" si="86"/>
        <v>-3.767849568782692E-2</v>
      </c>
      <c r="R1069" s="5">
        <f t="shared" si="87"/>
        <v>33.549999999999955</v>
      </c>
      <c r="S1069" s="6">
        <f t="shared" si="88"/>
        <v>4.7433903576982829E-2</v>
      </c>
      <c r="T1069" s="6">
        <f t="shared" si="89"/>
        <v>-1.5382382818168658E-2</v>
      </c>
    </row>
    <row r="1070" spans="1:20" hidden="1" x14ac:dyDescent="0.25">
      <c r="A1070" s="4" t="s">
        <v>1847</v>
      </c>
      <c r="B1070" s="5" t="s">
        <v>39</v>
      </c>
      <c r="C1070" s="5" t="s">
        <v>1823</v>
      </c>
      <c r="D1070" s="5">
        <v>47</v>
      </c>
      <c r="E1070" s="5">
        <v>44.65</v>
      </c>
      <c r="F1070" s="5">
        <v>44.65</v>
      </c>
      <c r="G1070" s="5">
        <v>44.65</v>
      </c>
      <c r="H1070" s="5">
        <v>44.65</v>
      </c>
      <c r="I1070" s="5">
        <v>44.65</v>
      </c>
      <c r="J1070" s="5">
        <v>44.65</v>
      </c>
      <c r="K1070" s="5">
        <v>1</v>
      </c>
      <c r="L1070" s="5">
        <v>0</v>
      </c>
      <c r="M1070" s="5">
        <v>1</v>
      </c>
      <c r="N1070" s="5" t="s">
        <v>25</v>
      </c>
      <c r="O1070" s="5" t="s">
        <v>25</v>
      </c>
      <c r="P1070" s="5">
        <f t="shared" si="85"/>
        <v>-2.3500000000000014</v>
      </c>
      <c r="Q1070" s="6">
        <f t="shared" si="86"/>
        <v>-5.0000000000000031E-2</v>
      </c>
      <c r="R1070" s="5">
        <f t="shared" si="87"/>
        <v>0</v>
      </c>
      <c r="S1070" s="6">
        <f t="shared" si="88"/>
        <v>0</v>
      </c>
      <c r="T1070" s="6">
        <f t="shared" si="89"/>
        <v>0</v>
      </c>
    </row>
    <row r="1071" spans="1:20" hidden="1" x14ac:dyDescent="0.25">
      <c r="A1071" s="4" t="s">
        <v>1024</v>
      </c>
      <c r="B1071" s="5" t="s">
        <v>16</v>
      </c>
      <c r="C1071" s="5" t="s">
        <v>1823</v>
      </c>
      <c r="D1071" s="5">
        <v>359.15</v>
      </c>
      <c r="E1071" s="5">
        <v>359</v>
      </c>
      <c r="F1071" s="5">
        <v>362.25</v>
      </c>
      <c r="G1071" s="5">
        <v>350</v>
      </c>
      <c r="H1071" s="5">
        <v>350</v>
      </c>
      <c r="I1071" s="5">
        <v>351.5</v>
      </c>
      <c r="J1071" s="5">
        <v>353.82</v>
      </c>
      <c r="K1071" s="5">
        <v>26079</v>
      </c>
      <c r="L1071" s="5">
        <v>92.27</v>
      </c>
      <c r="M1071" s="5">
        <v>1751</v>
      </c>
      <c r="N1071" s="5">
        <v>9350</v>
      </c>
      <c r="O1071" s="5">
        <v>35.85</v>
      </c>
      <c r="P1071" s="5">
        <f t="shared" si="85"/>
        <v>-7.6499999999999773</v>
      </c>
      <c r="Q1071" s="6">
        <f t="shared" si="86"/>
        <v>-2.1300292356953857E-2</v>
      </c>
      <c r="R1071" s="5">
        <f t="shared" si="87"/>
        <v>12.25</v>
      </c>
      <c r="S1071" s="6">
        <f t="shared" si="88"/>
        <v>3.410831129054713E-2</v>
      </c>
      <c r="T1071" s="6">
        <f t="shared" si="89"/>
        <v>-6.5225795115093814E-3</v>
      </c>
    </row>
    <row r="1072" spans="1:20" hidden="1" x14ac:dyDescent="0.25">
      <c r="A1072" s="4" t="s">
        <v>1025</v>
      </c>
      <c r="B1072" s="5" t="s">
        <v>16</v>
      </c>
      <c r="C1072" s="5" t="s">
        <v>1823</v>
      </c>
      <c r="D1072" s="5">
        <v>570.20000000000005</v>
      </c>
      <c r="E1072" s="5">
        <v>575.04999999999995</v>
      </c>
      <c r="F1072" s="5">
        <v>594</v>
      </c>
      <c r="G1072" s="5">
        <v>559.79999999999995</v>
      </c>
      <c r="H1072" s="5">
        <v>570</v>
      </c>
      <c r="I1072" s="5">
        <v>577.1</v>
      </c>
      <c r="J1072" s="5">
        <v>573.42999999999995</v>
      </c>
      <c r="K1072" s="5">
        <v>4071</v>
      </c>
      <c r="L1072" s="5">
        <v>23.34</v>
      </c>
      <c r="M1072" s="5">
        <v>586</v>
      </c>
      <c r="N1072" s="5">
        <v>1170</v>
      </c>
      <c r="O1072" s="5">
        <v>28.74</v>
      </c>
      <c r="P1072" s="5">
        <f t="shared" si="85"/>
        <v>6.8999999999999773</v>
      </c>
      <c r="Q1072" s="6">
        <f t="shared" si="86"/>
        <v>1.2101017186951906E-2</v>
      </c>
      <c r="R1072" s="5">
        <f t="shared" si="87"/>
        <v>34.200000000000045</v>
      </c>
      <c r="S1072" s="6">
        <f t="shared" si="88"/>
        <v>5.9978954752718416E-2</v>
      </c>
      <c r="T1072" s="6">
        <f t="shared" si="89"/>
        <v>6.3661397688589486E-3</v>
      </c>
    </row>
    <row r="1073" spans="1:20" x14ac:dyDescent="0.25">
      <c r="A1073" s="4" t="s">
        <v>563</v>
      </c>
      <c r="B1073" s="5" t="s">
        <v>16</v>
      </c>
      <c r="C1073" s="5" t="s">
        <v>1823</v>
      </c>
      <c r="D1073" s="5">
        <v>66.75</v>
      </c>
      <c r="E1073" s="5">
        <v>66.7</v>
      </c>
      <c r="F1073" s="5">
        <v>68</v>
      </c>
      <c r="G1073" s="5">
        <v>65.349999999999994</v>
      </c>
      <c r="H1073" s="5">
        <v>65.95</v>
      </c>
      <c r="I1073" s="5">
        <v>65.599999999999994</v>
      </c>
      <c r="J1073" s="5">
        <v>66.62</v>
      </c>
      <c r="K1073" s="5">
        <v>128427</v>
      </c>
      <c r="L1073" s="5">
        <v>85.55</v>
      </c>
      <c r="M1073" s="5">
        <v>1041</v>
      </c>
      <c r="N1073" s="5">
        <v>66047</v>
      </c>
      <c r="O1073" s="5">
        <v>51.43</v>
      </c>
      <c r="P1073" s="5">
        <f t="shared" si="85"/>
        <v>-1.1500000000000057</v>
      </c>
      <c r="Q1073" s="6">
        <f t="shared" si="86"/>
        <v>-1.7228464419475741E-2</v>
      </c>
      <c r="R1073" s="5">
        <f t="shared" si="87"/>
        <v>2.6500000000000057</v>
      </c>
      <c r="S1073" s="6">
        <f t="shared" si="88"/>
        <v>3.9700374531835288E-2</v>
      </c>
      <c r="T1073" s="6">
        <f t="shared" si="89"/>
        <v>-1.5358554488989427E-2</v>
      </c>
    </row>
    <row r="1074" spans="1:20" x14ac:dyDescent="0.25">
      <c r="A1074" s="4" t="s">
        <v>1540</v>
      </c>
      <c r="B1074" s="5" t="s">
        <v>16</v>
      </c>
      <c r="C1074" s="5" t="s">
        <v>1823</v>
      </c>
      <c r="D1074" s="5">
        <v>1165.6500000000001</v>
      </c>
      <c r="E1074" s="5">
        <v>1150.5</v>
      </c>
      <c r="F1074" s="5">
        <v>1161.75</v>
      </c>
      <c r="G1074" s="5">
        <v>1100.5</v>
      </c>
      <c r="H1074" s="5">
        <v>1111.95</v>
      </c>
      <c r="I1074" s="5">
        <v>1114.75</v>
      </c>
      <c r="J1074" s="5">
        <v>1126.75</v>
      </c>
      <c r="K1074" s="5">
        <v>1375869</v>
      </c>
      <c r="L1074" s="5">
        <v>15502.54</v>
      </c>
      <c r="M1074" s="5">
        <v>47864</v>
      </c>
      <c r="N1074" s="5">
        <v>708239</v>
      </c>
      <c r="O1074" s="5">
        <v>51.48</v>
      </c>
      <c r="P1074" s="5">
        <f t="shared" si="85"/>
        <v>-50.900000000000091</v>
      </c>
      <c r="Q1074" s="6">
        <f t="shared" si="86"/>
        <v>-4.3666623772144371E-2</v>
      </c>
      <c r="R1074" s="5">
        <f t="shared" si="87"/>
        <v>61.25</v>
      </c>
      <c r="S1074" s="6">
        <f t="shared" si="88"/>
        <v>5.2545789902629432E-2</v>
      </c>
      <c r="T1074" s="6">
        <f t="shared" si="89"/>
        <v>-1.0601877415792381E-2</v>
      </c>
    </row>
    <row r="1075" spans="1:20" hidden="1" x14ac:dyDescent="0.25">
      <c r="A1075" s="4" t="s">
        <v>1028</v>
      </c>
      <c r="B1075" s="5" t="s">
        <v>16</v>
      </c>
      <c r="C1075" s="5" t="s">
        <v>1823</v>
      </c>
      <c r="D1075" s="5">
        <v>44.65</v>
      </c>
      <c r="E1075" s="5">
        <v>44.6</v>
      </c>
      <c r="F1075" s="5">
        <v>45.4</v>
      </c>
      <c r="G1075" s="5">
        <v>43.7</v>
      </c>
      <c r="H1075" s="5">
        <v>44</v>
      </c>
      <c r="I1075" s="5">
        <v>44.5</v>
      </c>
      <c r="J1075" s="5">
        <v>44.46</v>
      </c>
      <c r="K1075" s="5">
        <v>17199</v>
      </c>
      <c r="L1075" s="5">
        <v>7.65</v>
      </c>
      <c r="M1075" s="5">
        <v>819</v>
      </c>
      <c r="N1075" s="5">
        <v>9448</v>
      </c>
      <c r="O1075" s="5">
        <v>54.93</v>
      </c>
      <c r="P1075" s="5">
        <f t="shared" si="85"/>
        <v>-0.14999999999999858</v>
      </c>
      <c r="Q1075" s="6">
        <f t="shared" si="86"/>
        <v>-3.3594624860022078E-3</v>
      </c>
      <c r="R1075" s="5">
        <f t="shared" si="87"/>
        <v>1.6999999999999957</v>
      </c>
      <c r="S1075" s="6">
        <f t="shared" si="88"/>
        <v>3.8073908174691952E-2</v>
      </c>
      <c r="T1075" s="6">
        <f t="shared" si="89"/>
        <v>8.9786756453421213E-4</v>
      </c>
    </row>
    <row r="1076" spans="1:20" x14ac:dyDescent="0.25">
      <c r="A1076" s="4" t="s">
        <v>497</v>
      </c>
      <c r="B1076" s="5" t="s">
        <v>16</v>
      </c>
      <c r="C1076" s="5" t="s">
        <v>1823</v>
      </c>
      <c r="D1076" s="5">
        <v>30.05</v>
      </c>
      <c r="E1076" s="5">
        <v>29.7</v>
      </c>
      <c r="F1076" s="5">
        <v>30.7</v>
      </c>
      <c r="G1076" s="5">
        <v>28.4</v>
      </c>
      <c r="H1076" s="5">
        <v>28.75</v>
      </c>
      <c r="I1076" s="5">
        <v>29.15</v>
      </c>
      <c r="J1076" s="5">
        <v>29.78</v>
      </c>
      <c r="K1076" s="5">
        <v>127892</v>
      </c>
      <c r="L1076" s="5">
        <v>38.08</v>
      </c>
      <c r="M1076" s="5">
        <v>865</v>
      </c>
      <c r="N1076" s="5">
        <v>65884</v>
      </c>
      <c r="O1076" s="5">
        <v>51.52</v>
      </c>
      <c r="P1076" s="5">
        <f t="shared" si="85"/>
        <v>-0.90000000000000213</v>
      </c>
      <c r="Q1076" s="6">
        <f t="shared" si="86"/>
        <v>-2.9950083194675611E-2</v>
      </c>
      <c r="R1076" s="5">
        <f t="shared" si="87"/>
        <v>2.3000000000000007</v>
      </c>
      <c r="S1076" s="6">
        <f t="shared" si="88"/>
        <v>7.6539101497504175E-2</v>
      </c>
      <c r="T1076" s="6">
        <f t="shared" si="89"/>
        <v>-2.1364985163204838E-2</v>
      </c>
    </row>
    <row r="1077" spans="1:20" hidden="1" x14ac:dyDescent="0.25">
      <c r="A1077" s="4" t="s">
        <v>1030</v>
      </c>
      <c r="B1077" s="5" t="s">
        <v>16</v>
      </c>
      <c r="C1077" s="5" t="s">
        <v>1823</v>
      </c>
      <c r="D1077" s="5">
        <v>358.8</v>
      </c>
      <c r="E1077" s="5">
        <v>368</v>
      </c>
      <c r="F1077" s="5">
        <v>368</v>
      </c>
      <c r="G1077" s="5">
        <v>355</v>
      </c>
      <c r="H1077" s="5">
        <v>355</v>
      </c>
      <c r="I1077" s="5">
        <v>355.7</v>
      </c>
      <c r="J1077" s="5">
        <v>360.31</v>
      </c>
      <c r="K1077" s="5">
        <v>4181</v>
      </c>
      <c r="L1077" s="5">
        <v>15.06</v>
      </c>
      <c r="M1077" s="5">
        <v>186</v>
      </c>
      <c r="N1077" s="5">
        <v>497</v>
      </c>
      <c r="O1077" s="5">
        <v>11.89</v>
      </c>
      <c r="P1077" s="5">
        <f t="shared" si="85"/>
        <v>-3.1000000000000227</v>
      </c>
      <c r="Q1077" s="6">
        <f t="shared" si="86"/>
        <v>-8.6399108138239204E-3</v>
      </c>
      <c r="R1077" s="5">
        <f t="shared" si="87"/>
        <v>13</v>
      </c>
      <c r="S1077" s="6">
        <f t="shared" si="88"/>
        <v>3.6231884057971016E-2</v>
      </c>
      <c r="T1077" s="6">
        <f t="shared" si="89"/>
        <v>-1.2746250086403576E-2</v>
      </c>
    </row>
    <row r="1078" spans="1:20" hidden="1" x14ac:dyDescent="0.25">
      <c r="A1078" s="4" t="s">
        <v>1031</v>
      </c>
      <c r="B1078" s="5" t="s">
        <v>39</v>
      </c>
      <c r="C1078" s="5" t="s">
        <v>1823</v>
      </c>
      <c r="D1078" s="5">
        <v>3.45</v>
      </c>
      <c r="E1078" s="5">
        <v>3.6</v>
      </c>
      <c r="F1078" s="5">
        <v>3.6</v>
      </c>
      <c r="G1078" s="5">
        <v>3.4</v>
      </c>
      <c r="H1078" s="5">
        <v>3.6</v>
      </c>
      <c r="I1078" s="5">
        <v>3.6</v>
      </c>
      <c r="J1078" s="5">
        <v>3.6</v>
      </c>
      <c r="K1078" s="5">
        <v>9085</v>
      </c>
      <c r="L1078" s="5">
        <v>0.33</v>
      </c>
      <c r="M1078" s="5">
        <v>20</v>
      </c>
      <c r="N1078" s="5" t="s">
        <v>25</v>
      </c>
      <c r="O1078" s="5" t="s">
        <v>25</v>
      </c>
      <c r="P1078" s="5">
        <f t="shared" si="85"/>
        <v>0.14999999999999991</v>
      </c>
      <c r="Q1078" s="6">
        <f t="shared" si="86"/>
        <v>4.3478260869565188E-2</v>
      </c>
      <c r="R1078" s="5">
        <f t="shared" si="87"/>
        <v>0.20000000000000018</v>
      </c>
      <c r="S1078" s="6">
        <f t="shared" si="88"/>
        <v>5.7971014492753672E-2</v>
      </c>
      <c r="T1078" s="6">
        <f t="shared" si="89"/>
        <v>0</v>
      </c>
    </row>
    <row r="1079" spans="1:20" hidden="1" x14ac:dyDescent="0.25">
      <c r="A1079" s="4" t="s">
        <v>1032</v>
      </c>
      <c r="B1079" s="5" t="s">
        <v>39</v>
      </c>
      <c r="C1079" s="5" t="s">
        <v>1823</v>
      </c>
      <c r="D1079" s="5">
        <v>6.3</v>
      </c>
      <c r="E1079" s="5">
        <v>6.6</v>
      </c>
      <c r="F1079" s="5">
        <v>6.6</v>
      </c>
      <c r="G1079" s="5">
        <v>6</v>
      </c>
      <c r="H1079" s="5">
        <v>6.2</v>
      </c>
      <c r="I1079" s="5">
        <v>6.2</v>
      </c>
      <c r="J1079" s="5">
        <v>6.26</v>
      </c>
      <c r="K1079" s="5">
        <v>13385</v>
      </c>
      <c r="L1079" s="5">
        <v>0.84</v>
      </c>
      <c r="M1079" s="5">
        <v>41</v>
      </c>
      <c r="N1079" s="5" t="s">
        <v>25</v>
      </c>
      <c r="O1079" s="5" t="s">
        <v>25</v>
      </c>
      <c r="P1079" s="5">
        <f t="shared" si="85"/>
        <v>-9.9999999999999645E-2</v>
      </c>
      <c r="Q1079" s="6">
        <f t="shared" si="86"/>
        <v>-1.5873015873015817E-2</v>
      </c>
      <c r="R1079" s="5">
        <f t="shared" si="87"/>
        <v>0.59999999999999964</v>
      </c>
      <c r="S1079" s="6">
        <f t="shared" si="88"/>
        <v>9.5238095238095191E-2</v>
      </c>
      <c r="T1079" s="6">
        <f t="shared" si="89"/>
        <v>-9.4488188976377344E-3</v>
      </c>
    </row>
    <row r="1080" spans="1:20" hidden="1" x14ac:dyDescent="0.25">
      <c r="A1080" s="4" t="s">
        <v>1033</v>
      </c>
      <c r="B1080" s="5" t="s">
        <v>16</v>
      </c>
      <c r="C1080" s="5" t="s">
        <v>1823</v>
      </c>
      <c r="D1080" s="5">
        <v>18.3</v>
      </c>
      <c r="E1080" s="5">
        <v>18.95</v>
      </c>
      <c r="F1080" s="5">
        <v>18.95</v>
      </c>
      <c r="G1080" s="5">
        <v>18.2</v>
      </c>
      <c r="H1080" s="5">
        <v>18.25</v>
      </c>
      <c r="I1080" s="5">
        <v>18.25</v>
      </c>
      <c r="J1080" s="5">
        <v>18.46</v>
      </c>
      <c r="K1080" s="5">
        <v>6051</v>
      </c>
      <c r="L1080" s="5">
        <v>1.1200000000000001</v>
      </c>
      <c r="M1080" s="5">
        <v>95</v>
      </c>
      <c r="N1080" s="5">
        <v>3399</v>
      </c>
      <c r="O1080" s="5">
        <v>56.17</v>
      </c>
      <c r="P1080" s="5">
        <f t="shared" si="85"/>
        <v>-5.0000000000000711E-2</v>
      </c>
      <c r="Q1080" s="6">
        <f t="shared" si="86"/>
        <v>-2.7322404371585085E-3</v>
      </c>
      <c r="R1080" s="5">
        <f t="shared" si="87"/>
        <v>0.75</v>
      </c>
      <c r="S1080" s="6">
        <f t="shared" si="88"/>
        <v>4.0983606557377046E-2</v>
      </c>
      <c r="T1080" s="6">
        <f t="shared" si="89"/>
        <v>-1.1297915265635554E-2</v>
      </c>
    </row>
    <row r="1081" spans="1:20" hidden="1" x14ac:dyDescent="0.25">
      <c r="A1081" s="4" t="s">
        <v>1034</v>
      </c>
      <c r="B1081" s="5" t="s">
        <v>16</v>
      </c>
      <c r="C1081" s="5" t="s">
        <v>1823</v>
      </c>
      <c r="D1081" s="5">
        <v>650.25</v>
      </c>
      <c r="E1081" s="5">
        <v>651.1</v>
      </c>
      <c r="F1081" s="5">
        <v>659</v>
      </c>
      <c r="G1081" s="5">
        <v>647.25</v>
      </c>
      <c r="H1081" s="5">
        <v>651.4</v>
      </c>
      <c r="I1081" s="5">
        <v>650.79999999999995</v>
      </c>
      <c r="J1081" s="5">
        <v>651.5</v>
      </c>
      <c r="K1081" s="5">
        <v>2905402</v>
      </c>
      <c r="L1081" s="5">
        <v>18928.82</v>
      </c>
      <c r="M1081" s="5">
        <v>62946</v>
      </c>
      <c r="N1081" s="5">
        <v>2009797</v>
      </c>
      <c r="O1081" s="5">
        <v>69.17</v>
      </c>
      <c r="P1081" s="5">
        <f t="shared" si="85"/>
        <v>0.54999999999995453</v>
      </c>
      <c r="Q1081" s="6">
        <f t="shared" si="86"/>
        <v>8.4582852748935717E-4</v>
      </c>
      <c r="R1081" s="5">
        <f t="shared" si="87"/>
        <v>11.75</v>
      </c>
      <c r="S1081" s="6">
        <f t="shared" si="88"/>
        <v>1.8069973087274125E-2</v>
      </c>
      <c r="T1081" s="6">
        <f t="shared" si="89"/>
        <v>-1.0735578858578618E-3</v>
      </c>
    </row>
    <row r="1082" spans="1:20" hidden="1" x14ac:dyDescent="0.25">
      <c r="A1082" s="4" t="s">
        <v>1035</v>
      </c>
      <c r="B1082" s="5" t="s">
        <v>28</v>
      </c>
      <c r="C1082" s="5" t="s">
        <v>1823</v>
      </c>
      <c r="D1082" s="5">
        <v>237</v>
      </c>
      <c r="E1082" s="5">
        <v>225.65</v>
      </c>
      <c r="F1082" s="5">
        <v>234.6</v>
      </c>
      <c r="G1082" s="5">
        <v>225.15</v>
      </c>
      <c r="H1082" s="5">
        <v>231</v>
      </c>
      <c r="I1082" s="5">
        <v>228.2</v>
      </c>
      <c r="J1082" s="5">
        <v>228.22</v>
      </c>
      <c r="K1082" s="5">
        <v>10800</v>
      </c>
      <c r="L1082" s="5">
        <v>24.65</v>
      </c>
      <c r="M1082" s="5">
        <v>18</v>
      </c>
      <c r="N1082" s="5">
        <v>6600</v>
      </c>
      <c r="O1082" s="5">
        <v>61.11</v>
      </c>
      <c r="P1082" s="5">
        <f t="shared" si="85"/>
        <v>-8.8000000000000114</v>
      </c>
      <c r="Q1082" s="6">
        <f t="shared" si="86"/>
        <v>-3.7130801687763761E-2</v>
      </c>
      <c r="R1082" s="5">
        <f t="shared" si="87"/>
        <v>9.4499999999999886</v>
      </c>
      <c r="S1082" s="6">
        <f t="shared" si="88"/>
        <v>3.9873417721518936E-2</v>
      </c>
      <c r="T1082" s="6">
        <f t="shared" si="89"/>
        <v>-8.7565674255736577E-5</v>
      </c>
    </row>
    <row r="1083" spans="1:20" hidden="1" x14ac:dyDescent="0.25">
      <c r="A1083" s="4" t="s">
        <v>1036</v>
      </c>
      <c r="B1083" s="5" t="s">
        <v>16</v>
      </c>
      <c r="C1083" s="5" t="s">
        <v>1823</v>
      </c>
      <c r="D1083" s="5">
        <v>9.15</v>
      </c>
      <c r="E1083" s="5">
        <v>9.3000000000000007</v>
      </c>
      <c r="F1083" s="5">
        <v>9.6</v>
      </c>
      <c r="G1083" s="5">
        <v>9.0500000000000007</v>
      </c>
      <c r="H1083" s="5">
        <v>9.3000000000000007</v>
      </c>
      <c r="I1083" s="5">
        <v>9.3000000000000007</v>
      </c>
      <c r="J1083" s="5">
        <v>9.33</v>
      </c>
      <c r="K1083" s="5">
        <v>190309</v>
      </c>
      <c r="L1083" s="5">
        <v>17.760000000000002</v>
      </c>
      <c r="M1083" s="5">
        <v>737</v>
      </c>
      <c r="N1083" s="5">
        <v>135870</v>
      </c>
      <c r="O1083" s="5">
        <v>71.39</v>
      </c>
      <c r="P1083" s="5">
        <f t="shared" si="85"/>
        <v>0.15000000000000036</v>
      </c>
      <c r="Q1083" s="6">
        <f t="shared" si="86"/>
        <v>1.6393442622950859E-2</v>
      </c>
      <c r="R1083" s="5">
        <f t="shared" si="87"/>
        <v>0.54999999999999893</v>
      </c>
      <c r="S1083" s="6">
        <f t="shared" si="88"/>
        <v>6.0109289617486218E-2</v>
      </c>
      <c r="T1083" s="6">
        <f t="shared" si="89"/>
        <v>-3.2214765100670455E-3</v>
      </c>
    </row>
    <row r="1084" spans="1:20" x14ac:dyDescent="0.25">
      <c r="A1084" s="4" t="s">
        <v>686</v>
      </c>
      <c r="B1084" s="5" t="s">
        <v>16</v>
      </c>
      <c r="C1084" s="5" t="s">
        <v>1823</v>
      </c>
      <c r="D1084" s="5">
        <v>37.9</v>
      </c>
      <c r="E1084" s="5">
        <v>37.85</v>
      </c>
      <c r="F1084" s="5">
        <v>38.15</v>
      </c>
      <c r="G1084" s="5">
        <v>36.6</v>
      </c>
      <c r="H1084" s="5">
        <v>36.700000000000003</v>
      </c>
      <c r="I1084" s="5">
        <v>36.85</v>
      </c>
      <c r="J1084" s="5">
        <v>37.28</v>
      </c>
      <c r="K1084" s="5">
        <v>779516</v>
      </c>
      <c r="L1084" s="5">
        <v>290.64</v>
      </c>
      <c r="M1084" s="5">
        <v>3148</v>
      </c>
      <c r="N1084" s="5">
        <v>405711</v>
      </c>
      <c r="O1084" s="5">
        <v>52.05</v>
      </c>
      <c r="P1084" s="5">
        <f t="shared" si="85"/>
        <v>-1.0499999999999972</v>
      </c>
      <c r="Q1084" s="6">
        <f t="shared" si="86"/>
        <v>-2.7704485488126575E-2</v>
      </c>
      <c r="R1084" s="5">
        <f t="shared" si="87"/>
        <v>1.5499999999999972</v>
      </c>
      <c r="S1084" s="6">
        <f t="shared" si="88"/>
        <v>4.089709762532974E-2</v>
      </c>
      <c r="T1084" s="6">
        <f t="shared" si="89"/>
        <v>-1.1508865841418529E-2</v>
      </c>
    </row>
    <row r="1085" spans="1:20" hidden="1" x14ac:dyDescent="0.25">
      <c r="A1085" s="4" t="s">
        <v>1038</v>
      </c>
      <c r="B1085" s="5" t="s">
        <v>28</v>
      </c>
      <c r="C1085" s="5" t="s">
        <v>1823</v>
      </c>
      <c r="D1085" s="5">
        <v>16</v>
      </c>
      <c r="E1085" s="5">
        <v>16</v>
      </c>
      <c r="F1085" s="5">
        <v>16</v>
      </c>
      <c r="G1085" s="5">
        <v>15</v>
      </c>
      <c r="H1085" s="5">
        <v>15</v>
      </c>
      <c r="I1085" s="5">
        <v>15</v>
      </c>
      <c r="J1085" s="5">
        <v>15.67</v>
      </c>
      <c r="K1085" s="5">
        <v>6000</v>
      </c>
      <c r="L1085" s="5">
        <v>0.94</v>
      </c>
      <c r="M1085" s="5">
        <v>3</v>
      </c>
      <c r="N1085" s="5">
        <v>6000</v>
      </c>
      <c r="O1085" s="5">
        <v>100</v>
      </c>
      <c r="P1085" s="5">
        <f t="shared" si="85"/>
        <v>-1</v>
      </c>
      <c r="Q1085" s="6">
        <f t="shared" si="86"/>
        <v>-6.25E-2</v>
      </c>
      <c r="R1085" s="5">
        <f t="shared" si="87"/>
        <v>1</v>
      </c>
      <c r="S1085" s="6">
        <f t="shared" si="88"/>
        <v>6.25E-2</v>
      </c>
      <c r="T1085" s="6">
        <f t="shared" si="89"/>
        <v>-4.3225806451612898E-2</v>
      </c>
    </row>
    <row r="1086" spans="1:20" hidden="1" x14ac:dyDescent="0.25">
      <c r="A1086" s="4" t="s">
        <v>1039</v>
      </c>
      <c r="B1086" s="5" t="s">
        <v>16</v>
      </c>
      <c r="C1086" s="5" t="s">
        <v>1823</v>
      </c>
      <c r="D1086" s="5">
        <v>6.6</v>
      </c>
      <c r="E1086" s="5">
        <v>6.8</v>
      </c>
      <c r="F1086" s="5">
        <v>6.8</v>
      </c>
      <c r="G1086" s="5">
        <v>6.5</v>
      </c>
      <c r="H1086" s="5">
        <v>6.5</v>
      </c>
      <c r="I1086" s="5">
        <v>6.5</v>
      </c>
      <c r="J1086" s="5">
        <v>6.5</v>
      </c>
      <c r="K1086" s="5">
        <v>15403</v>
      </c>
      <c r="L1086" s="5">
        <v>1</v>
      </c>
      <c r="M1086" s="5">
        <v>14</v>
      </c>
      <c r="N1086" s="5">
        <v>15339</v>
      </c>
      <c r="O1086" s="5">
        <v>99.58</v>
      </c>
      <c r="P1086" s="5">
        <f t="shared" si="85"/>
        <v>-9.9999999999999645E-2</v>
      </c>
      <c r="Q1086" s="6">
        <f t="shared" si="86"/>
        <v>-1.5151515151515098E-2</v>
      </c>
      <c r="R1086" s="5">
        <f t="shared" si="87"/>
        <v>0.29999999999999982</v>
      </c>
      <c r="S1086" s="6">
        <f t="shared" si="88"/>
        <v>4.5454545454545428E-2</v>
      </c>
      <c r="T1086" s="6">
        <f t="shared" si="89"/>
        <v>0</v>
      </c>
    </row>
    <row r="1087" spans="1:20" x14ac:dyDescent="0.25">
      <c r="A1087" s="4" t="s">
        <v>489</v>
      </c>
      <c r="B1087" s="5" t="s">
        <v>16</v>
      </c>
      <c r="C1087" s="5" t="s">
        <v>1823</v>
      </c>
      <c r="D1087" s="5">
        <v>50.2</v>
      </c>
      <c r="E1087" s="5">
        <v>49.1</v>
      </c>
      <c r="F1087" s="5">
        <v>50</v>
      </c>
      <c r="G1087" s="5">
        <v>47.7</v>
      </c>
      <c r="H1087" s="5">
        <v>47.7</v>
      </c>
      <c r="I1087" s="5">
        <v>47.7</v>
      </c>
      <c r="J1087" s="5">
        <v>47.85</v>
      </c>
      <c r="K1087" s="5">
        <v>196230</v>
      </c>
      <c r="L1087" s="5">
        <v>93.9</v>
      </c>
      <c r="M1087" s="5">
        <v>1004</v>
      </c>
      <c r="N1087" s="5">
        <v>103474</v>
      </c>
      <c r="O1087" s="5">
        <v>52.73</v>
      </c>
      <c r="P1087" s="5">
        <f t="shared" si="85"/>
        <v>-2.5</v>
      </c>
      <c r="Q1087" s="6">
        <f t="shared" si="86"/>
        <v>-4.9800796812749001E-2</v>
      </c>
      <c r="R1087" s="5">
        <f t="shared" si="87"/>
        <v>2.2999999999999972</v>
      </c>
      <c r="S1087" s="6">
        <f t="shared" si="88"/>
        <v>4.5816733067729022E-2</v>
      </c>
      <c r="T1087" s="6">
        <f t="shared" si="89"/>
        <v>-3.0848329048842895E-3</v>
      </c>
    </row>
    <row r="1088" spans="1:20" hidden="1" x14ac:dyDescent="0.25">
      <c r="A1088" s="4" t="s">
        <v>1041</v>
      </c>
      <c r="B1088" s="5" t="s">
        <v>39</v>
      </c>
      <c r="C1088" s="5" t="s">
        <v>1823</v>
      </c>
      <c r="D1088" s="5">
        <v>1.1000000000000001</v>
      </c>
      <c r="E1088" s="5">
        <v>1.1000000000000001</v>
      </c>
      <c r="F1088" s="5">
        <v>1.1000000000000001</v>
      </c>
      <c r="G1088" s="5">
        <v>1.1000000000000001</v>
      </c>
      <c r="H1088" s="5">
        <v>1.1000000000000001</v>
      </c>
      <c r="I1088" s="5">
        <v>1.1000000000000001</v>
      </c>
      <c r="J1088" s="5">
        <v>1.1000000000000001</v>
      </c>
      <c r="K1088" s="5">
        <v>200</v>
      </c>
      <c r="L1088" s="5">
        <v>0</v>
      </c>
      <c r="M1088" s="5">
        <v>3</v>
      </c>
      <c r="N1088" s="5" t="s">
        <v>25</v>
      </c>
      <c r="O1088" s="5" t="s">
        <v>25</v>
      </c>
      <c r="P1088" s="5">
        <f t="shared" si="85"/>
        <v>0</v>
      </c>
      <c r="Q1088" s="6">
        <f t="shared" si="86"/>
        <v>0</v>
      </c>
      <c r="R1088" s="5">
        <f t="shared" si="87"/>
        <v>0</v>
      </c>
      <c r="S1088" s="6">
        <f t="shared" si="88"/>
        <v>0</v>
      </c>
      <c r="T1088" s="6">
        <f t="shared" si="89"/>
        <v>0</v>
      </c>
    </row>
    <row r="1089" spans="1:20" hidden="1" x14ac:dyDescent="0.25">
      <c r="A1089" s="4" t="s">
        <v>1042</v>
      </c>
      <c r="B1089" s="5" t="s">
        <v>16</v>
      </c>
      <c r="C1089" s="5" t="s">
        <v>1823</v>
      </c>
      <c r="D1089" s="5">
        <v>65.400000000000006</v>
      </c>
      <c r="E1089" s="5">
        <v>65</v>
      </c>
      <c r="F1089" s="5">
        <v>65</v>
      </c>
      <c r="G1089" s="5">
        <v>63.05</v>
      </c>
      <c r="H1089" s="5">
        <v>63.4</v>
      </c>
      <c r="I1089" s="5">
        <v>63.4</v>
      </c>
      <c r="J1089" s="5">
        <v>63.76</v>
      </c>
      <c r="K1089" s="5">
        <v>4101</v>
      </c>
      <c r="L1089" s="5">
        <v>2.61</v>
      </c>
      <c r="M1089" s="5">
        <v>135</v>
      </c>
      <c r="N1089" s="5">
        <v>2922</v>
      </c>
      <c r="O1089" s="5">
        <v>71.25</v>
      </c>
      <c r="P1089" s="5">
        <f t="shared" si="85"/>
        <v>-2.0000000000000071</v>
      </c>
      <c r="Q1089" s="6">
        <f t="shared" si="86"/>
        <v>-3.0581039755351789E-2</v>
      </c>
      <c r="R1089" s="5">
        <f t="shared" si="87"/>
        <v>1.9500000000000028</v>
      </c>
      <c r="S1089" s="6">
        <f t="shared" si="88"/>
        <v>2.981651376146793E-2</v>
      </c>
      <c r="T1089" s="6">
        <f t="shared" si="89"/>
        <v>-5.6151296549034812E-3</v>
      </c>
    </row>
    <row r="1090" spans="1:20" x14ac:dyDescent="0.25">
      <c r="A1090" s="4" t="s">
        <v>1505</v>
      </c>
      <c r="B1090" s="5" t="s">
        <v>16</v>
      </c>
      <c r="C1090" s="5" t="s">
        <v>1823</v>
      </c>
      <c r="D1090" s="5">
        <v>33.950000000000003</v>
      </c>
      <c r="E1090" s="5">
        <v>33.6</v>
      </c>
      <c r="F1090" s="5">
        <v>34.200000000000003</v>
      </c>
      <c r="G1090" s="5">
        <v>32.5</v>
      </c>
      <c r="H1090" s="5">
        <v>33.1</v>
      </c>
      <c r="I1090" s="5">
        <v>32.950000000000003</v>
      </c>
      <c r="J1090" s="5">
        <v>33.06</v>
      </c>
      <c r="K1090" s="5">
        <v>543603</v>
      </c>
      <c r="L1090" s="5">
        <v>179.69</v>
      </c>
      <c r="M1090" s="5">
        <v>4939</v>
      </c>
      <c r="N1090" s="5">
        <v>287490</v>
      </c>
      <c r="O1090" s="5">
        <v>52.89</v>
      </c>
      <c r="P1090" s="5">
        <f t="shared" si="85"/>
        <v>-1</v>
      </c>
      <c r="Q1090" s="6">
        <f t="shared" si="86"/>
        <v>-2.945508100147275E-2</v>
      </c>
      <c r="R1090" s="5">
        <f t="shared" si="87"/>
        <v>1.7000000000000028</v>
      </c>
      <c r="S1090" s="6">
        <f t="shared" si="88"/>
        <v>5.0073637702503761E-2</v>
      </c>
      <c r="T1090" s="6">
        <f t="shared" si="89"/>
        <v>-3.302063789868651E-3</v>
      </c>
    </row>
    <row r="1091" spans="1:20" hidden="1" x14ac:dyDescent="0.25">
      <c r="A1091" s="4" t="s">
        <v>1044</v>
      </c>
      <c r="B1091" s="5" t="s">
        <v>16</v>
      </c>
      <c r="C1091" s="5" t="s">
        <v>1823</v>
      </c>
      <c r="D1091" s="5">
        <v>1.35</v>
      </c>
      <c r="E1091" s="5">
        <v>1.3</v>
      </c>
      <c r="F1091" s="5">
        <v>1.35</v>
      </c>
      <c r="G1091" s="5">
        <v>1.3</v>
      </c>
      <c r="H1091" s="5">
        <v>1.3</v>
      </c>
      <c r="I1091" s="5">
        <v>1.3</v>
      </c>
      <c r="J1091" s="5">
        <v>1.3</v>
      </c>
      <c r="K1091" s="5">
        <v>89851</v>
      </c>
      <c r="L1091" s="5">
        <v>1.17</v>
      </c>
      <c r="M1091" s="5">
        <v>89</v>
      </c>
      <c r="N1091" s="5">
        <v>76165</v>
      </c>
      <c r="O1091" s="5">
        <v>84.77</v>
      </c>
      <c r="P1091" s="5">
        <f t="shared" si="85"/>
        <v>-5.0000000000000044E-2</v>
      </c>
      <c r="Q1091" s="6">
        <f t="shared" si="86"/>
        <v>-3.703703703703707E-2</v>
      </c>
      <c r="R1091" s="5">
        <f t="shared" si="87"/>
        <v>5.0000000000000044E-2</v>
      </c>
      <c r="S1091" s="6">
        <f t="shared" si="88"/>
        <v>3.703703703703707E-2</v>
      </c>
      <c r="T1091" s="6">
        <f t="shared" si="89"/>
        <v>0</v>
      </c>
    </row>
    <row r="1092" spans="1:20" hidden="1" x14ac:dyDescent="0.25">
      <c r="A1092" s="4" t="s">
        <v>1045</v>
      </c>
      <c r="B1092" s="5" t="s">
        <v>16</v>
      </c>
      <c r="C1092" s="5" t="s">
        <v>1823</v>
      </c>
      <c r="D1092" s="5">
        <v>5.5</v>
      </c>
      <c r="E1092" s="5">
        <v>5.75</v>
      </c>
      <c r="F1092" s="5">
        <v>5.75</v>
      </c>
      <c r="G1092" s="5">
        <v>5.25</v>
      </c>
      <c r="H1092" s="5">
        <v>5.35</v>
      </c>
      <c r="I1092" s="5">
        <v>5.35</v>
      </c>
      <c r="J1092" s="5">
        <v>5.31</v>
      </c>
      <c r="K1092" s="5">
        <v>7337</v>
      </c>
      <c r="L1092" s="5">
        <v>0.39</v>
      </c>
      <c r="M1092" s="5">
        <v>55</v>
      </c>
      <c r="N1092" s="5">
        <v>5772</v>
      </c>
      <c r="O1092" s="5">
        <v>78.67</v>
      </c>
      <c r="P1092" s="5">
        <f t="shared" si="85"/>
        <v>-0.15000000000000036</v>
      </c>
      <c r="Q1092" s="6">
        <f t="shared" si="86"/>
        <v>-2.7272727272727337E-2</v>
      </c>
      <c r="R1092" s="5">
        <f t="shared" si="87"/>
        <v>0.5</v>
      </c>
      <c r="S1092" s="6">
        <f t="shared" si="88"/>
        <v>9.0909090909090912E-2</v>
      </c>
      <c r="T1092" s="6">
        <f t="shared" si="89"/>
        <v>7.2398190045248932E-3</v>
      </c>
    </row>
    <row r="1093" spans="1:20" hidden="1" x14ac:dyDescent="0.25">
      <c r="A1093" s="4" t="s">
        <v>1046</v>
      </c>
      <c r="B1093" s="5" t="s">
        <v>24</v>
      </c>
      <c r="C1093" s="5" t="s">
        <v>1823</v>
      </c>
      <c r="D1093" s="5">
        <v>0.35</v>
      </c>
      <c r="E1093" s="5">
        <v>0.35</v>
      </c>
      <c r="F1093" s="5">
        <v>0.35</v>
      </c>
      <c r="G1093" s="5">
        <v>0.35</v>
      </c>
      <c r="H1093" s="5">
        <v>0.35</v>
      </c>
      <c r="I1093" s="5">
        <v>0.35</v>
      </c>
      <c r="J1093" s="5">
        <v>0.35</v>
      </c>
      <c r="K1093" s="5">
        <v>95</v>
      </c>
      <c r="L1093" s="5">
        <v>0</v>
      </c>
      <c r="M1093" s="5">
        <v>2</v>
      </c>
      <c r="N1093" s="5" t="s">
        <v>25</v>
      </c>
      <c r="O1093" s="5" t="s">
        <v>25</v>
      </c>
      <c r="P1093" s="5">
        <f t="shared" si="85"/>
        <v>0</v>
      </c>
      <c r="Q1093" s="6">
        <f t="shared" si="86"/>
        <v>0</v>
      </c>
      <c r="R1093" s="5">
        <f t="shared" si="87"/>
        <v>0</v>
      </c>
      <c r="S1093" s="6">
        <f t="shared" si="88"/>
        <v>0</v>
      </c>
      <c r="T1093" s="6">
        <f t="shared" si="89"/>
        <v>0</v>
      </c>
    </row>
    <row r="1094" spans="1:20" hidden="1" x14ac:dyDescent="0.25">
      <c r="A1094" s="4" t="s">
        <v>1047</v>
      </c>
      <c r="B1094" s="5" t="s">
        <v>16</v>
      </c>
      <c r="C1094" s="5" t="s">
        <v>1823</v>
      </c>
      <c r="D1094" s="5">
        <v>1298.95</v>
      </c>
      <c r="E1094" s="5">
        <v>1298</v>
      </c>
      <c r="F1094" s="5">
        <v>1298</v>
      </c>
      <c r="G1094" s="5">
        <v>1269</v>
      </c>
      <c r="H1094" s="5">
        <v>1269</v>
      </c>
      <c r="I1094" s="5">
        <v>1277.5999999999999</v>
      </c>
      <c r="J1094" s="5">
        <v>1280.69</v>
      </c>
      <c r="K1094" s="5">
        <v>22347</v>
      </c>
      <c r="L1094" s="5">
        <v>286.2</v>
      </c>
      <c r="M1094" s="5">
        <v>2863</v>
      </c>
      <c r="N1094" s="5">
        <v>12997</v>
      </c>
      <c r="O1094" s="5">
        <v>58.16</v>
      </c>
      <c r="P1094" s="5">
        <f t="shared" si="85"/>
        <v>-21.350000000000136</v>
      </c>
      <c r="Q1094" s="6">
        <f t="shared" si="86"/>
        <v>-1.643635243850813E-2</v>
      </c>
      <c r="R1094" s="5">
        <f t="shared" si="87"/>
        <v>29</v>
      </c>
      <c r="S1094" s="6">
        <f t="shared" si="88"/>
        <v>2.2325724623734555E-2</v>
      </c>
      <c r="T1094" s="6">
        <f t="shared" si="89"/>
        <v>-2.4034535060087469E-3</v>
      </c>
    </row>
    <row r="1095" spans="1:20" hidden="1" x14ac:dyDescent="0.25">
      <c r="A1095" s="4" t="s">
        <v>1048</v>
      </c>
      <c r="B1095" s="5" t="s">
        <v>16</v>
      </c>
      <c r="C1095" s="5" t="s">
        <v>1823</v>
      </c>
      <c r="D1095" s="5">
        <v>415.1</v>
      </c>
      <c r="E1095" s="5">
        <v>414.8</v>
      </c>
      <c r="F1095" s="5">
        <v>420.9</v>
      </c>
      <c r="G1095" s="5">
        <v>412.15</v>
      </c>
      <c r="H1095" s="5">
        <v>416</v>
      </c>
      <c r="I1095" s="5">
        <v>415.95</v>
      </c>
      <c r="J1095" s="5">
        <v>416.94</v>
      </c>
      <c r="K1095" s="5">
        <v>584319</v>
      </c>
      <c r="L1095" s="5">
        <v>2436.2800000000002</v>
      </c>
      <c r="M1095" s="5">
        <v>20924</v>
      </c>
      <c r="N1095" s="5">
        <v>313352</v>
      </c>
      <c r="O1095" s="5">
        <v>53.63</v>
      </c>
      <c r="P1095" s="5">
        <f t="shared" si="85"/>
        <v>0.84999999999996589</v>
      </c>
      <c r="Q1095" s="6">
        <f t="shared" si="86"/>
        <v>2.0476993495542419E-3</v>
      </c>
      <c r="R1095" s="5">
        <f t="shared" si="87"/>
        <v>8.75</v>
      </c>
      <c r="S1095" s="6">
        <f t="shared" si="88"/>
        <v>2.1079258010118042E-2</v>
      </c>
      <c r="T1095" s="6">
        <f t="shared" si="89"/>
        <v>-2.3800937612694054E-3</v>
      </c>
    </row>
    <row r="1096" spans="1:20" hidden="1" x14ac:dyDescent="0.25">
      <c r="A1096" s="4" t="s">
        <v>1049</v>
      </c>
      <c r="B1096" s="5" t="s">
        <v>16</v>
      </c>
      <c r="C1096" s="5" t="s">
        <v>1823</v>
      </c>
      <c r="D1096" s="5">
        <v>908.45</v>
      </c>
      <c r="E1096" s="5">
        <v>908</v>
      </c>
      <c r="F1096" s="5">
        <v>911</v>
      </c>
      <c r="G1096" s="5">
        <v>895.85</v>
      </c>
      <c r="H1096" s="5">
        <v>908.95</v>
      </c>
      <c r="I1096" s="5">
        <v>902.9</v>
      </c>
      <c r="J1096" s="5">
        <v>902.57</v>
      </c>
      <c r="K1096" s="5">
        <v>283024</v>
      </c>
      <c r="L1096" s="5">
        <v>2554.4899999999998</v>
      </c>
      <c r="M1096" s="5">
        <v>13432</v>
      </c>
      <c r="N1096" s="5">
        <v>87926</v>
      </c>
      <c r="O1096" s="5">
        <v>31.07</v>
      </c>
      <c r="P1096" s="5">
        <f t="shared" si="85"/>
        <v>-5.5500000000000682</v>
      </c>
      <c r="Q1096" s="6">
        <f t="shared" si="86"/>
        <v>-6.1093070614784174E-3</v>
      </c>
      <c r="R1096" s="5">
        <f t="shared" si="87"/>
        <v>15.149999999999977</v>
      </c>
      <c r="S1096" s="6">
        <f t="shared" si="88"/>
        <v>1.6676757113765178E-2</v>
      </c>
      <c r="T1096" s="6">
        <f t="shared" si="89"/>
        <v>3.6486766636713676E-4</v>
      </c>
    </row>
    <row r="1097" spans="1:20" hidden="1" x14ac:dyDescent="0.25">
      <c r="A1097" s="4" t="s">
        <v>1050</v>
      </c>
      <c r="B1097" s="5" t="s">
        <v>16</v>
      </c>
      <c r="C1097" s="5" t="s">
        <v>1823</v>
      </c>
      <c r="D1097" s="5">
        <v>237.1</v>
      </c>
      <c r="E1097" s="5">
        <v>237.1</v>
      </c>
      <c r="F1097" s="5">
        <v>239.95</v>
      </c>
      <c r="G1097" s="5">
        <v>236.5</v>
      </c>
      <c r="H1097" s="5">
        <v>239.5</v>
      </c>
      <c r="I1097" s="5">
        <v>238.35</v>
      </c>
      <c r="J1097" s="5">
        <v>237.86</v>
      </c>
      <c r="K1097" s="5">
        <v>12460</v>
      </c>
      <c r="L1097" s="5">
        <v>29.64</v>
      </c>
      <c r="M1097" s="5">
        <v>564</v>
      </c>
      <c r="N1097" s="5">
        <v>8238</v>
      </c>
      <c r="O1097" s="5">
        <v>66.12</v>
      </c>
      <c r="P1097" s="5">
        <f t="shared" si="85"/>
        <v>1.25</v>
      </c>
      <c r="Q1097" s="6">
        <f t="shared" si="86"/>
        <v>5.2720371151412909E-3</v>
      </c>
      <c r="R1097" s="5">
        <f t="shared" si="87"/>
        <v>3.4499999999999886</v>
      </c>
      <c r="S1097" s="6">
        <f t="shared" si="88"/>
        <v>1.4550822437789915E-2</v>
      </c>
      <c r="T1097" s="6">
        <f t="shared" si="89"/>
        <v>2.0590398151065477E-3</v>
      </c>
    </row>
    <row r="1098" spans="1:20" hidden="1" x14ac:dyDescent="0.25">
      <c r="A1098" s="4" t="s">
        <v>1051</v>
      </c>
      <c r="B1098" s="5" t="s">
        <v>39</v>
      </c>
      <c r="C1098" s="5" t="s">
        <v>1823</v>
      </c>
      <c r="D1098" s="5">
        <v>0.7</v>
      </c>
      <c r="E1098" s="5">
        <v>0.65</v>
      </c>
      <c r="F1098" s="5">
        <v>0.65</v>
      </c>
      <c r="G1098" s="5">
        <v>0.65</v>
      </c>
      <c r="H1098" s="5">
        <v>0.65</v>
      </c>
      <c r="I1098" s="5">
        <v>0.65</v>
      </c>
      <c r="J1098" s="5">
        <v>0.65</v>
      </c>
      <c r="K1098" s="5">
        <v>19071</v>
      </c>
      <c r="L1098" s="5">
        <v>0.12</v>
      </c>
      <c r="M1098" s="5">
        <v>34</v>
      </c>
      <c r="N1098" s="5" t="s">
        <v>25</v>
      </c>
      <c r="O1098" s="5" t="s">
        <v>25</v>
      </c>
      <c r="P1098" s="5">
        <f t="shared" si="85"/>
        <v>-4.9999999999999933E-2</v>
      </c>
      <c r="Q1098" s="6">
        <f t="shared" si="86"/>
        <v>-7.1428571428571341E-2</v>
      </c>
      <c r="R1098" s="5">
        <f t="shared" si="87"/>
        <v>0</v>
      </c>
      <c r="S1098" s="6">
        <f t="shared" si="88"/>
        <v>0</v>
      </c>
      <c r="T1098" s="6">
        <f t="shared" si="89"/>
        <v>0</v>
      </c>
    </row>
    <row r="1099" spans="1:20" x14ac:dyDescent="0.25">
      <c r="A1099" s="4" t="s">
        <v>1682</v>
      </c>
      <c r="B1099" s="5" t="s">
        <v>16</v>
      </c>
      <c r="C1099" s="5" t="s">
        <v>1823</v>
      </c>
      <c r="D1099" s="5">
        <v>62.05</v>
      </c>
      <c r="E1099" s="5">
        <v>61.55</v>
      </c>
      <c r="F1099" s="5">
        <v>61.8</v>
      </c>
      <c r="G1099" s="5">
        <v>58.85</v>
      </c>
      <c r="H1099" s="5">
        <v>59.15</v>
      </c>
      <c r="I1099" s="5">
        <v>59.3</v>
      </c>
      <c r="J1099" s="5">
        <v>60.31</v>
      </c>
      <c r="K1099" s="5">
        <v>309347</v>
      </c>
      <c r="L1099" s="5">
        <v>186.56</v>
      </c>
      <c r="M1099" s="5">
        <v>3679</v>
      </c>
      <c r="N1099" s="5">
        <v>163894</v>
      </c>
      <c r="O1099" s="5">
        <v>52.98</v>
      </c>
      <c r="P1099" s="5">
        <f t="shared" si="85"/>
        <v>-2.75</v>
      </c>
      <c r="Q1099" s="6">
        <f t="shared" si="86"/>
        <v>-4.4319097502014508E-2</v>
      </c>
      <c r="R1099" s="5">
        <f t="shared" si="87"/>
        <v>2.9499999999999957</v>
      </c>
      <c r="S1099" s="6">
        <f t="shared" si="88"/>
        <v>4.7542304593070038E-2</v>
      </c>
      <c r="T1099" s="6">
        <f t="shared" si="89"/>
        <v>-1.6728778467908989E-2</v>
      </c>
    </row>
    <row r="1100" spans="1:20" x14ac:dyDescent="0.25">
      <c r="A1100" s="4" t="s">
        <v>1783</v>
      </c>
      <c r="B1100" s="5" t="s">
        <v>16</v>
      </c>
      <c r="C1100" s="5" t="s">
        <v>1823</v>
      </c>
      <c r="D1100" s="5">
        <v>138.69999999999999</v>
      </c>
      <c r="E1100" s="5">
        <v>138.94999999999999</v>
      </c>
      <c r="F1100" s="5">
        <v>139.9</v>
      </c>
      <c r="G1100" s="5">
        <v>134.05000000000001</v>
      </c>
      <c r="H1100" s="5">
        <v>134.6</v>
      </c>
      <c r="I1100" s="5">
        <v>134.94999999999999</v>
      </c>
      <c r="J1100" s="5">
        <v>136.21</v>
      </c>
      <c r="K1100" s="5">
        <v>223205</v>
      </c>
      <c r="L1100" s="5">
        <v>304.02999999999997</v>
      </c>
      <c r="M1100" s="5">
        <v>4029</v>
      </c>
      <c r="N1100" s="5">
        <v>118372</v>
      </c>
      <c r="O1100" s="5">
        <v>53.03</v>
      </c>
      <c r="P1100" s="5">
        <f t="shared" ref="P1100:P1163" si="90">I1100-D1100</f>
        <v>-3.75</v>
      </c>
      <c r="Q1100" s="6">
        <f t="shared" ref="Q1100:Q1163" si="91">P1100/D1100</f>
        <v>-2.7036770007209807E-2</v>
      </c>
      <c r="R1100" s="5">
        <f t="shared" ref="R1100:R1163" si="92">ABS(F1100-G1100)</f>
        <v>5.8499999999999943</v>
      </c>
      <c r="S1100" s="6">
        <f t="shared" ref="S1100:S1163" si="93">R1100/D1100</f>
        <v>4.2177361211247259E-2</v>
      </c>
      <c r="T1100" s="6">
        <f t="shared" ref="T1100:T1163" si="94">(I1100-J1100)/AVERAGE(E1100:G1100,I1100)</f>
        <v>-9.1995984302273934E-3</v>
      </c>
    </row>
    <row r="1101" spans="1:20" x14ac:dyDescent="0.25">
      <c r="A1101" s="4" t="s">
        <v>789</v>
      </c>
      <c r="B1101" s="5" t="s">
        <v>16</v>
      </c>
      <c r="C1101" s="5" t="s">
        <v>1823</v>
      </c>
      <c r="D1101" s="5">
        <v>10.25</v>
      </c>
      <c r="E1101" s="5">
        <v>10.199999999999999</v>
      </c>
      <c r="F1101" s="5">
        <v>10.35</v>
      </c>
      <c r="G1101" s="5">
        <v>10</v>
      </c>
      <c r="H1101" s="5">
        <v>10.1</v>
      </c>
      <c r="I1101" s="5">
        <v>10.050000000000001</v>
      </c>
      <c r="J1101" s="5">
        <v>10.16</v>
      </c>
      <c r="K1101" s="5">
        <v>508732</v>
      </c>
      <c r="L1101" s="5">
        <v>51.68</v>
      </c>
      <c r="M1101" s="5">
        <v>1044</v>
      </c>
      <c r="N1101" s="5">
        <v>269954</v>
      </c>
      <c r="O1101" s="5">
        <v>53.06</v>
      </c>
      <c r="P1101" s="5">
        <f t="shared" si="90"/>
        <v>-0.19999999999999929</v>
      </c>
      <c r="Q1101" s="6">
        <f t="shared" si="91"/>
        <v>-1.951219512195115E-2</v>
      </c>
      <c r="R1101" s="5">
        <f t="shared" si="92"/>
        <v>0.34999999999999964</v>
      </c>
      <c r="S1101" s="6">
        <f t="shared" si="93"/>
        <v>3.4146341463414602E-2</v>
      </c>
      <c r="T1101" s="6">
        <f t="shared" si="94"/>
        <v>-1.0837438423645266E-2</v>
      </c>
    </row>
    <row r="1102" spans="1:20" hidden="1" x14ac:dyDescent="0.25">
      <c r="A1102" s="4" t="s">
        <v>1055</v>
      </c>
      <c r="B1102" s="5" t="s">
        <v>16</v>
      </c>
      <c r="C1102" s="5" t="s">
        <v>1823</v>
      </c>
      <c r="D1102" s="5">
        <v>35.4</v>
      </c>
      <c r="E1102" s="5">
        <v>35.450000000000003</v>
      </c>
      <c r="F1102" s="5">
        <v>35.9</v>
      </c>
      <c r="G1102" s="5">
        <v>33.200000000000003</v>
      </c>
      <c r="H1102" s="5">
        <v>35.9</v>
      </c>
      <c r="I1102" s="5">
        <v>35.4</v>
      </c>
      <c r="J1102" s="5">
        <v>34.840000000000003</v>
      </c>
      <c r="K1102" s="5">
        <v>3202</v>
      </c>
      <c r="L1102" s="5">
        <v>1.1200000000000001</v>
      </c>
      <c r="M1102" s="5">
        <v>70</v>
      </c>
      <c r="N1102" s="5">
        <v>2822</v>
      </c>
      <c r="O1102" s="5">
        <v>88.13</v>
      </c>
      <c r="P1102" s="5">
        <f t="shared" si="90"/>
        <v>0</v>
      </c>
      <c r="Q1102" s="6">
        <f t="shared" si="91"/>
        <v>0</v>
      </c>
      <c r="R1102" s="5">
        <f t="shared" si="92"/>
        <v>2.6999999999999957</v>
      </c>
      <c r="S1102" s="6">
        <f t="shared" si="93"/>
        <v>7.6271186440677846E-2</v>
      </c>
      <c r="T1102" s="6">
        <f t="shared" si="94"/>
        <v>1.6005716327259598E-2</v>
      </c>
    </row>
    <row r="1103" spans="1:20" x14ac:dyDescent="0.25">
      <c r="A1103" s="4" t="s">
        <v>1295</v>
      </c>
      <c r="B1103" s="5" t="s">
        <v>16</v>
      </c>
      <c r="C1103" s="5" t="s">
        <v>1823</v>
      </c>
      <c r="D1103" s="5">
        <v>448.65</v>
      </c>
      <c r="E1103" s="5">
        <v>448.9</v>
      </c>
      <c r="F1103" s="5">
        <v>468</v>
      </c>
      <c r="G1103" s="5">
        <v>448.35</v>
      </c>
      <c r="H1103" s="5">
        <v>455</v>
      </c>
      <c r="I1103" s="5">
        <v>453.3</v>
      </c>
      <c r="J1103" s="5">
        <v>459.93</v>
      </c>
      <c r="K1103" s="5">
        <v>200364</v>
      </c>
      <c r="L1103" s="5">
        <v>921.53</v>
      </c>
      <c r="M1103" s="5">
        <v>18569</v>
      </c>
      <c r="N1103" s="5">
        <v>106667</v>
      </c>
      <c r="O1103" s="5">
        <v>53.24</v>
      </c>
      <c r="P1103" s="5">
        <f t="shared" si="90"/>
        <v>4.6500000000000341</v>
      </c>
      <c r="Q1103" s="6">
        <f t="shared" si="91"/>
        <v>1.0364426613172929E-2</v>
      </c>
      <c r="R1103" s="5">
        <f t="shared" si="92"/>
        <v>19.649999999999977</v>
      </c>
      <c r="S1103" s="6">
        <f t="shared" si="93"/>
        <v>4.3798060849214261E-2</v>
      </c>
      <c r="T1103" s="6">
        <f t="shared" si="94"/>
        <v>-1.4583046932996059E-2</v>
      </c>
    </row>
    <row r="1104" spans="1:20" x14ac:dyDescent="0.25">
      <c r="A1104" s="4" t="s">
        <v>1164</v>
      </c>
      <c r="B1104" s="5" t="s">
        <v>16</v>
      </c>
      <c r="C1104" s="5" t="s">
        <v>1823</v>
      </c>
      <c r="D1104" s="5">
        <v>115.15</v>
      </c>
      <c r="E1104" s="5">
        <v>115.6</v>
      </c>
      <c r="F1104" s="5">
        <v>118.6</v>
      </c>
      <c r="G1104" s="5">
        <v>115.05</v>
      </c>
      <c r="H1104" s="5">
        <v>116.95</v>
      </c>
      <c r="I1104" s="5">
        <v>116.9</v>
      </c>
      <c r="J1104" s="5">
        <v>117.3</v>
      </c>
      <c r="K1104" s="5">
        <v>18851203</v>
      </c>
      <c r="L1104" s="5">
        <v>22113.13</v>
      </c>
      <c r="M1104" s="5">
        <v>129831</v>
      </c>
      <c r="N1104" s="5">
        <v>10047318</v>
      </c>
      <c r="O1104" s="5">
        <v>53.3</v>
      </c>
      <c r="P1104" s="5">
        <f t="shared" si="90"/>
        <v>1.75</v>
      </c>
      <c r="Q1104" s="6">
        <f t="shared" si="91"/>
        <v>1.5197568389057749E-2</v>
      </c>
      <c r="R1104" s="5">
        <f t="shared" si="92"/>
        <v>3.5499999999999972</v>
      </c>
      <c r="S1104" s="6">
        <f t="shared" si="93"/>
        <v>3.0829353017802839E-2</v>
      </c>
      <c r="T1104" s="6">
        <f t="shared" si="94"/>
        <v>-3.4323715542206716E-3</v>
      </c>
    </row>
    <row r="1105" spans="1:20" x14ac:dyDescent="0.25">
      <c r="A1105" s="4" t="s">
        <v>149</v>
      </c>
      <c r="B1105" s="5" t="s">
        <v>16</v>
      </c>
      <c r="C1105" s="5" t="s">
        <v>1823</v>
      </c>
      <c r="D1105" s="5">
        <v>1765.9</v>
      </c>
      <c r="E1105" s="5">
        <v>1784</v>
      </c>
      <c r="F1105" s="5">
        <v>1784</v>
      </c>
      <c r="G1105" s="5">
        <v>1728.25</v>
      </c>
      <c r="H1105" s="5">
        <v>1753</v>
      </c>
      <c r="I1105" s="5">
        <v>1751.8</v>
      </c>
      <c r="J1105" s="5">
        <v>1746.09</v>
      </c>
      <c r="K1105" s="5">
        <v>1794074</v>
      </c>
      <c r="L1105" s="5">
        <v>31326.16</v>
      </c>
      <c r="M1105" s="5">
        <v>81765</v>
      </c>
      <c r="N1105" s="5">
        <v>957914</v>
      </c>
      <c r="O1105" s="5">
        <v>53.39</v>
      </c>
      <c r="P1105" s="5">
        <f t="shared" si="90"/>
        <v>-14.100000000000136</v>
      </c>
      <c r="Q1105" s="6">
        <f t="shared" si="91"/>
        <v>-7.9845970893029812E-3</v>
      </c>
      <c r="R1105" s="5">
        <f t="shared" si="92"/>
        <v>55.75</v>
      </c>
      <c r="S1105" s="6">
        <f t="shared" si="93"/>
        <v>3.1570304094229569E-2</v>
      </c>
      <c r="T1105" s="6">
        <f t="shared" si="94"/>
        <v>3.2406126517263846E-3</v>
      </c>
    </row>
    <row r="1106" spans="1:20" hidden="1" x14ac:dyDescent="0.25">
      <c r="A1106" s="4" t="s">
        <v>1059</v>
      </c>
      <c r="B1106" s="5" t="s">
        <v>28</v>
      </c>
      <c r="C1106" s="5" t="s">
        <v>1823</v>
      </c>
      <c r="D1106" s="5">
        <v>82.7</v>
      </c>
      <c r="E1106" s="5">
        <v>85.15</v>
      </c>
      <c r="F1106" s="5">
        <v>85.15</v>
      </c>
      <c r="G1106" s="5">
        <v>85.15</v>
      </c>
      <c r="H1106" s="5">
        <v>85.15</v>
      </c>
      <c r="I1106" s="5">
        <v>85.15</v>
      </c>
      <c r="J1106" s="5">
        <v>85.15</v>
      </c>
      <c r="K1106" s="5">
        <v>7500</v>
      </c>
      <c r="L1106" s="5">
        <v>6.39</v>
      </c>
      <c r="M1106" s="5">
        <v>3</v>
      </c>
      <c r="N1106" s="5">
        <v>7500</v>
      </c>
      <c r="O1106" s="5">
        <v>100</v>
      </c>
      <c r="P1106" s="5">
        <f t="shared" si="90"/>
        <v>2.4500000000000028</v>
      </c>
      <c r="Q1106" s="6">
        <f t="shared" si="91"/>
        <v>2.9625151148730385E-2</v>
      </c>
      <c r="R1106" s="5">
        <f t="shared" si="92"/>
        <v>0</v>
      </c>
      <c r="S1106" s="6">
        <f t="shared" si="93"/>
        <v>0</v>
      </c>
      <c r="T1106" s="6">
        <f t="shared" si="94"/>
        <v>0</v>
      </c>
    </row>
    <row r="1107" spans="1:20" hidden="1" x14ac:dyDescent="0.25">
      <c r="A1107" s="4" t="s">
        <v>1060</v>
      </c>
      <c r="B1107" s="5" t="s">
        <v>16</v>
      </c>
      <c r="C1107" s="5" t="s">
        <v>1823</v>
      </c>
      <c r="D1107" s="5">
        <v>410.25</v>
      </c>
      <c r="E1107" s="5">
        <v>398.55</v>
      </c>
      <c r="F1107" s="5">
        <v>430.85</v>
      </c>
      <c r="G1107" s="5">
        <v>398</v>
      </c>
      <c r="H1107" s="5">
        <v>428</v>
      </c>
      <c r="I1107" s="5">
        <v>422.35</v>
      </c>
      <c r="J1107" s="5">
        <v>419.2</v>
      </c>
      <c r="K1107" s="5">
        <v>5852</v>
      </c>
      <c r="L1107" s="5">
        <v>24.53</v>
      </c>
      <c r="M1107" s="5">
        <v>801</v>
      </c>
      <c r="N1107" s="5">
        <v>2816</v>
      </c>
      <c r="O1107" s="5">
        <v>48.12</v>
      </c>
      <c r="P1107" s="5">
        <f t="shared" si="90"/>
        <v>12.100000000000023</v>
      </c>
      <c r="Q1107" s="6">
        <f t="shared" si="91"/>
        <v>2.9494210847044542E-2</v>
      </c>
      <c r="R1107" s="5">
        <f t="shared" si="92"/>
        <v>32.850000000000023</v>
      </c>
      <c r="S1107" s="6">
        <f t="shared" si="93"/>
        <v>8.0073126142596027E-2</v>
      </c>
      <c r="T1107" s="6">
        <f t="shared" si="94"/>
        <v>7.6375208364904603E-3</v>
      </c>
    </row>
    <row r="1108" spans="1:20" hidden="1" x14ac:dyDescent="0.25">
      <c r="A1108" s="4" t="s">
        <v>1061</v>
      </c>
      <c r="B1108" s="5" t="s">
        <v>16</v>
      </c>
      <c r="C1108" s="5" t="s">
        <v>1823</v>
      </c>
      <c r="D1108" s="5">
        <v>18.45</v>
      </c>
      <c r="E1108" s="5">
        <v>18.45</v>
      </c>
      <c r="F1108" s="5">
        <v>18.45</v>
      </c>
      <c r="G1108" s="5">
        <v>17.95</v>
      </c>
      <c r="H1108" s="5">
        <v>18.05</v>
      </c>
      <c r="I1108" s="5">
        <v>18.100000000000001</v>
      </c>
      <c r="J1108" s="5">
        <v>18.13</v>
      </c>
      <c r="K1108" s="5">
        <v>845950</v>
      </c>
      <c r="L1108" s="5">
        <v>153.36000000000001</v>
      </c>
      <c r="M1108" s="5">
        <v>2203</v>
      </c>
      <c r="N1108" s="5">
        <v>332442</v>
      </c>
      <c r="O1108" s="5">
        <v>39.299999999999997</v>
      </c>
      <c r="P1108" s="5">
        <f t="shared" si="90"/>
        <v>-0.34999999999999787</v>
      </c>
      <c r="Q1108" s="6">
        <f t="shared" si="91"/>
        <v>-1.8970189701896904E-2</v>
      </c>
      <c r="R1108" s="5">
        <f t="shared" si="92"/>
        <v>0.5</v>
      </c>
      <c r="S1108" s="6">
        <f t="shared" si="93"/>
        <v>2.7100271002710029E-2</v>
      </c>
      <c r="T1108" s="6">
        <f t="shared" si="94"/>
        <v>-1.6449623029470919E-3</v>
      </c>
    </row>
    <row r="1109" spans="1:20" hidden="1" x14ac:dyDescent="0.25">
      <c r="A1109" s="4" t="s">
        <v>1062</v>
      </c>
      <c r="B1109" s="5" t="s">
        <v>16</v>
      </c>
      <c r="C1109" s="5" t="s">
        <v>1823</v>
      </c>
      <c r="D1109" s="5">
        <v>4.5</v>
      </c>
      <c r="E1109" s="5">
        <v>4.5</v>
      </c>
      <c r="F1109" s="5">
        <v>4.5999999999999996</v>
      </c>
      <c r="G1109" s="5">
        <v>4.2</v>
      </c>
      <c r="H1109" s="5">
        <v>4.45</v>
      </c>
      <c r="I1109" s="5">
        <v>4.3499999999999996</v>
      </c>
      <c r="J1109" s="5">
        <v>4.3600000000000003</v>
      </c>
      <c r="K1109" s="5">
        <v>2457</v>
      </c>
      <c r="L1109" s="5">
        <v>0.11</v>
      </c>
      <c r="M1109" s="5">
        <v>81</v>
      </c>
      <c r="N1109" s="5">
        <v>1718</v>
      </c>
      <c r="O1109" s="5">
        <v>69.92</v>
      </c>
      <c r="P1109" s="5">
        <f t="shared" si="90"/>
        <v>-0.15000000000000036</v>
      </c>
      <c r="Q1109" s="6">
        <f t="shared" si="91"/>
        <v>-3.3333333333333409E-2</v>
      </c>
      <c r="R1109" s="5">
        <f t="shared" si="92"/>
        <v>0.39999999999999947</v>
      </c>
      <c r="S1109" s="6">
        <f t="shared" si="93"/>
        <v>8.8888888888888767E-2</v>
      </c>
      <c r="T1109" s="6">
        <f t="shared" si="94"/>
        <v>-2.2662889518415131E-3</v>
      </c>
    </row>
    <row r="1110" spans="1:20" hidden="1" x14ac:dyDescent="0.25">
      <c r="A1110" s="4" t="s">
        <v>1063</v>
      </c>
      <c r="B1110" s="5" t="s">
        <v>16</v>
      </c>
      <c r="C1110" s="5" t="s">
        <v>1823</v>
      </c>
      <c r="D1110" s="5">
        <v>15.05</v>
      </c>
      <c r="E1110" s="5">
        <v>15.05</v>
      </c>
      <c r="F1110" s="5">
        <v>15.05</v>
      </c>
      <c r="G1110" s="5">
        <v>14.3</v>
      </c>
      <c r="H1110" s="5">
        <v>14.35</v>
      </c>
      <c r="I1110" s="5">
        <v>14.35</v>
      </c>
      <c r="J1110" s="5">
        <v>14.78</v>
      </c>
      <c r="K1110" s="5">
        <v>2132</v>
      </c>
      <c r="L1110" s="5">
        <v>0.32</v>
      </c>
      <c r="M1110" s="5">
        <v>15</v>
      </c>
      <c r="N1110" s="5">
        <v>2132</v>
      </c>
      <c r="O1110" s="5">
        <v>100</v>
      </c>
      <c r="P1110" s="5">
        <f t="shared" si="90"/>
        <v>-0.70000000000000107</v>
      </c>
      <c r="Q1110" s="6">
        <f t="shared" si="91"/>
        <v>-4.6511627906976813E-2</v>
      </c>
      <c r="R1110" s="5">
        <f t="shared" si="92"/>
        <v>0.75</v>
      </c>
      <c r="S1110" s="6">
        <f t="shared" si="93"/>
        <v>4.9833887043189369E-2</v>
      </c>
      <c r="T1110" s="6">
        <f t="shared" si="94"/>
        <v>-2.927659574468083E-2</v>
      </c>
    </row>
    <row r="1111" spans="1:20" x14ac:dyDescent="0.25">
      <c r="A1111" s="4" t="s">
        <v>346</v>
      </c>
      <c r="B1111" s="5" t="s">
        <v>16</v>
      </c>
      <c r="C1111" s="5" t="s">
        <v>1823</v>
      </c>
      <c r="D1111" s="5">
        <v>417.35</v>
      </c>
      <c r="E1111" s="5">
        <v>421.3</v>
      </c>
      <c r="F1111" s="5">
        <v>423.75</v>
      </c>
      <c r="G1111" s="5">
        <v>408.65</v>
      </c>
      <c r="H1111" s="5">
        <v>413.8</v>
      </c>
      <c r="I1111" s="5">
        <v>412.6</v>
      </c>
      <c r="J1111" s="5">
        <v>415.8</v>
      </c>
      <c r="K1111" s="5">
        <v>100221</v>
      </c>
      <c r="L1111" s="5">
        <v>416.72</v>
      </c>
      <c r="M1111" s="5">
        <v>5491</v>
      </c>
      <c r="N1111" s="5">
        <v>53519</v>
      </c>
      <c r="O1111" s="5">
        <v>53.4</v>
      </c>
      <c r="P1111" s="5">
        <f t="shared" si="90"/>
        <v>-4.75</v>
      </c>
      <c r="Q1111" s="6">
        <f t="shared" si="91"/>
        <v>-1.1381334611237569E-2</v>
      </c>
      <c r="R1111" s="5">
        <f t="shared" si="92"/>
        <v>15.100000000000023</v>
      </c>
      <c r="S1111" s="6">
        <f t="shared" si="93"/>
        <v>3.618066371151317E-2</v>
      </c>
      <c r="T1111" s="6">
        <f t="shared" si="94"/>
        <v>-7.6816899717937689E-3</v>
      </c>
    </row>
    <row r="1112" spans="1:20" hidden="1" x14ac:dyDescent="0.25">
      <c r="A1112" s="4" t="s">
        <v>1065</v>
      </c>
      <c r="B1112" s="5" t="s">
        <v>16</v>
      </c>
      <c r="C1112" s="5" t="s">
        <v>1823</v>
      </c>
      <c r="D1112" s="5">
        <v>53.3</v>
      </c>
      <c r="E1112" s="5">
        <v>53</v>
      </c>
      <c r="F1112" s="5">
        <v>54</v>
      </c>
      <c r="G1112" s="5">
        <v>52.05</v>
      </c>
      <c r="H1112" s="5">
        <v>54</v>
      </c>
      <c r="I1112" s="5">
        <v>53.35</v>
      </c>
      <c r="J1112" s="5">
        <v>53.16</v>
      </c>
      <c r="K1112" s="5">
        <v>13622</v>
      </c>
      <c r="L1112" s="5">
        <v>7.24</v>
      </c>
      <c r="M1112" s="5">
        <v>148</v>
      </c>
      <c r="N1112" s="5">
        <v>9526</v>
      </c>
      <c r="O1112" s="5">
        <v>69.930000000000007</v>
      </c>
      <c r="P1112" s="5">
        <f t="shared" si="90"/>
        <v>5.0000000000004263E-2</v>
      </c>
      <c r="Q1112" s="6">
        <f t="shared" si="91"/>
        <v>9.3808630394004249E-4</v>
      </c>
      <c r="R1112" s="5">
        <f t="shared" si="92"/>
        <v>1.9500000000000028</v>
      </c>
      <c r="S1112" s="6">
        <f t="shared" si="93"/>
        <v>3.658536585365859E-2</v>
      </c>
      <c r="T1112" s="6">
        <f t="shared" si="94"/>
        <v>3.5781544256121437E-3</v>
      </c>
    </row>
    <row r="1113" spans="1:20" hidden="1" x14ac:dyDescent="0.25">
      <c r="A1113" s="4" t="s">
        <v>1066</v>
      </c>
      <c r="B1113" s="5" t="s">
        <v>16</v>
      </c>
      <c r="C1113" s="5" t="s">
        <v>1823</v>
      </c>
      <c r="D1113" s="5">
        <v>300.95</v>
      </c>
      <c r="E1113" s="5">
        <v>300.14999999999998</v>
      </c>
      <c r="F1113" s="5">
        <v>307</v>
      </c>
      <c r="G1113" s="5">
        <v>298.25</v>
      </c>
      <c r="H1113" s="5">
        <v>303</v>
      </c>
      <c r="I1113" s="5">
        <v>301.7</v>
      </c>
      <c r="J1113" s="5">
        <v>302.16000000000003</v>
      </c>
      <c r="K1113" s="5">
        <v>29555</v>
      </c>
      <c r="L1113" s="5">
        <v>89.3</v>
      </c>
      <c r="M1113" s="5">
        <v>1023</v>
      </c>
      <c r="N1113" s="5">
        <v>22106</v>
      </c>
      <c r="O1113" s="5">
        <v>74.8</v>
      </c>
      <c r="P1113" s="5">
        <f t="shared" si="90"/>
        <v>0.75</v>
      </c>
      <c r="Q1113" s="6">
        <f t="shared" si="91"/>
        <v>2.4921083236418011E-3</v>
      </c>
      <c r="R1113" s="5">
        <f t="shared" si="92"/>
        <v>8.75</v>
      </c>
      <c r="S1113" s="6">
        <f t="shared" si="93"/>
        <v>2.9074597109154346E-2</v>
      </c>
      <c r="T1113" s="6">
        <f t="shared" si="94"/>
        <v>-1.5243144727032935E-3</v>
      </c>
    </row>
    <row r="1114" spans="1:20" hidden="1" x14ac:dyDescent="0.25">
      <c r="A1114" s="4" t="s">
        <v>1067</v>
      </c>
      <c r="B1114" s="5" t="s">
        <v>16</v>
      </c>
      <c r="C1114" s="5" t="s">
        <v>1823</v>
      </c>
      <c r="D1114" s="5">
        <v>2180.0500000000002</v>
      </c>
      <c r="E1114" s="5">
        <v>2228</v>
      </c>
      <c r="F1114" s="5">
        <v>2290.1</v>
      </c>
      <c r="G1114" s="5">
        <v>2166</v>
      </c>
      <c r="H1114" s="5">
        <v>2247.9499999999998</v>
      </c>
      <c r="I1114" s="5">
        <v>2241.5500000000002</v>
      </c>
      <c r="J1114" s="5">
        <v>2228.63</v>
      </c>
      <c r="K1114" s="5">
        <v>5239</v>
      </c>
      <c r="L1114" s="5">
        <v>116.76</v>
      </c>
      <c r="M1114" s="5">
        <v>1175</v>
      </c>
      <c r="N1114" s="5">
        <v>3288</v>
      </c>
      <c r="O1114" s="5">
        <v>62.76</v>
      </c>
      <c r="P1114" s="5">
        <f t="shared" si="90"/>
        <v>61.5</v>
      </c>
      <c r="Q1114" s="6">
        <f t="shared" si="91"/>
        <v>2.821036214765716E-2</v>
      </c>
      <c r="R1114" s="5">
        <f t="shared" si="92"/>
        <v>124.09999999999991</v>
      </c>
      <c r="S1114" s="6">
        <f t="shared" si="93"/>
        <v>5.6925299878443109E-2</v>
      </c>
      <c r="T1114" s="6">
        <f t="shared" si="94"/>
        <v>5.7900545058343408E-3</v>
      </c>
    </row>
    <row r="1115" spans="1:20" hidden="1" x14ac:dyDescent="0.25">
      <c r="A1115" s="4" t="s">
        <v>1068</v>
      </c>
      <c r="B1115" s="5" t="s">
        <v>16</v>
      </c>
      <c r="C1115" s="5" t="s">
        <v>1823</v>
      </c>
      <c r="D1115" s="5">
        <v>253.5</v>
      </c>
      <c r="E1115" s="5">
        <v>250.3</v>
      </c>
      <c r="F1115" s="5">
        <v>258.8</v>
      </c>
      <c r="G1115" s="5">
        <v>250.3</v>
      </c>
      <c r="H1115" s="5">
        <v>252</v>
      </c>
      <c r="I1115" s="5">
        <v>252.5</v>
      </c>
      <c r="J1115" s="5">
        <v>254.14</v>
      </c>
      <c r="K1115" s="5">
        <v>5311</v>
      </c>
      <c r="L1115" s="5">
        <v>13.5</v>
      </c>
      <c r="M1115" s="5">
        <v>384</v>
      </c>
      <c r="N1115" s="5">
        <v>866</v>
      </c>
      <c r="O1115" s="5">
        <v>16.309999999999999</v>
      </c>
      <c r="P1115" s="5">
        <f t="shared" si="90"/>
        <v>-1</v>
      </c>
      <c r="Q1115" s="6">
        <f t="shared" si="91"/>
        <v>-3.9447731755424065E-3</v>
      </c>
      <c r="R1115" s="5">
        <f t="shared" si="92"/>
        <v>8.5</v>
      </c>
      <c r="S1115" s="6">
        <f t="shared" si="93"/>
        <v>3.3530571992110451E-2</v>
      </c>
      <c r="T1115" s="6">
        <f t="shared" si="94"/>
        <v>-6.4828540369601196E-3</v>
      </c>
    </row>
    <row r="1116" spans="1:20" hidden="1" x14ac:dyDescent="0.25">
      <c r="A1116" s="4" t="s">
        <v>1069</v>
      </c>
      <c r="B1116" s="5" t="s">
        <v>16</v>
      </c>
      <c r="C1116" s="5" t="s">
        <v>1823</v>
      </c>
      <c r="D1116" s="5">
        <v>13.6</v>
      </c>
      <c r="E1116" s="5">
        <v>13.35</v>
      </c>
      <c r="F1116" s="5">
        <v>13.75</v>
      </c>
      <c r="G1116" s="5">
        <v>13.3</v>
      </c>
      <c r="H1116" s="5">
        <v>13.5</v>
      </c>
      <c r="I1116" s="5">
        <v>13.5</v>
      </c>
      <c r="J1116" s="5">
        <v>13.52</v>
      </c>
      <c r="K1116" s="5">
        <v>2340</v>
      </c>
      <c r="L1116" s="5">
        <v>0.32</v>
      </c>
      <c r="M1116" s="5">
        <v>26</v>
      </c>
      <c r="N1116" s="5">
        <v>2282</v>
      </c>
      <c r="O1116" s="5">
        <v>97.52</v>
      </c>
      <c r="P1116" s="5">
        <f t="shared" si="90"/>
        <v>-9.9999999999999645E-2</v>
      </c>
      <c r="Q1116" s="6">
        <f t="shared" si="91"/>
        <v>-7.3529411764705621E-3</v>
      </c>
      <c r="R1116" s="5">
        <f t="shared" si="92"/>
        <v>0.44999999999999929</v>
      </c>
      <c r="S1116" s="6">
        <f t="shared" si="93"/>
        <v>3.3088235294117599E-2</v>
      </c>
      <c r="T1116" s="6">
        <f t="shared" si="94"/>
        <v>-1.4842300556585954E-3</v>
      </c>
    </row>
    <row r="1117" spans="1:20" x14ac:dyDescent="0.25">
      <c r="A1117" s="4" t="s">
        <v>924</v>
      </c>
      <c r="B1117" s="5" t="s">
        <v>16</v>
      </c>
      <c r="C1117" s="5" t="s">
        <v>1823</v>
      </c>
      <c r="D1117" s="5">
        <v>230.7</v>
      </c>
      <c r="E1117" s="5">
        <v>230.7</v>
      </c>
      <c r="F1117" s="5">
        <v>234</v>
      </c>
      <c r="G1117" s="5">
        <v>220.15</v>
      </c>
      <c r="H1117" s="5">
        <v>223.4</v>
      </c>
      <c r="I1117" s="5">
        <v>222.55</v>
      </c>
      <c r="J1117" s="5">
        <v>225.44</v>
      </c>
      <c r="K1117" s="5">
        <v>135387</v>
      </c>
      <c r="L1117" s="5">
        <v>305.22000000000003</v>
      </c>
      <c r="M1117" s="5">
        <v>8976</v>
      </c>
      <c r="N1117" s="5">
        <v>72334</v>
      </c>
      <c r="O1117" s="5">
        <v>53.43</v>
      </c>
      <c r="P1117" s="5">
        <f t="shared" si="90"/>
        <v>-8.1499999999999773</v>
      </c>
      <c r="Q1117" s="6">
        <f t="shared" si="91"/>
        <v>-3.5327264846120407E-2</v>
      </c>
      <c r="R1117" s="5">
        <f t="shared" si="92"/>
        <v>13.849999999999994</v>
      </c>
      <c r="S1117" s="6">
        <f t="shared" si="93"/>
        <v>6.003467706978758E-2</v>
      </c>
      <c r="T1117" s="6">
        <f t="shared" si="94"/>
        <v>-1.2739695834251647E-2</v>
      </c>
    </row>
    <row r="1118" spans="1:20" x14ac:dyDescent="0.25">
      <c r="A1118" s="4" t="s">
        <v>235</v>
      </c>
      <c r="B1118" s="5" t="s">
        <v>16</v>
      </c>
      <c r="C1118" s="5" t="s">
        <v>1823</v>
      </c>
      <c r="D1118" s="5">
        <v>348.65</v>
      </c>
      <c r="E1118" s="5">
        <v>349.05</v>
      </c>
      <c r="F1118" s="5">
        <v>350.95</v>
      </c>
      <c r="G1118" s="5">
        <v>338</v>
      </c>
      <c r="H1118" s="5">
        <v>343</v>
      </c>
      <c r="I1118" s="5">
        <v>341.65</v>
      </c>
      <c r="J1118" s="5">
        <v>342.67</v>
      </c>
      <c r="K1118" s="5">
        <v>4610586</v>
      </c>
      <c r="L1118" s="5">
        <v>15799.18</v>
      </c>
      <c r="M1118" s="5">
        <v>105706</v>
      </c>
      <c r="N1118" s="5">
        <v>2465988</v>
      </c>
      <c r="O1118" s="5">
        <v>53.49</v>
      </c>
      <c r="P1118" s="5">
        <f t="shared" si="90"/>
        <v>-7</v>
      </c>
      <c r="Q1118" s="6">
        <f t="shared" si="91"/>
        <v>-2.007744156030403E-2</v>
      </c>
      <c r="R1118" s="5">
        <f t="shared" si="92"/>
        <v>12.949999999999989</v>
      </c>
      <c r="S1118" s="6">
        <f t="shared" si="93"/>
        <v>3.7143266886562422E-2</v>
      </c>
      <c r="T1118" s="6">
        <f t="shared" si="94"/>
        <v>-2.9572717718262995E-3</v>
      </c>
    </row>
    <row r="1119" spans="1:20" hidden="1" x14ac:dyDescent="0.25">
      <c r="A1119" s="4" t="s">
        <v>1072</v>
      </c>
      <c r="B1119" s="5" t="s">
        <v>16</v>
      </c>
      <c r="C1119" s="5" t="s">
        <v>1823</v>
      </c>
      <c r="D1119" s="5">
        <v>699.55</v>
      </c>
      <c r="E1119" s="5">
        <v>699.55</v>
      </c>
      <c r="F1119" s="5">
        <v>701.3</v>
      </c>
      <c r="G1119" s="5">
        <v>672.3</v>
      </c>
      <c r="H1119" s="5">
        <v>698</v>
      </c>
      <c r="I1119" s="5">
        <v>694.35</v>
      </c>
      <c r="J1119" s="5">
        <v>688.13</v>
      </c>
      <c r="K1119" s="5">
        <v>47900</v>
      </c>
      <c r="L1119" s="5">
        <v>329.62</v>
      </c>
      <c r="M1119" s="5">
        <v>2535</v>
      </c>
      <c r="N1119" s="5">
        <v>27181</v>
      </c>
      <c r="O1119" s="5">
        <v>56.75</v>
      </c>
      <c r="P1119" s="5">
        <f t="shared" si="90"/>
        <v>-5.1999999999999318</v>
      </c>
      <c r="Q1119" s="6">
        <f t="shared" si="91"/>
        <v>-7.4333500107210812E-3</v>
      </c>
      <c r="R1119" s="5">
        <f t="shared" si="92"/>
        <v>29</v>
      </c>
      <c r="S1119" s="6">
        <f t="shared" si="93"/>
        <v>4.1455221213637344E-2</v>
      </c>
      <c r="T1119" s="6">
        <f t="shared" si="94"/>
        <v>8.9900632339657144E-3</v>
      </c>
    </row>
    <row r="1120" spans="1:20" hidden="1" x14ac:dyDescent="0.25">
      <c r="A1120" s="4" t="s">
        <v>1073</v>
      </c>
      <c r="B1120" s="5" t="s">
        <v>16</v>
      </c>
      <c r="C1120" s="5" t="s">
        <v>1823</v>
      </c>
      <c r="D1120" s="5">
        <v>40.450000000000003</v>
      </c>
      <c r="E1120" s="5">
        <v>42.4</v>
      </c>
      <c r="F1120" s="5">
        <v>42.4</v>
      </c>
      <c r="G1120" s="5">
        <v>38.450000000000003</v>
      </c>
      <c r="H1120" s="5">
        <v>38.5</v>
      </c>
      <c r="I1120" s="5">
        <v>38.5</v>
      </c>
      <c r="J1120" s="5">
        <v>39.47</v>
      </c>
      <c r="K1120" s="5">
        <v>218</v>
      </c>
      <c r="L1120" s="5">
        <v>0.09</v>
      </c>
      <c r="M1120" s="5">
        <v>10</v>
      </c>
      <c r="N1120" s="5">
        <v>146</v>
      </c>
      <c r="O1120" s="5">
        <v>66.97</v>
      </c>
      <c r="P1120" s="5">
        <f t="shared" si="90"/>
        <v>-1.9500000000000028</v>
      </c>
      <c r="Q1120" s="6">
        <f t="shared" si="91"/>
        <v>-4.8207663782447535E-2</v>
      </c>
      <c r="R1120" s="5">
        <f t="shared" si="92"/>
        <v>3.9499999999999957</v>
      </c>
      <c r="S1120" s="6">
        <f t="shared" si="93"/>
        <v>9.7651421508034492E-2</v>
      </c>
      <c r="T1120" s="6">
        <f t="shared" si="94"/>
        <v>-2.3987635239567207E-2</v>
      </c>
    </row>
    <row r="1121" spans="1:20" hidden="1" x14ac:dyDescent="0.25">
      <c r="A1121" s="4" t="s">
        <v>1074</v>
      </c>
      <c r="B1121" s="5" t="s">
        <v>16</v>
      </c>
      <c r="C1121" s="5" t="s">
        <v>1823</v>
      </c>
      <c r="D1121" s="5">
        <v>966.1</v>
      </c>
      <c r="E1121" s="5">
        <v>972</v>
      </c>
      <c r="F1121" s="5">
        <v>972</v>
      </c>
      <c r="G1121" s="5">
        <v>945.25</v>
      </c>
      <c r="H1121" s="5">
        <v>950</v>
      </c>
      <c r="I1121" s="5">
        <v>959.2</v>
      </c>
      <c r="J1121" s="5">
        <v>960.14</v>
      </c>
      <c r="K1121" s="5">
        <v>105233</v>
      </c>
      <c r="L1121" s="5">
        <v>1010.39</v>
      </c>
      <c r="M1121" s="5">
        <v>8104</v>
      </c>
      <c r="N1121" s="5">
        <v>68477</v>
      </c>
      <c r="O1121" s="5">
        <v>65.069999999999993</v>
      </c>
      <c r="P1121" s="5">
        <f t="shared" si="90"/>
        <v>-6.8999999999999773</v>
      </c>
      <c r="Q1121" s="6">
        <f t="shared" si="91"/>
        <v>-7.1421177931890872E-3</v>
      </c>
      <c r="R1121" s="5">
        <f t="shared" si="92"/>
        <v>26.75</v>
      </c>
      <c r="S1121" s="6">
        <f t="shared" si="93"/>
        <v>2.7688645067798365E-2</v>
      </c>
      <c r="T1121" s="6">
        <f t="shared" si="94"/>
        <v>-9.7701672101749119E-4</v>
      </c>
    </row>
    <row r="1122" spans="1:20" hidden="1" x14ac:dyDescent="0.25">
      <c r="A1122" s="4" t="s">
        <v>1075</v>
      </c>
      <c r="B1122" s="5" t="s">
        <v>16</v>
      </c>
      <c r="C1122" s="5" t="s">
        <v>1823</v>
      </c>
      <c r="D1122" s="5">
        <v>492.7</v>
      </c>
      <c r="E1122" s="5">
        <v>491</v>
      </c>
      <c r="F1122" s="5">
        <v>495.9</v>
      </c>
      <c r="G1122" s="5">
        <v>480</v>
      </c>
      <c r="H1122" s="5">
        <v>487.95</v>
      </c>
      <c r="I1122" s="5">
        <v>483.6</v>
      </c>
      <c r="J1122" s="5">
        <v>485.83</v>
      </c>
      <c r="K1122" s="5">
        <v>1282</v>
      </c>
      <c r="L1122" s="5">
        <v>6.23</v>
      </c>
      <c r="M1122" s="5">
        <v>171</v>
      </c>
      <c r="N1122" s="5">
        <v>807</v>
      </c>
      <c r="O1122" s="5">
        <v>62.95</v>
      </c>
      <c r="P1122" s="5">
        <f t="shared" si="90"/>
        <v>-9.0999999999999659</v>
      </c>
      <c r="Q1122" s="6">
        <f t="shared" si="91"/>
        <v>-1.8469656992084364E-2</v>
      </c>
      <c r="R1122" s="5">
        <f t="shared" si="92"/>
        <v>15.899999999999977</v>
      </c>
      <c r="S1122" s="6">
        <f t="shared" si="93"/>
        <v>3.2271158920235389E-2</v>
      </c>
      <c r="T1122" s="6">
        <f t="shared" si="94"/>
        <v>-4.5731863624710817E-3</v>
      </c>
    </row>
    <row r="1123" spans="1:20" hidden="1" x14ac:dyDescent="0.25">
      <c r="A1123" s="4" t="s">
        <v>1076</v>
      </c>
      <c r="B1123" s="5" t="s">
        <v>16</v>
      </c>
      <c r="C1123" s="5" t="s">
        <v>1823</v>
      </c>
      <c r="D1123" s="5">
        <v>65879.55</v>
      </c>
      <c r="E1123" s="5">
        <v>65522</v>
      </c>
      <c r="F1123" s="5">
        <v>65990</v>
      </c>
      <c r="G1123" s="5">
        <v>64200</v>
      </c>
      <c r="H1123" s="5">
        <v>64399.95</v>
      </c>
      <c r="I1123" s="5">
        <v>64499.5</v>
      </c>
      <c r="J1123" s="5">
        <v>64970.67</v>
      </c>
      <c r="K1123" s="5">
        <v>6021</v>
      </c>
      <c r="L1123" s="5">
        <v>3911.88</v>
      </c>
      <c r="M1123" s="5">
        <v>4216</v>
      </c>
      <c r="N1123" s="5">
        <v>1851</v>
      </c>
      <c r="O1123" s="5">
        <v>30.74</v>
      </c>
      <c r="P1123" s="5">
        <f t="shared" si="90"/>
        <v>-1380.0500000000029</v>
      </c>
      <c r="Q1123" s="6">
        <f t="shared" si="91"/>
        <v>-2.094807872852809E-2</v>
      </c>
      <c r="R1123" s="5">
        <f t="shared" si="92"/>
        <v>1790</v>
      </c>
      <c r="S1123" s="6">
        <f t="shared" si="93"/>
        <v>2.7170798829075183E-2</v>
      </c>
      <c r="T1123" s="6">
        <f t="shared" si="94"/>
        <v>-7.2428774285532849E-3</v>
      </c>
    </row>
    <row r="1124" spans="1:20" hidden="1" x14ac:dyDescent="0.25">
      <c r="A1124" s="4" t="s">
        <v>1077</v>
      </c>
      <c r="B1124" s="5" t="s">
        <v>39</v>
      </c>
      <c r="C1124" s="5" t="s">
        <v>1823</v>
      </c>
      <c r="D1124" s="5">
        <v>17.95</v>
      </c>
      <c r="E1124" s="5">
        <v>17.100000000000001</v>
      </c>
      <c r="F1124" s="5">
        <v>18</v>
      </c>
      <c r="G1124" s="5">
        <v>17.100000000000001</v>
      </c>
      <c r="H1124" s="5">
        <v>17.100000000000001</v>
      </c>
      <c r="I1124" s="5">
        <v>17.100000000000001</v>
      </c>
      <c r="J1124" s="5">
        <v>17.13</v>
      </c>
      <c r="K1124" s="5">
        <v>2700</v>
      </c>
      <c r="L1124" s="5">
        <v>0.46</v>
      </c>
      <c r="M1124" s="5">
        <v>8</v>
      </c>
      <c r="N1124" s="5" t="s">
        <v>25</v>
      </c>
      <c r="O1124" s="5" t="s">
        <v>25</v>
      </c>
      <c r="P1124" s="5">
        <f t="shared" si="90"/>
        <v>-0.84999999999999787</v>
      </c>
      <c r="Q1124" s="6">
        <f t="shared" si="91"/>
        <v>-4.7353760445682333E-2</v>
      </c>
      <c r="R1124" s="5">
        <f t="shared" si="92"/>
        <v>0.89999999999999858</v>
      </c>
      <c r="S1124" s="6">
        <f t="shared" si="93"/>
        <v>5.0139275766016636E-2</v>
      </c>
      <c r="T1124" s="6">
        <f t="shared" si="94"/>
        <v>-1.731601731601592E-3</v>
      </c>
    </row>
    <row r="1125" spans="1:20" x14ac:dyDescent="0.25">
      <c r="A1125" s="4" t="s">
        <v>1478</v>
      </c>
      <c r="B1125" s="5" t="s">
        <v>16</v>
      </c>
      <c r="C1125" s="5" t="s">
        <v>1823</v>
      </c>
      <c r="D1125" s="5">
        <v>12.25</v>
      </c>
      <c r="E1125" s="5">
        <v>12.15</v>
      </c>
      <c r="F1125" s="5">
        <v>13.25</v>
      </c>
      <c r="G1125" s="5">
        <v>11.35</v>
      </c>
      <c r="H1125" s="5">
        <v>12.5</v>
      </c>
      <c r="I1125" s="5">
        <v>12.9</v>
      </c>
      <c r="J1125" s="5">
        <v>12.27</v>
      </c>
      <c r="K1125" s="5">
        <v>374371</v>
      </c>
      <c r="L1125" s="5">
        <v>45.95</v>
      </c>
      <c r="M1125" s="5">
        <v>809</v>
      </c>
      <c r="N1125" s="5">
        <v>200855</v>
      </c>
      <c r="O1125" s="5">
        <v>53.65</v>
      </c>
      <c r="P1125" s="5">
        <f t="shared" si="90"/>
        <v>0.65000000000000036</v>
      </c>
      <c r="Q1125" s="6">
        <f t="shared" si="91"/>
        <v>5.3061224489795944E-2</v>
      </c>
      <c r="R1125" s="5">
        <f t="shared" si="92"/>
        <v>1.9000000000000004</v>
      </c>
      <c r="S1125" s="6">
        <f t="shared" si="93"/>
        <v>0.15510204081632656</v>
      </c>
      <c r="T1125" s="6">
        <f t="shared" si="94"/>
        <v>5.075528700906351E-2</v>
      </c>
    </row>
    <row r="1126" spans="1:20" hidden="1" x14ac:dyDescent="0.25">
      <c r="A1126" s="4" t="s">
        <v>1079</v>
      </c>
      <c r="B1126" s="5" t="s">
        <v>39</v>
      </c>
      <c r="C1126" s="5" t="s">
        <v>1823</v>
      </c>
      <c r="D1126" s="5">
        <v>5.35</v>
      </c>
      <c r="E1126" s="5">
        <v>5.0999999999999996</v>
      </c>
      <c r="F1126" s="5">
        <v>5.35</v>
      </c>
      <c r="G1126" s="5">
        <v>5.0999999999999996</v>
      </c>
      <c r="H1126" s="5">
        <v>5.25</v>
      </c>
      <c r="I1126" s="5">
        <v>5.25</v>
      </c>
      <c r="J1126" s="5">
        <v>5.21</v>
      </c>
      <c r="K1126" s="5">
        <v>400</v>
      </c>
      <c r="L1126" s="5">
        <v>0.02</v>
      </c>
      <c r="M1126" s="5">
        <v>4</v>
      </c>
      <c r="N1126" s="5" t="s">
        <v>25</v>
      </c>
      <c r="O1126" s="5" t="s">
        <v>25</v>
      </c>
      <c r="P1126" s="5">
        <f t="shared" si="90"/>
        <v>-9.9999999999999645E-2</v>
      </c>
      <c r="Q1126" s="6">
        <f t="shared" si="91"/>
        <v>-1.8691588785046665E-2</v>
      </c>
      <c r="R1126" s="5">
        <f t="shared" si="92"/>
        <v>0.25</v>
      </c>
      <c r="S1126" s="6">
        <f t="shared" si="93"/>
        <v>4.6728971962616828E-2</v>
      </c>
      <c r="T1126" s="6">
        <f t="shared" si="94"/>
        <v>7.6923076923077005E-3</v>
      </c>
    </row>
    <row r="1127" spans="1:20" x14ac:dyDescent="0.25">
      <c r="A1127" s="4" t="s">
        <v>1664</v>
      </c>
      <c r="B1127" s="5" t="s">
        <v>16</v>
      </c>
      <c r="C1127" s="5" t="s">
        <v>1823</v>
      </c>
      <c r="D1127" s="5">
        <v>67.599999999999994</v>
      </c>
      <c r="E1127" s="5">
        <v>66.95</v>
      </c>
      <c r="F1127" s="5">
        <v>66.95</v>
      </c>
      <c r="G1127" s="5">
        <v>64</v>
      </c>
      <c r="H1127" s="5">
        <v>64.25</v>
      </c>
      <c r="I1127" s="5">
        <v>64.3</v>
      </c>
      <c r="J1127" s="5">
        <v>65.099999999999994</v>
      </c>
      <c r="K1127" s="5">
        <v>211033</v>
      </c>
      <c r="L1127" s="5">
        <v>137.38</v>
      </c>
      <c r="M1127" s="5">
        <v>5071</v>
      </c>
      <c r="N1127" s="5">
        <v>113591</v>
      </c>
      <c r="O1127" s="5">
        <v>53.83</v>
      </c>
      <c r="P1127" s="5">
        <f t="shared" si="90"/>
        <v>-3.2999999999999972</v>
      </c>
      <c r="Q1127" s="6">
        <f t="shared" si="91"/>
        <v>-4.8816568047337243E-2</v>
      </c>
      <c r="R1127" s="5">
        <f t="shared" si="92"/>
        <v>2.9500000000000028</v>
      </c>
      <c r="S1127" s="6">
        <f t="shared" si="93"/>
        <v>4.3639053254437912E-2</v>
      </c>
      <c r="T1127" s="6">
        <f t="shared" si="94"/>
        <v>-1.2204424103737562E-2</v>
      </c>
    </row>
    <row r="1128" spans="1:20" hidden="1" x14ac:dyDescent="0.25">
      <c r="A1128" s="4" t="s">
        <v>1081</v>
      </c>
      <c r="B1128" s="5" t="s">
        <v>16</v>
      </c>
      <c r="C1128" s="5" t="s">
        <v>1823</v>
      </c>
      <c r="D1128" s="5">
        <v>22.9</v>
      </c>
      <c r="E1128" s="5">
        <v>23.25</v>
      </c>
      <c r="F1128" s="5">
        <v>23.5</v>
      </c>
      <c r="G1128" s="5">
        <v>22.55</v>
      </c>
      <c r="H1128" s="5">
        <v>22.9</v>
      </c>
      <c r="I1128" s="5">
        <v>22.95</v>
      </c>
      <c r="J1128" s="5">
        <v>23.06</v>
      </c>
      <c r="K1128" s="5">
        <v>67481</v>
      </c>
      <c r="L1128" s="5">
        <v>15.56</v>
      </c>
      <c r="M1128" s="5">
        <v>132</v>
      </c>
      <c r="N1128" s="5">
        <v>65754</v>
      </c>
      <c r="O1128" s="5">
        <v>97.44</v>
      </c>
      <c r="P1128" s="5">
        <f t="shared" si="90"/>
        <v>5.0000000000000711E-2</v>
      </c>
      <c r="Q1128" s="6">
        <f t="shared" si="91"/>
        <v>2.183406113537149E-3</v>
      </c>
      <c r="R1128" s="5">
        <f t="shared" si="92"/>
        <v>0.94999999999999929</v>
      </c>
      <c r="S1128" s="6">
        <f t="shared" si="93"/>
        <v>4.1484716157205212E-2</v>
      </c>
      <c r="T1128" s="6">
        <f t="shared" si="94"/>
        <v>-4.7696476964769405E-3</v>
      </c>
    </row>
    <row r="1129" spans="1:20" hidden="1" x14ac:dyDescent="0.25">
      <c r="A1129" s="4" t="s">
        <v>1082</v>
      </c>
      <c r="B1129" s="5" t="s">
        <v>16</v>
      </c>
      <c r="C1129" s="5" t="s">
        <v>1823</v>
      </c>
      <c r="D1129" s="5">
        <v>6.3</v>
      </c>
      <c r="E1129" s="5">
        <v>6.3</v>
      </c>
      <c r="F1129" s="5">
        <v>6.3</v>
      </c>
      <c r="G1129" s="5">
        <v>5.95</v>
      </c>
      <c r="H1129" s="5">
        <v>6</v>
      </c>
      <c r="I1129" s="5">
        <v>6</v>
      </c>
      <c r="J1129" s="5">
        <v>6.09</v>
      </c>
      <c r="K1129" s="5">
        <v>1343646</v>
      </c>
      <c r="L1129" s="5">
        <v>81.86</v>
      </c>
      <c r="M1129" s="5">
        <v>1765</v>
      </c>
      <c r="N1129" s="5">
        <v>441101</v>
      </c>
      <c r="O1129" s="5">
        <v>32.83</v>
      </c>
      <c r="P1129" s="5">
        <f t="shared" si="90"/>
        <v>-0.29999999999999982</v>
      </c>
      <c r="Q1129" s="6">
        <f t="shared" si="91"/>
        <v>-4.7619047619047596E-2</v>
      </c>
      <c r="R1129" s="5">
        <f t="shared" si="92"/>
        <v>0.34999999999999964</v>
      </c>
      <c r="S1129" s="6">
        <f t="shared" si="93"/>
        <v>5.5555555555555504E-2</v>
      </c>
      <c r="T1129" s="6">
        <f t="shared" si="94"/>
        <v>-1.4663951120162909E-2</v>
      </c>
    </row>
    <row r="1130" spans="1:20" hidden="1" x14ac:dyDescent="0.25">
      <c r="A1130" s="4" t="s">
        <v>1083</v>
      </c>
      <c r="B1130" s="5" t="s">
        <v>16</v>
      </c>
      <c r="C1130" s="5" t="s">
        <v>1823</v>
      </c>
      <c r="D1130" s="5">
        <v>13.25</v>
      </c>
      <c r="E1130" s="5">
        <v>14</v>
      </c>
      <c r="F1130" s="5">
        <v>14</v>
      </c>
      <c r="G1130" s="5">
        <v>12.8</v>
      </c>
      <c r="H1130" s="5">
        <v>13</v>
      </c>
      <c r="I1130" s="5">
        <v>13</v>
      </c>
      <c r="J1130" s="5">
        <v>13.11</v>
      </c>
      <c r="K1130" s="5">
        <v>2379</v>
      </c>
      <c r="L1130" s="5">
        <v>0.31</v>
      </c>
      <c r="M1130" s="5">
        <v>35</v>
      </c>
      <c r="N1130" s="5">
        <v>1080</v>
      </c>
      <c r="O1130" s="5">
        <v>45.4</v>
      </c>
      <c r="P1130" s="5">
        <f t="shared" si="90"/>
        <v>-0.25</v>
      </c>
      <c r="Q1130" s="6">
        <f t="shared" si="91"/>
        <v>-1.8867924528301886E-2</v>
      </c>
      <c r="R1130" s="5">
        <f t="shared" si="92"/>
        <v>1.1999999999999993</v>
      </c>
      <c r="S1130" s="6">
        <f t="shared" si="93"/>
        <v>9.0566037735849009E-2</v>
      </c>
      <c r="T1130" s="6">
        <f t="shared" si="94"/>
        <v>-8.1784386617099955E-3</v>
      </c>
    </row>
    <row r="1131" spans="1:20" hidden="1" x14ac:dyDescent="0.25">
      <c r="A1131" s="4" t="s">
        <v>1084</v>
      </c>
      <c r="B1131" s="5" t="s">
        <v>16</v>
      </c>
      <c r="C1131" s="5" t="s">
        <v>1823</v>
      </c>
      <c r="D1131" s="5">
        <v>35.549999999999997</v>
      </c>
      <c r="E1131" s="5">
        <v>35</v>
      </c>
      <c r="F1131" s="5">
        <v>35.9</v>
      </c>
      <c r="G1131" s="5">
        <v>34.200000000000003</v>
      </c>
      <c r="H1131" s="5">
        <v>35.799999999999997</v>
      </c>
      <c r="I1131" s="5">
        <v>35.15</v>
      </c>
      <c r="J1131" s="5">
        <v>35.119999999999997</v>
      </c>
      <c r="K1131" s="5">
        <v>4855</v>
      </c>
      <c r="L1131" s="5">
        <v>1.7</v>
      </c>
      <c r="M1131" s="5">
        <v>47</v>
      </c>
      <c r="N1131" s="5">
        <v>4149</v>
      </c>
      <c r="O1131" s="5">
        <v>85.46</v>
      </c>
      <c r="P1131" s="5">
        <f t="shared" si="90"/>
        <v>-0.39999999999999858</v>
      </c>
      <c r="Q1131" s="6">
        <f t="shared" si="91"/>
        <v>-1.1251758087201085E-2</v>
      </c>
      <c r="R1131" s="5">
        <f t="shared" si="92"/>
        <v>1.6999999999999957</v>
      </c>
      <c r="S1131" s="6">
        <f t="shared" si="93"/>
        <v>4.7819971870604668E-2</v>
      </c>
      <c r="T1131" s="6">
        <f t="shared" si="94"/>
        <v>8.5561497326206446E-4</v>
      </c>
    </row>
    <row r="1132" spans="1:20" hidden="1" x14ac:dyDescent="0.25">
      <c r="A1132" s="4" t="s">
        <v>1084</v>
      </c>
      <c r="B1132" s="5" t="s">
        <v>1848</v>
      </c>
      <c r="C1132" s="5" t="s">
        <v>1823</v>
      </c>
      <c r="D1132" s="5">
        <v>5</v>
      </c>
      <c r="E1132" s="5">
        <v>4.5999999999999996</v>
      </c>
      <c r="F1132" s="5">
        <v>4.5999999999999996</v>
      </c>
      <c r="G1132" s="5">
        <v>4.5999999999999996</v>
      </c>
      <c r="H1132" s="5">
        <v>4.5999999999999996</v>
      </c>
      <c r="I1132" s="5">
        <v>4.5999999999999996</v>
      </c>
      <c r="J1132" s="5">
        <v>4.5999999999999996</v>
      </c>
      <c r="K1132" s="5">
        <v>5</v>
      </c>
      <c r="L1132" s="5">
        <v>0</v>
      </c>
      <c r="M1132" s="5">
        <v>1</v>
      </c>
      <c r="N1132" s="5">
        <v>5</v>
      </c>
      <c r="O1132" s="5">
        <v>100</v>
      </c>
      <c r="P1132" s="5">
        <f t="shared" si="90"/>
        <v>-0.40000000000000036</v>
      </c>
      <c r="Q1132" s="6">
        <f t="shared" si="91"/>
        <v>-8.0000000000000071E-2</v>
      </c>
      <c r="R1132" s="5">
        <f t="shared" si="92"/>
        <v>0</v>
      </c>
      <c r="S1132" s="6">
        <f t="shared" si="93"/>
        <v>0</v>
      </c>
      <c r="T1132" s="6">
        <f t="shared" si="94"/>
        <v>0</v>
      </c>
    </row>
    <row r="1133" spans="1:20" hidden="1" x14ac:dyDescent="0.25">
      <c r="A1133" s="4" t="s">
        <v>1085</v>
      </c>
      <c r="B1133" s="5" t="s">
        <v>16</v>
      </c>
      <c r="C1133" s="5" t="s">
        <v>1823</v>
      </c>
      <c r="D1133" s="5">
        <v>40.1</v>
      </c>
      <c r="E1133" s="5">
        <v>40.1</v>
      </c>
      <c r="F1133" s="5">
        <v>41.45</v>
      </c>
      <c r="G1133" s="5">
        <v>38.25</v>
      </c>
      <c r="H1133" s="5">
        <v>38.5</v>
      </c>
      <c r="I1133" s="5">
        <v>38.799999999999997</v>
      </c>
      <c r="J1133" s="5">
        <v>40.14</v>
      </c>
      <c r="K1133" s="5">
        <v>64865</v>
      </c>
      <c r="L1133" s="5">
        <v>26.04</v>
      </c>
      <c r="M1133" s="5">
        <v>1204</v>
      </c>
      <c r="N1133" s="5">
        <v>9097</v>
      </c>
      <c r="O1133" s="5">
        <v>14.02</v>
      </c>
      <c r="P1133" s="5">
        <f t="shared" si="90"/>
        <v>-1.3000000000000043</v>
      </c>
      <c r="Q1133" s="6">
        <f t="shared" si="91"/>
        <v>-3.2418952618453969E-2</v>
      </c>
      <c r="R1133" s="5">
        <f t="shared" si="92"/>
        <v>3.2000000000000028</v>
      </c>
      <c r="S1133" s="6">
        <f t="shared" si="93"/>
        <v>7.9800498753117274E-2</v>
      </c>
      <c r="T1133" s="6">
        <f t="shared" si="94"/>
        <v>-3.3795712484237156E-2</v>
      </c>
    </row>
    <row r="1134" spans="1:20" hidden="1" x14ac:dyDescent="0.25">
      <c r="A1134" s="4" t="s">
        <v>1086</v>
      </c>
      <c r="B1134" s="5" t="s">
        <v>16</v>
      </c>
      <c r="C1134" s="5" t="s">
        <v>1823</v>
      </c>
      <c r="D1134" s="5">
        <v>39.049999999999997</v>
      </c>
      <c r="E1134" s="5">
        <v>39</v>
      </c>
      <c r="F1134" s="5">
        <v>39.4</v>
      </c>
      <c r="G1134" s="5">
        <v>37</v>
      </c>
      <c r="H1134" s="5">
        <v>37.299999999999997</v>
      </c>
      <c r="I1134" s="5">
        <v>37.1</v>
      </c>
      <c r="J1134" s="5">
        <v>37.85</v>
      </c>
      <c r="K1134" s="5">
        <v>59352</v>
      </c>
      <c r="L1134" s="5">
        <v>22.46</v>
      </c>
      <c r="M1134" s="5">
        <v>582</v>
      </c>
      <c r="N1134" s="5">
        <v>34482</v>
      </c>
      <c r="O1134" s="5">
        <v>58.1</v>
      </c>
      <c r="P1134" s="5">
        <f t="shared" si="90"/>
        <v>-1.9499999999999957</v>
      </c>
      <c r="Q1134" s="6">
        <f t="shared" si="91"/>
        <v>-4.9935979513444195E-2</v>
      </c>
      <c r="R1134" s="5">
        <f t="shared" si="92"/>
        <v>2.3999999999999986</v>
      </c>
      <c r="S1134" s="6">
        <f t="shared" si="93"/>
        <v>6.145966709346988E-2</v>
      </c>
      <c r="T1134" s="6">
        <f t="shared" si="94"/>
        <v>-1.9672131147540985E-2</v>
      </c>
    </row>
    <row r="1135" spans="1:20" hidden="1" x14ac:dyDescent="0.25">
      <c r="A1135" s="4" t="s">
        <v>1087</v>
      </c>
      <c r="B1135" s="5" t="s">
        <v>16</v>
      </c>
      <c r="C1135" s="5" t="s">
        <v>1823</v>
      </c>
      <c r="D1135" s="5">
        <v>137.15</v>
      </c>
      <c r="E1135" s="5">
        <v>136.05000000000001</v>
      </c>
      <c r="F1135" s="5">
        <v>137.85</v>
      </c>
      <c r="G1135" s="5">
        <v>130.55000000000001</v>
      </c>
      <c r="H1135" s="5">
        <v>131</v>
      </c>
      <c r="I1135" s="5">
        <v>131.6</v>
      </c>
      <c r="J1135" s="5">
        <v>134.07</v>
      </c>
      <c r="K1135" s="5">
        <v>19603</v>
      </c>
      <c r="L1135" s="5">
        <v>26.28</v>
      </c>
      <c r="M1135" s="5">
        <v>796</v>
      </c>
      <c r="N1135" s="5">
        <v>12172</v>
      </c>
      <c r="O1135" s="5">
        <v>62.09</v>
      </c>
      <c r="P1135" s="5">
        <f t="shared" si="90"/>
        <v>-5.5500000000000114</v>
      </c>
      <c r="Q1135" s="6">
        <f t="shared" si="91"/>
        <v>-4.0466642362377042E-2</v>
      </c>
      <c r="R1135" s="5">
        <f t="shared" si="92"/>
        <v>7.2999999999999829</v>
      </c>
      <c r="S1135" s="6">
        <f t="shared" si="93"/>
        <v>5.3226394458621817E-2</v>
      </c>
      <c r="T1135" s="6">
        <f t="shared" si="94"/>
        <v>-1.8431116500326455E-2</v>
      </c>
    </row>
    <row r="1136" spans="1:20" hidden="1" x14ac:dyDescent="0.25">
      <c r="A1136" s="4" t="s">
        <v>1088</v>
      </c>
      <c r="B1136" s="5" t="s">
        <v>16</v>
      </c>
      <c r="C1136" s="5" t="s">
        <v>1823</v>
      </c>
      <c r="D1136" s="5">
        <v>17</v>
      </c>
      <c r="E1136" s="5">
        <v>16.899999999999999</v>
      </c>
      <c r="F1136" s="5">
        <v>17.100000000000001</v>
      </c>
      <c r="G1136" s="5">
        <v>16.25</v>
      </c>
      <c r="H1136" s="5">
        <v>16.75</v>
      </c>
      <c r="I1136" s="5">
        <v>16.45</v>
      </c>
      <c r="J1136" s="5">
        <v>16.670000000000002</v>
      </c>
      <c r="K1136" s="5">
        <v>32316</v>
      </c>
      <c r="L1136" s="5">
        <v>5.39</v>
      </c>
      <c r="M1136" s="5">
        <v>186</v>
      </c>
      <c r="N1136" s="5">
        <v>23363</v>
      </c>
      <c r="O1136" s="5">
        <v>72.3</v>
      </c>
      <c r="P1136" s="5">
        <f t="shared" si="90"/>
        <v>-0.55000000000000071</v>
      </c>
      <c r="Q1136" s="6">
        <f t="shared" si="91"/>
        <v>-3.2352941176470633E-2</v>
      </c>
      <c r="R1136" s="5">
        <f t="shared" si="92"/>
        <v>0.85000000000000142</v>
      </c>
      <c r="S1136" s="6">
        <f t="shared" si="93"/>
        <v>5.0000000000000086E-2</v>
      </c>
      <c r="T1136" s="6">
        <f t="shared" si="94"/>
        <v>-1.3193403298350968E-2</v>
      </c>
    </row>
    <row r="1137" spans="1:20" hidden="1" x14ac:dyDescent="0.25">
      <c r="A1137" s="4" t="s">
        <v>1089</v>
      </c>
      <c r="B1137" s="5" t="s">
        <v>16</v>
      </c>
      <c r="C1137" s="5" t="s">
        <v>1823</v>
      </c>
      <c r="D1137" s="5">
        <v>574</v>
      </c>
      <c r="E1137" s="5">
        <v>574.5</v>
      </c>
      <c r="F1137" s="5">
        <v>574.5</v>
      </c>
      <c r="G1137" s="5">
        <v>550.20000000000005</v>
      </c>
      <c r="H1137" s="5">
        <v>552</v>
      </c>
      <c r="I1137" s="5">
        <v>552.04999999999995</v>
      </c>
      <c r="J1137" s="5">
        <v>557.65</v>
      </c>
      <c r="K1137" s="5">
        <v>9945</v>
      </c>
      <c r="L1137" s="5">
        <v>55.46</v>
      </c>
      <c r="M1137" s="5">
        <v>619</v>
      </c>
      <c r="N1137" s="5">
        <v>6754</v>
      </c>
      <c r="O1137" s="5">
        <v>67.91</v>
      </c>
      <c r="P1137" s="5">
        <f t="shared" si="90"/>
        <v>-21.950000000000045</v>
      </c>
      <c r="Q1137" s="6">
        <f t="shared" si="91"/>
        <v>-3.8240418118466978E-2</v>
      </c>
      <c r="R1137" s="5">
        <f t="shared" si="92"/>
        <v>24.299999999999955</v>
      </c>
      <c r="S1137" s="6">
        <f t="shared" si="93"/>
        <v>4.2334494773519082E-2</v>
      </c>
      <c r="T1137" s="6">
        <f t="shared" si="94"/>
        <v>-9.9500277623542875E-3</v>
      </c>
    </row>
    <row r="1138" spans="1:20" x14ac:dyDescent="0.25">
      <c r="A1138" s="4" t="s">
        <v>200</v>
      </c>
      <c r="B1138" s="5" t="s">
        <v>16</v>
      </c>
      <c r="C1138" s="5" t="s">
        <v>1823</v>
      </c>
      <c r="D1138" s="5">
        <v>506.15</v>
      </c>
      <c r="E1138" s="5">
        <v>500</v>
      </c>
      <c r="F1138" s="5">
        <v>503.8</v>
      </c>
      <c r="G1138" s="5">
        <v>488</v>
      </c>
      <c r="H1138" s="5">
        <v>488.95</v>
      </c>
      <c r="I1138" s="5">
        <v>489.6</v>
      </c>
      <c r="J1138" s="5">
        <v>493.48</v>
      </c>
      <c r="K1138" s="5">
        <v>416150</v>
      </c>
      <c r="L1138" s="5">
        <v>2053.62</v>
      </c>
      <c r="M1138" s="5">
        <v>26780</v>
      </c>
      <c r="N1138" s="5">
        <v>224131</v>
      </c>
      <c r="O1138" s="5">
        <v>53.86</v>
      </c>
      <c r="P1138" s="5">
        <f t="shared" si="90"/>
        <v>-16.549999999999955</v>
      </c>
      <c r="Q1138" s="6">
        <f t="shared" si="91"/>
        <v>-3.2697816852711559E-2</v>
      </c>
      <c r="R1138" s="5">
        <f t="shared" si="92"/>
        <v>15.800000000000011</v>
      </c>
      <c r="S1138" s="6">
        <f t="shared" si="93"/>
        <v>3.1216042675096339E-2</v>
      </c>
      <c r="T1138" s="6">
        <f t="shared" si="94"/>
        <v>-7.8328454628040691E-3</v>
      </c>
    </row>
    <row r="1139" spans="1:20" hidden="1" x14ac:dyDescent="0.25">
      <c r="A1139" s="4" t="s">
        <v>1091</v>
      </c>
      <c r="B1139" s="5" t="s">
        <v>39</v>
      </c>
      <c r="C1139" s="5" t="s">
        <v>1823</v>
      </c>
      <c r="D1139" s="5">
        <v>0.1</v>
      </c>
      <c r="E1139" s="5">
        <v>0.05</v>
      </c>
      <c r="F1139" s="5">
        <v>0.1</v>
      </c>
      <c r="G1139" s="5">
        <v>0.05</v>
      </c>
      <c r="H1139" s="5">
        <v>0.1</v>
      </c>
      <c r="I1139" s="5">
        <v>0.1</v>
      </c>
      <c r="J1139" s="5">
        <v>0.09</v>
      </c>
      <c r="K1139" s="5">
        <v>214432</v>
      </c>
      <c r="L1139" s="5">
        <v>0.2</v>
      </c>
      <c r="M1139" s="5">
        <v>23</v>
      </c>
      <c r="N1139" s="5" t="s">
        <v>25</v>
      </c>
      <c r="O1139" s="5" t="s">
        <v>25</v>
      </c>
      <c r="P1139" s="5">
        <f t="shared" si="90"/>
        <v>0</v>
      </c>
      <c r="Q1139" s="6">
        <f t="shared" si="91"/>
        <v>0</v>
      </c>
      <c r="R1139" s="5">
        <f t="shared" si="92"/>
        <v>0.05</v>
      </c>
      <c r="S1139" s="6">
        <f t="shared" si="93"/>
        <v>0.5</v>
      </c>
      <c r="T1139" s="6">
        <f t="shared" si="94"/>
        <v>0.13333333333333344</v>
      </c>
    </row>
    <row r="1140" spans="1:20" hidden="1" x14ac:dyDescent="0.25">
      <c r="A1140" s="4" t="s">
        <v>1092</v>
      </c>
      <c r="B1140" s="5" t="s">
        <v>16</v>
      </c>
      <c r="C1140" s="5" t="s">
        <v>1823</v>
      </c>
      <c r="D1140" s="5">
        <v>548.72</v>
      </c>
      <c r="E1140" s="5">
        <v>545.99</v>
      </c>
      <c r="F1140" s="5">
        <v>545.99</v>
      </c>
      <c r="G1140" s="5">
        <v>537</v>
      </c>
      <c r="H1140" s="5">
        <v>539.9</v>
      </c>
      <c r="I1140" s="5">
        <v>539.55999999999995</v>
      </c>
      <c r="J1140" s="5">
        <v>540.25</v>
      </c>
      <c r="K1140" s="5">
        <v>10428</v>
      </c>
      <c r="L1140" s="5">
        <v>56.34</v>
      </c>
      <c r="M1140" s="5">
        <v>442</v>
      </c>
      <c r="N1140" s="5">
        <v>9252</v>
      </c>
      <c r="O1140" s="5">
        <v>88.72</v>
      </c>
      <c r="P1140" s="5">
        <f t="shared" si="90"/>
        <v>-9.1600000000000819</v>
      </c>
      <c r="Q1140" s="6">
        <f t="shared" si="91"/>
        <v>-1.6693395538708414E-2</v>
      </c>
      <c r="R1140" s="5">
        <f t="shared" si="92"/>
        <v>8.9900000000000091</v>
      </c>
      <c r="S1140" s="6">
        <f t="shared" si="93"/>
        <v>1.6383583612771556E-2</v>
      </c>
      <c r="T1140" s="6">
        <f t="shared" si="94"/>
        <v>-1.2727457183174939E-3</v>
      </c>
    </row>
    <row r="1141" spans="1:20" hidden="1" x14ac:dyDescent="0.25">
      <c r="A1141" s="4" t="s">
        <v>1093</v>
      </c>
      <c r="B1141" s="5" t="s">
        <v>480</v>
      </c>
      <c r="C1141" s="5" t="s">
        <v>1823</v>
      </c>
      <c r="D1141" s="5">
        <v>1188.95</v>
      </c>
      <c r="E1141" s="5">
        <v>1183.0999999999999</v>
      </c>
      <c r="F1141" s="5">
        <v>1190</v>
      </c>
      <c r="G1141" s="5">
        <v>1183.06</v>
      </c>
      <c r="H1141" s="5">
        <v>1186.75</v>
      </c>
      <c r="I1141" s="5">
        <v>1188.25</v>
      </c>
      <c r="J1141" s="5">
        <v>1187.29</v>
      </c>
      <c r="K1141" s="5">
        <v>2086</v>
      </c>
      <c r="L1141" s="5">
        <v>24.77</v>
      </c>
      <c r="M1141" s="5">
        <v>80</v>
      </c>
      <c r="N1141" s="5">
        <v>1176</v>
      </c>
      <c r="O1141" s="5">
        <v>56.38</v>
      </c>
      <c r="P1141" s="5">
        <f t="shared" si="90"/>
        <v>-0.70000000000004547</v>
      </c>
      <c r="Q1141" s="6">
        <f t="shared" si="91"/>
        <v>-5.8875478363265522E-4</v>
      </c>
      <c r="R1141" s="5">
        <f t="shared" si="92"/>
        <v>6.9400000000000546</v>
      </c>
      <c r="S1141" s="6">
        <f t="shared" si="93"/>
        <v>5.8370831405862768E-3</v>
      </c>
      <c r="T1141" s="6">
        <f t="shared" si="94"/>
        <v>8.0937355751297747E-4</v>
      </c>
    </row>
    <row r="1142" spans="1:20" hidden="1" x14ac:dyDescent="0.25">
      <c r="A1142" s="4" t="s">
        <v>1094</v>
      </c>
      <c r="B1142" s="5" t="s">
        <v>16</v>
      </c>
      <c r="C1142" s="5" t="s">
        <v>1823</v>
      </c>
      <c r="D1142" s="5">
        <v>28.15</v>
      </c>
      <c r="E1142" s="5">
        <v>27.5</v>
      </c>
      <c r="F1142" s="5">
        <v>29</v>
      </c>
      <c r="G1142" s="5">
        <v>26.75</v>
      </c>
      <c r="H1142" s="5">
        <v>28.15</v>
      </c>
      <c r="I1142" s="5">
        <v>28.15</v>
      </c>
      <c r="J1142" s="5">
        <v>28.42</v>
      </c>
      <c r="K1142" s="5">
        <v>32994</v>
      </c>
      <c r="L1142" s="5">
        <v>9.3800000000000008</v>
      </c>
      <c r="M1142" s="5">
        <v>109</v>
      </c>
      <c r="N1142" s="5">
        <v>25337</v>
      </c>
      <c r="O1142" s="5">
        <v>76.790000000000006</v>
      </c>
      <c r="P1142" s="5">
        <f t="shared" si="90"/>
        <v>0</v>
      </c>
      <c r="Q1142" s="6">
        <f t="shared" si="91"/>
        <v>0</v>
      </c>
      <c r="R1142" s="5">
        <f t="shared" si="92"/>
        <v>2.25</v>
      </c>
      <c r="S1142" s="6">
        <f t="shared" si="93"/>
        <v>7.9928952042628773E-2</v>
      </c>
      <c r="T1142" s="6">
        <f t="shared" si="94"/>
        <v>-9.6947935368044205E-3</v>
      </c>
    </row>
    <row r="1143" spans="1:20" hidden="1" x14ac:dyDescent="0.25">
      <c r="A1143" s="4" t="s">
        <v>1095</v>
      </c>
      <c r="B1143" s="5" t="s">
        <v>24</v>
      </c>
      <c r="C1143" s="5" t="s">
        <v>1823</v>
      </c>
      <c r="D1143" s="5">
        <v>3.7</v>
      </c>
      <c r="E1143" s="5">
        <v>3.55</v>
      </c>
      <c r="F1143" s="5">
        <v>3.75</v>
      </c>
      <c r="G1143" s="5">
        <v>3.55</v>
      </c>
      <c r="H1143" s="5">
        <v>3.7</v>
      </c>
      <c r="I1143" s="5">
        <v>3.7</v>
      </c>
      <c r="J1143" s="5">
        <v>3.7</v>
      </c>
      <c r="K1143" s="5">
        <v>33202</v>
      </c>
      <c r="L1143" s="5">
        <v>1.23</v>
      </c>
      <c r="M1143" s="5">
        <v>111</v>
      </c>
      <c r="N1143" s="5" t="s">
        <v>25</v>
      </c>
      <c r="O1143" s="5" t="s">
        <v>25</v>
      </c>
      <c r="P1143" s="5">
        <f t="shared" si="90"/>
        <v>0</v>
      </c>
      <c r="Q1143" s="6">
        <f t="shared" si="91"/>
        <v>0</v>
      </c>
      <c r="R1143" s="5">
        <f t="shared" si="92"/>
        <v>0.20000000000000018</v>
      </c>
      <c r="S1143" s="6">
        <f t="shared" si="93"/>
        <v>5.4054054054054099E-2</v>
      </c>
      <c r="T1143" s="6">
        <f t="shared" si="94"/>
        <v>0</v>
      </c>
    </row>
    <row r="1144" spans="1:20" hidden="1" x14ac:dyDescent="0.25">
      <c r="A1144" s="4" t="s">
        <v>1096</v>
      </c>
      <c r="B1144" s="5" t="s">
        <v>39</v>
      </c>
      <c r="C1144" s="5" t="s">
        <v>1823</v>
      </c>
      <c r="D1144" s="5">
        <v>0.2</v>
      </c>
      <c r="E1144" s="5">
        <v>0.25</v>
      </c>
      <c r="F1144" s="5">
        <v>0.25</v>
      </c>
      <c r="G1144" s="5">
        <v>0.2</v>
      </c>
      <c r="H1144" s="5">
        <v>0.25</v>
      </c>
      <c r="I1144" s="5">
        <v>0.25</v>
      </c>
      <c r="J1144" s="5">
        <v>0.22</v>
      </c>
      <c r="K1144" s="5">
        <v>159189</v>
      </c>
      <c r="L1144" s="5">
        <v>0.36</v>
      </c>
      <c r="M1144" s="5">
        <v>75</v>
      </c>
      <c r="N1144" s="5" t="s">
        <v>25</v>
      </c>
      <c r="O1144" s="5" t="s">
        <v>25</v>
      </c>
      <c r="P1144" s="5">
        <f t="shared" si="90"/>
        <v>4.9999999999999989E-2</v>
      </c>
      <c r="Q1144" s="6">
        <f t="shared" si="91"/>
        <v>0.24999999999999994</v>
      </c>
      <c r="R1144" s="5">
        <f t="shared" si="92"/>
        <v>4.9999999999999989E-2</v>
      </c>
      <c r="S1144" s="6">
        <f t="shared" si="93"/>
        <v>0.24999999999999994</v>
      </c>
      <c r="T1144" s="6">
        <f t="shared" si="94"/>
        <v>0.12631578947368421</v>
      </c>
    </row>
    <row r="1145" spans="1:20" hidden="1" x14ac:dyDescent="0.25">
      <c r="A1145" s="4" t="s">
        <v>1097</v>
      </c>
      <c r="B1145" s="5" t="s">
        <v>16</v>
      </c>
      <c r="C1145" s="5" t="s">
        <v>1823</v>
      </c>
      <c r="D1145" s="5">
        <v>9</v>
      </c>
      <c r="E1145" s="5">
        <v>8.85</v>
      </c>
      <c r="F1145" s="5">
        <v>9.8000000000000007</v>
      </c>
      <c r="G1145" s="5">
        <v>8.85</v>
      </c>
      <c r="H1145" s="5">
        <v>9.5</v>
      </c>
      <c r="I1145" s="5">
        <v>9.5</v>
      </c>
      <c r="J1145" s="5">
        <v>9.6199999999999992</v>
      </c>
      <c r="K1145" s="5">
        <v>11559</v>
      </c>
      <c r="L1145" s="5">
        <v>1.1100000000000001</v>
      </c>
      <c r="M1145" s="5">
        <v>39</v>
      </c>
      <c r="N1145" s="5">
        <v>10342</v>
      </c>
      <c r="O1145" s="5">
        <v>89.47</v>
      </c>
      <c r="P1145" s="5">
        <f t="shared" si="90"/>
        <v>0.5</v>
      </c>
      <c r="Q1145" s="6">
        <f t="shared" si="91"/>
        <v>5.5555555555555552E-2</v>
      </c>
      <c r="R1145" s="5">
        <f t="shared" si="92"/>
        <v>0.95000000000000107</v>
      </c>
      <c r="S1145" s="6">
        <f t="shared" si="93"/>
        <v>0.10555555555555568</v>
      </c>
      <c r="T1145" s="6">
        <f t="shared" si="94"/>
        <v>-1.2972972972972889E-2</v>
      </c>
    </row>
    <row r="1146" spans="1:20" hidden="1" x14ac:dyDescent="0.25">
      <c r="A1146" s="4" t="s">
        <v>1098</v>
      </c>
      <c r="B1146" s="5" t="s">
        <v>16</v>
      </c>
      <c r="C1146" s="5" t="s">
        <v>1823</v>
      </c>
      <c r="D1146" s="5">
        <v>15.3</v>
      </c>
      <c r="E1146" s="5">
        <v>15</v>
      </c>
      <c r="F1146" s="5">
        <v>15.75</v>
      </c>
      <c r="G1146" s="5">
        <v>14.5</v>
      </c>
      <c r="H1146" s="5">
        <v>15.75</v>
      </c>
      <c r="I1146" s="5">
        <v>14.7</v>
      </c>
      <c r="J1146" s="5">
        <v>15.08</v>
      </c>
      <c r="K1146" s="5">
        <v>1407</v>
      </c>
      <c r="L1146" s="5">
        <v>0.21</v>
      </c>
      <c r="M1146" s="5">
        <v>16</v>
      </c>
      <c r="N1146" s="5">
        <v>290</v>
      </c>
      <c r="O1146" s="5">
        <v>20.61</v>
      </c>
      <c r="P1146" s="5">
        <f t="shared" si="90"/>
        <v>-0.60000000000000142</v>
      </c>
      <c r="Q1146" s="6">
        <f t="shared" si="91"/>
        <v>-3.9215686274509894E-2</v>
      </c>
      <c r="R1146" s="5">
        <f t="shared" si="92"/>
        <v>1.25</v>
      </c>
      <c r="S1146" s="6">
        <f t="shared" si="93"/>
        <v>8.1699346405228759E-2</v>
      </c>
      <c r="T1146" s="6">
        <f t="shared" si="94"/>
        <v>-2.5354462051709808E-2</v>
      </c>
    </row>
    <row r="1147" spans="1:20" hidden="1" x14ac:dyDescent="0.25">
      <c r="A1147" s="4" t="s">
        <v>1099</v>
      </c>
      <c r="B1147" s="5" t="s">
        <v>16</v>
      </c>
      <c r="C1147" s="5" t="s">
        <v>1823</v>
      </c>
      <c r="D1147" s="5">
        <v>71.95</v>
      </c>
      <c r="E1147" s="5">
        <v>70.650000000000006</v>
      </c>
      <c r="F1147" s="5">
        <v>74.8</v>
      </c>
      <c r="G1147" s="5">
        <v>70.55</v>
      </c>
      <c r="H1147" s="5">
        <v>73.900000000000006</v>
      </c>
      <c r="I1147" s="5">
        <v>73</v>
      </c>
      <c r="J1147" s="5">
        <v>73.13</v>
      </c>
      <c r="K1147" s="5">
        <v>4583</v>
      </c>
      <c r="L1147" s="5">
        <v>3.35</v>
      </c>
      <c r="M1147" s="5">
        <v>56</v>
      </c>
      <c r="N1147" s="5">
        <v>3062</v>
      </c>
      <c r="O1147" s="5">
        <v>66.81</v>
      </c>
      <c r="P1147" s="5">
        <f t="shared" si="90"/>
        <v>1.0499999999999972</v>
      </c>
      <c r="Q1147" s="6">
        <f t="shared" si="91"/>
        <v>1.4593467685892942E-2</v>
      </c>
      <c r="R1147" s="5">
        <f t="shared" si="92"/>
        <v>4.25</v>
      </c>
      <c r="S1147" s="6">
        <f t="shared" si="93"/>
        <v>5.9068797776233493E-2</v>
      </c>
      <c r="T1147" s="6">
        <f t="shared" si="94"/>
        <v>-1.7993079584774456E-3</v>
      </c>
    </row>
    <row r="1148" spans="1:20" hidden="1" x14ac:dyDescent="0.25">
      <c r="A1148" s="4" t="s">
        <v>1100</v>
      </c>
      <c r="B1148" s="5" t="s">
        <v>16</v>
      </c>
      <c r="C1148" s="5" t="s">
        <v>1823</v>
      </c>
      <c r="D1148" s="5">
        <v>29.2</v>
      </c>
      <c r="E1148" s="5">
        <v>30</v>
      </c>
      <c r="F1148" s="5">
        <v>30.5</v>
      </c>
      <c r="G1148" s="5">
        <v>28.2</v>
      </c>
      <c r="H1148" s="5">
        <v>29.45</v>
      </c>
      <c r="I1148" s="5">
        <v>28.85</v>
      </c>
      <c r="J1148" s="5">
        <v>29.53</v>
      </c>
      <c r="K1148" s="5">
        <v>10896</v>
      </c>
      <c r="L1148" s="5">
        <v>3.22</v>
      </c>
      <c r="M1148" s="5">
        <v>199</v>
      </c>
      <c r="N1148" s="5">
        <v>5213</v>
      </c>
      <c r="O1148" s="5">
        <v>47.84</v>
      </c>
      <c r="P1148" s="5">
        <f t="shared" si="90"/>
        <v>-0.34999999999999787</v>
      </c>
      <c r="Q1148" s="6">
        <f t="shared" si="91"/>
        <v>-1.198630136986294E-2</v>
      </c>
      <c r="R1148" s="5">
        <f t="shared" si="92"/>
        <v>2.3000000000000007</v>
      </c>
      <c r="S1148" s="6">
        <f t="shared" si="93"/>
        <v>7.8767123287671256E-2</v>
      </c>
      <c r="T1148" s="6">
        <f t="shared" si="94"/>
        <v>-2.3139089749042947E-2</v>
      </c>
    </row>
    <row r="1149" spans="1:20" hidden="1" x14ac:dyDescent="0.25">
      <c r="A1149" s="4" t="s">
        <v>1101</v>
      </c>
      <c r="B1149" s="5" t="s">
        <v>16</v>
      </c>
      <c r="C1149" s="5" t="s">
        <v>1823</v>
      </c>
      <c r="D1149" s="5">
        <v>35.4</v>
      </c>
      <c r="E1149" s="5">
        <v>35</v>
      </c>
      <c r="F1149" s="5">
        <v>35.35</v>
      </c>
      <c r="G1149" s="5">
        <v>33.1</v>
      </c>
      <c r="H1149" s="5">
        <v>34.549999999999997</v>
      </c>
      <c r="I1149" s="5">
        <v>33.799999999999997</v>
      </c>
      <c r="J1149" s="5">
        <v>34.9</v>
      </c>
      <c r="K1149" s="5">
        <v>13119</v>
      </c>
      <c r="L1149" s="5">
        <v>4.58</v>
      </c>
      <c r="M1149" s="5">
        <v>65</v>
      </c>
      <c r="N1149" s="5">
        <v>12658</v>
      </c>
      <c r="O1149" s="5">
        <v>96.49</v>
      </c>
      <c r="P1149" s="5">
        <f t="shared" si="90"/>
        <v>-1.6000000000000014</v>
      </c>
      <c r="Q1149" s="6">
        <f t="shared" si="91"/>
        <v>-4.5197740112994392E-2</v>
      </c>
      <c r="R1149" s="5">
        <f t="shared" si="92"/>
        <v>2.25</v>
      </c>
      <c r="S1149" s="6">
        <f t="shared" si="93"/>
        <v>6.3559322033898302E-2</v>
      </c>
      <c r="T1149" s="6">
        <f t="shared" si="94"/>
        <v>-3.2058287795992756E-2</v>
      </c>
    </row>
    <row r="1150" spans="1:20" hidden="1" x14ac:dyDescent="0.25">
      <c r="A1150" s="4" t="s">
        <v>1102</v>
      </c>
      <c r="B1150" s="5" t="s">
        <v>16</v>
      </c>
      <c r="C1150" s="5" t="s">
        <v>1823</v>
      </c>
      <c r="D1150" s="5">
        <v>53.2</v>
      </c>
      <c r="E1150" s="5">
        <v>52.75</v>
      </c>
      <c r="F1150" s="5">
        <v>53.8</v>
      </c>
      <c r="G1150" s="5">
        <v>50.35</v>
      </c>
      <c r="H1150" s="5">
        <v>51.05</v>
      </c>
      <c r="I1150" s="5">
        <v>51.75</v>
      </c>
      <c r="J1150" s="5">
        <v>51.93</v>
      </c>
      <c r="K1150" s="5">
        <v>18101</v>
      </c>
      <c r="L1150" s="5">
        <v>9.4</v>
      </c>
      <c r="M1150" s="5">
        <v>229</v>
      </c>
      <c r="N1150" s="5">
        <v>15557</v>
      </c>
      <c r="O1150" s="5">
        <v>85.95</v>
      </c>
      <c r="P1150" s="5">
        <f t="shared" si="90"/>
        <v>-1.4500000000000028</v>
      </c>
      <c r="Q1150" s="6">
        <f t="shared" si="91"/>
        <v>-2.7255639097744411E-2</v>
      </c>
      <c r="R1150" s="5">
        <f t="shared" si="92"/>
        <v>3.4499999999999957</v>
      </c>
      <c r="S1150" s="6">
        <f t="shared" si="93"/>
        <v>6.4849624060150296E-2</v>
      </c>
      <c r="T1150" s="6">
        <f t="shared" si="94"/>
        <v>-3.450754852624006E-3</v>
      </c>
    </row>
    <row r="1151" spans="1:20" hidden="1" x14ac:dyDescent="0.25">
      <c r="A1151" s="4" t="s">
        <v>1103</v>
      </c>
      <c r="B1151" s="5" t="s">
        <v>28</v>
      </c>
      <c r="C1151" s="5" t="s">
        <v>1823</v>
      </c>
      <c r="D1151" s="5">
        <v>8.0500000000000007</v>
      </c>
      <c r="E1151" s="5">
        <v>8.4499999999999993</v>
      </c>
      <c r="F1151" s="5">
        <v>8.4499999999999993</v>
      </c>
      <c r="G1151" s="5">
        <v>8.4499999999999993</v>
      </c>
      <c r="H1151" s="5">
        <v>8.4499999999999993</v>
      </c>
      <c r="I1151" s="5">
        <v>8.4499999999999993</v>
      </c>
      <c r="J1151" s="5">
        <v>8.4499999999999993</v>
      </c>
      <c r="K1151" s="5">
        <v>5000</v>
      </c>
      <c r="L1151" s="5">
        <v>0.42</v>
      </c>
      <c r="M1151" s="5">
        <v>1</v>
      </c>
      <c r="N1151" s="5">
        <v>5000</v>
      </c>
      <c r="O1151" s="5">
        <v>100</v>
      </c>
      <c r="P1151" s="5">
        <f t="shared" si="90"/>
        <v>0.39999999999999858</v>
      </c>
      <c r="Q1151" s="6">
        <f t="shared" si="91"/>
        <v>4.9689440993788636E-2</v>
      </c>
      <c r="R1151" s="5">
        <f t="shared" si="92"/>
        <v>0</v>
      </c>
      <c r="S1151" s="6">
        <f t="shared" si="93"/>
        <v>0</v>
      </c>
      <c r="T1151" s="6">
        <f t="shared" si="94"/>
        <v>0</v>
      </c>
    </row>
    <row r="1152" spans="1:20" hidden="1" x14ac:dyDescent="0.25">
      <c r="A1152" s="4" t="s">
        <v>1104</v>
      </c>
      <c r="B1152" s="5" t="s">
        <v>28</v>
      </c>
      <c r="C1152" s="5" t="s">
        <v>1823</v>
      </c>
      <c r="D1152" s="5">
        <v>22</v>
      </c>
      <c r="E1152" s="5">
        <v>22.25</v>
      </c>
      <c r="F1152" s="5">
        <v>22.25</v>
      </c>
      <c r="G1152" s="5">
        <v>22.25</v>
      </c>
      <c r="H1152" s="5">
        <v>22.25</v>
      </c>
      <c r="I1152" s="5">
        <v>22.25</v>
      </c>
      <c r="J1152" s="5">
        <v>22.25</v>
      </c>
      <c r="K1152" s="5">
        <v>20000</v>
      </c>
      <c r="L1152" s="5">
        <v>4.45</v>
      </c>
      <c r="M1152" s="5">
        <v>1</v>
      </c>
      <c r="N1152" s="5">
        <v>20000</v>
      </c>
      <c r="O1152" s="5">
        <v>100</v>
      </c>
      <c r="P1152" s="5">
        <f t="shared" si="90"/>
        <v>0.25</v>
      </c>
      <c r="Q1152" s="6">
        <f t="shared" si="91"/>
        <v>1.1363636363636364E-2</v>
      </c>
      <c r="R1152" s="5">
        <f t="shared" si="92"/>
        <v>0</v>
      </c>
      <c r="S1152" s="6">
        <f t="shared" si="93"/>
        <v>0</v>
      </c>
      <c r="T1152" s="6">
        <f t="shared" si="94"/>
        <v>0</v>
      </c>
    </row>
    <row r="1153" spans="1:20" hidden="1" x14ac:dyDescent="0.25">
      <c r="A1153" s="4" t="s">
        <v>1105</v>
      </c>
      <c r="B1153" s="5" t="s">
        <v>16</v>
      </c>
      <c r="C1153" s="5" t="s">
        <v>1823</v>
      </c>
      <c r="D1153" s="5">
        <v>586.54999999999995</v>
      </c>
      <c r="E1153" s="5">
        <v>591.95000000000005</v>
      </c>
      <c r="F1153" s="5">
        <v>598</v>
      </c>
      <c r="G1153" s="5">
        <v>584.20000000000005</v>
      </c>
      <c r="H1153" s="5">
        <v>588</v>
      </c>
      <c r="I1153" s="5">
        <v>589.9</v>
      </c>
      <c r="J1153" s="5">
        <v>590.88</v>
      </c>
      <c r="K1153" s="5">
        <v>85473</v>
      </c>
      <c r="L1153" s="5">
        <v>505.04</v>
      </c>
      <c r="M1153" s="5">
        <v>4158</v>
      </c>
      <c r="N1153" s="5">
        <v>36966</v>
      </c>
      <c r="O1153" s="5">
        <v>43.25</v>
      </c>
      <c r="P1153" s="5">
        <f t="shared" si="90"/>
        <v>3.3500000000000227</v>
      </c>
      <c r="Q1153" s="6">
        <f t="shared" si="91"/>
        <v>5.7113630551530528E-3</v>
      </c>
      <c r="R1153" s="5">
        <f t="shared" si="92"/>
        <v>13.799999999999955</v>
      </c>
      <c r="S1153" s="6">
        <f t="shared" si="93"/>
        <v>2.352740601824219E-2</v>
      </c>
      <c r="T1153" s="6">
        <f t="shared" si="94"/>
        <v>-1.6581713584738363E-3</v>
      </c>
    </row>
    <row r="1154" spans="1:20" hidden="1" x14ac:dyDescent="0.25">
      <c r="A1154" s="4" t="s">
        <v>1106</v>
      </c>
      <c r="B1154" s="5" t="s">
        <v>16</v>
      </c>
      <c r="C1154" s="5" t="s">
        <v>1823</v>
      </c>
      <c r="D1154" s="5">
        <v>376.3</v>
      </c>
      <c r="E1154" s="5">
        <v>376.3</v>
      </c>
      <c r="F1154" s="5">
        <v>377</v>
      </c>
      <c r="G1154" s="5">
        <v>360.1</v>
      </c>
      <c r="H1154" s="5">
        <v>361.5</v>
      </c>
      <c r="I1154" s="5">
        <v>362.45</v>
      </c>
      <c r="J1154" s="5">
        <v>365.28</v>
      </c>
      <c r="K1154" s="5">
        <v>6755</v>
      </c>
      <c r="L1154" s="5">
        <v>24.67</v>
      </c>
      <c r="M1154" s="5">
        <v>318</v>
      </c>
      <c r="N1154" s="5">
        <v>4681</v>
      </c>
      <c r="O1154" s="5">
        <v>69.3</v>
      </c>
      <c r="P1154" s="5">
        <f t="shared" si="90"/>
        <v>-13.850000000000023</v>
      </c>
      <c r="Q1154" s="6">
        <f t="shared" si="91"/>
        <v>-3.6805740100983315E-2</v>
      </c>
      <c r="R1154" s="5">
        <f t="shared" si="92"/>
        <v>16.899999999999977</v>
      </c>
      <c r="S1154" s="6">
        <f t="shared" si="93"/>
        <v>4.4910975285676259E-2</v>
      </c>
      <c r="T1154" s="6">
        <f t="shared" si="94"/>
        <v>-7.6701561811836809E-3</v>
      </c>
    </row>
    <row r="1155" spans="1:20" x14ac:dyDescent="0.25">
      <c r="A1155" s="4" t="s">
        <v>1601</v>
      </c>
      <c r="B1155" s="5" t="s">
        <v>16</v>
      </c>
      <c r="C1155" s="5" t="s">
        <v>1823</v>
      </c>
      <c r="D1155" s="5">
        <v>30.05</v>
      </c>
      <c r="E1155" s="5">
        <v>30.2</v>
      </c>
      <c r="F1155" s="5">
        <v>30.2</v>
      </c>
      <c r="G1155" s="5">
        <v>29.2</v>
      </c>
      <c r="H1155" s="5">
        <v>29.3</v>
      </c>
      <c r="I1155" s="5">
        <v>29.25</v>
      </c>
      <c r="J1155" s="5">
        <v>29.5</v>
      </c>
      <c r="K1155" s="5">
        <v>606867</v>
      </c>
      <c r="L1155" s="5">
        <v>179.01</v>
      </c>
      <c r="M1155" s="5">
        <v>2190</v>
      </c>
      <c r="N1155" s="5">
        <v>327118</v>
      </c>
      <c r="O1155" s="5">
        <v>53.9</v>
      </c>
      <c r="P1155" s="5">
        <f t="shared" si="90"/>
        <v>-0.80000000000000071</v>
      </c>
      <c r="Q1155" s="6">
        <f t="shared" si="91"/>
        <v>-2.6622296173044947E-2</v>
      </c>
      <c r="R1155" s="5">
        <f t="shared" si="92"/>
        <v>1</v>
      </c>
      <c r="S1155" s="6">
        <f t="shared" si="93"/>
        <v>3.3277870216306155E-2</v>
      </c>
      <c r="T1155" s="6">
        <f t="shared" si="94"/>
        <v>-8.4139671855279763E-3</v>
      </c>
    </row>
    <row r="1156" spans="1:20" hidden="1" x14ac:dyDescent="0.25">
      <c r="A1156" s="4" t="s">
        <v>1108</v>
      </c>
      <c r="B1156" s="5" t="s">
        <v>39</v>
      </c>
      <c r="C1156" s="5" t="s">
        <v>1823</v>
      </c>
      <c r="D1156" s="5">
        <v>2.2999999999999998</v>
      </c>
      <c r="E1156" s="5">
        <v>2.2999999999999998</v>
      </c>
      <c r="F1156" s="5">
        <v>2.4</v>
      </c>
      <c r="G1156" s="5">
        <v>2.2000000000000002</v>
      </c>
      <c r="H1156" s="5">
        <v>2.2000000000000002</v>
      </c>
      <c r="I1156" s="5">
        <v>2.2000000000000002</v>
      </c>
      <c r="J1156" s="5">
        <v>2.2599999999999998</v>
      </c>
      <c r="K1156" s="5">
        <v>4059</v>
      </c>
      <c r="L1156" s="5">
        <v>0.09</v>
      </c>
      <c r="M1156" s="5">
        <v>16</v>
      </c>
      <c r="N1156" s="5" t="s">
        <v>25</v>
      </c>
      <c r="O1156" s="5" t="s">
        <v>25</v>
      </c>
      <c r="P1156" s="5">
        <f t="shared" si="90"/>
        <v>-9.9999999999999645E-2</v>
      </c>
      <c r="Q1156" s="6">
        <f t="shared" si="91"/>
        <v>-4.3478260869565064E-2</v>
      </c>
      <c r="R1156" s="5">
        <f t="shared" si="92"/>
        <v>0.19999999999999973</v>
      </c>
      <c r="S1156" s="6">
        <f t="shared" si="93"/>
        <v>8.6956521739130321E-2</v>
      </c>
      <c r="T1156" s="6">
        <f t="shared" si="94"/>
        <v>-2.6373626373626204E-2</v>
      </c>
    </row>
    <row r="1157" spans="1:20" x14ac:dyDescent="0.25">
      <c r="A1157" s="4" t="s">
        <v>1343</v>
      </c>
      <c r="B1157" s="5" t="s">
        <v>16</v>
      </c>
      <c r="C1157" s="5" t="s">
        <v>1823</v>
      </c>
      <c r="D1157" s="5">
        <v>45.45</v>
      </c>
      <c r="E1157" s="5">
        <v>45.45</v>
      </c>
      <c r="F1157" s="5">
        <v>45.85</v>
      </c>
      <c r="G1157" s="5">
        <v>42.2</v>
      </c>
      <c r="H1157" s="5">
        <v>42.7</v>
      </c>
      <c r="I1157" s="5">
        <v>42.75</v>
      </c>
      <c r="J1157" s="5">
        <v>43.44</v>
      </c>
      <c r="K1157" s="5">
        <v>313706</v>
      </c>
      <c r="L1157" s="5">
        <v>136.26</v>
      </c>
      <c r="M1157" s="5">
        <v>3463</v>
      </c>
      <c r="N1157" s="5">
        <v>169478</v>
      </c>
      <c r="O1157" s="5">
        <v>54.02</v>
      </c>
      <c r="P1157" s="5">
        <f t="shared" si="90"/>
        <v>-2.7000000000000028</v>
      </c>
      <c r="Q1157" s="6">
        <f t="shared" si="91"/>
        <v>-5.9405940594059466E-2</v>
      </c>
      <c r="R1157" s="5">
        <f t="shared" si="92"/>
        <v>3.6499999999999986</v>
      </c>
      <c r="S1157" s="6">
        <f t="shared" si="93"/>
        <v>8.0308030803080271E-2</v>
      </c>
      <c r="T1157" s="6">
        <f t="shared" si="94"/>
        <v>-1.5659574468085056E-2</v>
      </c>
    </row>
    <row r="1158" spans="1:20" x14ac:dyDescent="0.25">
      <c r="A1158" s="4" t="s">
        <v>493</v>
      </c>
      <c r="B1158" s="5" t="s">
        <v>16</v>
      </c>
      <c r="C1158" s="5" t="s">
        <v>1823</v>
      </c>
      <c r="D1158" s="5">
        <v>197.25</v>
      </c>
      <c r="E1158" s="5">
        <v>196</v>
      </c>
      <c r="F1158" s="5">
        <v>196</v>
      </c>
      <c r="G1158" s="5">
        <v>188.35</v>
      </c>
      <c r="H1158" s="5">
        <v>189.95</v>
      </c>
      <c r="I1158" s="5">
        <v>189.95</v>
      </c>
      <c r="J1158" s="5">
        <v>191.84</v>
      </c>
      <c r="K1158" s="5">
        <v>4101021</v>
      </c>
      <c r="L1158" s="5">
        <v>7867.39</v>
      </c>
      <c r="M1158" s="5">
        <v>40140</v>
      </c>
      <c r="N1158" s="5">
        <v>2216264</v>
      </c>
      <c r="O1158" s="5">
        <v>54.04</v>
      </c>
      <c r="P1158" s="5">
        <f t="shared" si="90"/>
        <v>-7.3000000000000114</v>
      </c>
      <c r="Q1158" s="6">
        <f t="shared" si="91"/>
        <v>-3.7008871989860644E-2</v>
      </c>
      <c r="R1158" s="5">
        <f t="shared" si="92"/>
        <v>7.6500000000000057</v>
      </c>
      <c r="S1158" s="6">
        <f t="shared" si="93"/>
        <v>3.8783269961977215E-2</v>
      </c>
      <c r="T1158" s="6">
        <f t="shared" si="94"/>
        <v>-9.8143580423212511E-3</v>
      </c>
    </row>
    <row r="1159" spans="1:20" x14ac:dyDescent="0.25">
      <c r="A1159" s="4" t="s">
        <v>1007</v>
      </c>
      <c r="B1159" s="5" t="s">
        <v>16</v>
      </c>
      <c r="C1159" s="5" t="s">
        <v>1823</v>
      </c>
      <c r="D1159" s="5">
        <v>20.100000000000001</v>
      </c>
      <c r="E1159" s="5">
        <v>20.3</v>
      </c>
      <c r="F1159" s="5">
        <v>20.9</v>
      </c>
      <c r="G1159" s="5">
        <v>19.850000000000001</v>
      </c>
      <c r="H1159" s="5">
        <v>20.25</v>
      </c>
      <c r="I1159" s="5">
        <v>20.149999999999999</v>
      </c>
      <c r="J1159" s="5">
        <v>20.29</v>
      </c>
      <c r="K1159" s="5">
        <v>161762</v>
      </c>
      <c r="L1159" s="5">
        <v>32.82</v>
      </c>
      <c r="M1159" s="5">
        <v>711</v>
      </c>
      <c r="N1159" s="5">
        <v>87544</v>
      </c>
      <c r="O1159" s="5">
        <v>54.12</v>
      </c>
      <c r="P1159" s="5">
        <f t="shared" si="90"/>
        <v>4.9999999999997158E-2</v>
      </c>
      <c r="Q1159" s="6">
        <f t="shared" si="91"/>
        <v>2.4875621890545849E-3</v>
      </c>
      <c r="R1159" s="5">
        <f t="shared" si="92"/>
        <v>1.0499999999999972</v>
      </c>
      <c r="S1159" s="6">
        <f t="shared" si="93"/>
        <v>5.2238805970149106E-2</v>
      </c>
      <c r="T1159" s="6">
        <f t="shared" si="94"/>
        <v>-6.8965517241379587E-3</v>
      </c>
    </row>
    <row r="1160" spans="1:20" x14ac:dyDescent="0.25">
      <c r="A1160" s="4" t="s">
        <v>319</v>
      </c>
      <c r="B1160" s="5" t="s">
        <v>16</v>
      </c>
      <c r="C1160" s="5" t="s">
        <v>1823</v>
      </c>
      <c r="D1160" s="5">
        <v>171.4</v>
      </c>
      <c r="E1160" s="5">
        <v>172.9</v>
      </c>
      <c r="F1160" s="5">
        <v>172.9</v>
      </c>
      <c r="G1160" s="5">
        <v>161.05000000000001</v>
      </c>
      <c r="H1160" s="5">
        <v>162.05000000000001</v>
      </c>
      <c r="I1160" s="5">
        <v>164.05</v>
      </c>
      <c r="J1160" s="5">
        <v>166.85</v>
      </c>
      <c r="K1160" s="5">
        <v>226469</v>
      </c>
      <c r="L1160" s="5">
        <v>377.87</v>
      </c>
      <c r="M1160" s="5">
        <v>5697</v>
      </c>
      <c r="N1160" s="5">
        <v>122990</v>
      </c>
      <c r="O1160" s="5">
        <v>54.31</v>
      </c>
      <c r="P1160" s="5">
        <f t="shared" si="90"/>
        <v>-7.3499999999999943</v>
      </c>
      <c r="Q1160" s="6">
        <f t="shared" si="91"/>
        <v>-4.2882147024504047E-2</v>
      </c>
      <c r="R1160" s="5">
        <f t="shared" si="92"/>
        <v>11.849999999999994</v>
      </c>
      <c r="S1160" s="6">
        <f t="shared" si="93"/>
        <v>6.9136522753792257E-2</v>
      </c>
      <c r="T1160" s="6">
        <f t="shared" si="94"/>
        <v>-1.6693993143538425E-2</v>
      </c>
    </row>
    <row r="1161" spans="1:20" x14ac:dyDescent="0.25">
      <c r="A1161" s="4" t="s">
        <v>1078</v>
      </c>
      <c r="B1161" s="5" t="s">
        <v>16</v>
      </c>
      <c r="C1161" s="5" t="s">
        <v>1823</v>
      </c>
      <c r="D1161" s="5">
        <v>48.2</v>
      </c>
      <c r="E1161" s="5">
        <v>47.5</v>
      </c>
      <c r="F1161" s="5">
        <v>48.95</v>
      </c>
      <c r="G1161" s="5">
        <v>46.5</v>
      </c>
      <c r="H1161" s="5">
        <v>46.6</v>
      </c>
      <c r="I1161" s="5">
        <v>46.8</v>
      </c>
      <c r="J1161" s="5">
        <v>47.22</v>
      </c>
      <c r="K1161" s="5">
        <v>368459</v>
      </c>
      <c r="L1161" s="5">
        <v>173.98</v>
      </c>
      <c r="M1161" s="5">
        <v>2458</v>
      </c>
      <c r="N1161" s="5">
        <v>200282</v>
      </c>
      <c r="O1161" s="5">
        <v>54.36</v>
      </c>
      <c r="P1161" s="5">
        <f t="shared" si="90"/>
        <v>-1.4000000000000057</v>
      </c>
      <c r="Q1161" s="6">
        <f t="shared" si="91"/>
        <v>-2.9045643153527086E-2</v>
      </c>
      <c r="R1161" s="5">
        <f t="shared" si="92"/>
        <v>2.4500000000000028</v>
      </c>
      <c r="S1161" s="6">
        <f t="shared" si="93"/>
        <v>5.0829875518672255E-2</v>
      </c>
      <c r="T1161" s="6">
        <f t="shared" si="94"/>
        <v>-8.8537549407114984E-3</v>
      </c>
    </row>
    <row r="1162" spans="1:20" hidden="1" x14ac:dyDescent="0.25">
      <c r="A1162" s="4" t="s">
        <v>1114</v>
      </c>
      <c r="B1162" s="5" t="s">
        <v>16</v>
      </c>
      <c r="C1162" s="5" t="s">
        <v>1823</v>
      </c>
      <c r="D1162" s="5">
        <v>1467.05</v>
      </c>
      <c r="E1162" s="5">
        <v>1361.05</v>
      </c>
      <c r="F1162" s="5">
        <v>1465</v>
      </c>
      <c r="G1162" s="5">
        <v>1361.05</v>
      </c>
      <c r="H1162" s="5">
        <v>1365</v>
      </c>
      <c r="I1162" s="5">
        <v>1378.15</v>
      </c>
      <c r="J1162" s="5">
        <v>1390.66</v>
      </c>
      <c r="K1162" s="5">
        <v>113</v>
      </c>
      <c r="L1162" s="5">
        <v>1.57</v>
      </c>
      <c r="M1162" s="5">
        <v>44</v>
      </c>
      <c r="N1162" s="5">
        <v>76</v>
      </c>
      <c r="O1162" s="5">
        <v>67.260000000000005</v>
      </c>
      <c r="P1162" s="5">
        <f t="shared" si="90"/>
        <v>-88.899999999999864</v>
      </c>
      <c r="Q1162" s="6">
        <f t="shared" si="91"/>
        <v>-6.0597798302716242E-2</v>
      </c>
      <c r="R1162" s="5">
        <f t="shared" si="92"/>
        <v>103.95000000000005</v>
      </c>
      <c r="S1162" s="6">
        <f t="shared" si="93"/>
        <v>7.0856480692546298E-2</v>
      </c>
      <c r="T1162" s="6">
        <f t="shared" si="94"/>
        <v>-8.991509815372169E-3</v>
      </c>
    </row>
    <row r="1163" spans="1:20" hidden="1" x14ac:dyDescent="0.25">
      <c r="A1163" s="4" t="s">
        <v>1115</v>
      </c>
      <c r="B1163" s="5" t="s">
        <v>16</v>
      </c>
      <c r="C1163" s="5" t="s">
        <v>1823</v>
      </c>
      <c r="D1163" s="5">
        <v>84</v>
      </c>
      <c r="E1163" s="5">
        <v>84</v>
      </c>
      <c r="F1163" s="5">
        <v>85.25</v>
      </c>
      <c r="G1163" s="5">
        <v>83</v>
      </c>
      <c r="H1163" s="5">
        <v>83.25</v>
      </c>
      <c r="I1163" s="5">
        <v>83.2</v>
      </c>
      <c r="J1163" s="5">
        <v>83.78</v>
      </c>
      <c r="K1163" s="5">
        <v>65778</v>
      </c>
      <c r="L1163" s="5">
        <v>55.11</v>
      </c>
      <c r="M1163" s="5">
        <v>998</v>
      </c>
      <c r="N1163" s="5">
        <v>47530</v>
      </c>
      <c r="O1163" s="5">
        <v>72.260000000000005</v>
      </c>
      <c r="P1163" s="5">
        <f t="shared" si="90"/>
        <v>-0.79999999999999716</v>
      </c>
      <c r="Q1163" s="6">
        <f t="shared" si="91"/>
        <v>-9.52380952380949E-3</v>
      </c>
      <c r="R1163" s="5">
        <f t="shared" si="92"/>
        <v>2.25</v>
      </c>
      <c r="S1163" s="6">
        <f t="shared" si="93"/>
        <v>2.6785714285714284E-2</v>
      </c>
      <c r="T1163" s="6">
        <f t="shared" si="94"/>
        <v>-6.9160828737516566E-3</v>
      </c>
    </row>
    <row r="1164" spans="1:20" x14ac:dyDescent="0.25">
      <c r="A1164" s="4" t="s">
        <v>1806</v>
      </c>
      <c r="B1164" s="5" t="s">
        <v>16</v>
      </c>
      <c r="C1164" s="5" t="s">
        <v>1823</v>
      </c>
      <c r="D1164" s="5">
        <v>10.35</v>
      </c>
      <c r="E1164" s="5">
        <v>10.3</v>
      </c>
      <c r="F1164" s="5">
        <v>10.4</v>
      </c>
      <c r="G1164" s="5">
        <v>9.9</v>
      </c>
      <c r="H1164" s="5">
        <v>10.1</v>
      </c>
      <c r="I1164" s="5">
        <v>10.1</v>
      </c>
      <c r="J1164" s="5">
        <v>10.14</v>
      </c>
      <c r="K1164" s="5">
        <v>932926</v>
      </c>
      <c r="L1164" s="5">
        <v>94.59</v>
      </c>
      <c r="M1164" s="5">
        <v>1255</v>
      </c>
      <c r="N1164" s="5">
        <v>507714</v>
      </c>
      <c r="O1164" s="5">
        <v>54.42</v>
      </c>
      <c r="P1164" s="5">
        <f t="shared" ref="P1164:P1227" si="95">I1164-D1164</f>
        <v>-0.25</v>
      </c>
      <c r="Q1164" s="6">
        <f t="shared" ref="Q1164:Q1227" si="96">P1164/D1164</f>
        <v>-2.4154589371980676E-2</v>
      </c>
      <c r="R1164" s="5">
        <f t="shared" ref="R1164:R1227" si="97">ABS(F1164-G1164)</f>
        <v>0.5</v>
      </c>
      <c r="S1164" s="6">
        <f t="shared" ref="S1164:S1227" si="98">R1164/D1164</f>
        <v>4.8309178743961352E-2</v>
      </c>
      <c r="T1164" s="6">
        <f t="shared" ref="T1164:T1227" si="99">(I1164-J1164)/AVERAGE(E1164:G1164,I1164)</f>
        <v>-3.9312039312040213E-3</v>
      </c>
    </row>
    <row r="1165" spans="1:20" hidden="1" x14ac:dyDescent="0.25">
      <c r="A1165" s="4" t="s">
        <v>1117</v>
      </c>
      <c r="B1165" s="5" t="s">
        <v>16</v>
      </c>
      <c r="C1165" s="5" t="s">
        <v>1823</v>
      </c>
      <c r="D1165" s="5">
        <v>118.6</v>
      </c>
      <c r="E1165" s="5">
        <v>119.55</v>
      </c>
      <c r="F1165" s="5">
        <v>119.55</v>
      </c>
      <c r="G1165" s="5">
        <v>114.5</v>
      </c>
      <c r="H1165" s="5">
        <v>115.55</v>
      </c>
      <c r="I1165" s="5">
        <v>114.8</v>
      </c>
      <c r="J1165" s="5">
        <v>116.15</v>
      </c>
      <c r="K1165" s="5">
        <v>22793</v>
      </c>
      <c r="L1165" s="5">
        <v>26.47</v>
      </c>
      <c r="M1165" s="5">
        <v>665</v>
      </c>
      <c r="N1165" s="5">
        <v>14564</v>
      </c>
      <c r="O1165" s="5">
        <v>63.9</v>
      </c>
      <c r="P1165" s="5">
        <f t="shared" si="95"/>
        <v>-3.7999999999999972</v>
      </c>
      <c r="Q1165" s="6">
        <f t="shared" si="96"/>
        <v>-3.2040472175379406E-2</v>
      </c>
      <c r="R1165" s="5">
        <f t="shared" si="97"/>
        <v>5.0499999999999972</v>
      </c>
      <c r="S1165" s="6">
        <f t="shared" si="98"/>
        <v>4.2580101180438423E-2</v>
      </c>
      <c r="T1165" s="6">
        <f t="shared" si="99"/>
        <v>-1.1528608027327143E-2</v>
      </c>
    </row>
    <row r="1166" spans="1:20" hidden="1" x14ac:dyDescent="0.25">
      <c r="A1166" s="4" t="s">
        <v>1118</v>
      </c>
      <c r="B1166" s="5" t="s">
        <v>16</v>
      </c>
      <c r="C1166" s="5" t="s">
        <v>1823</v>
      </c>
      <c r="D1166" s="5">
        <v>614.79999999999995</v>
      </c>
      <c r="E1166" s="5">
        <v>614.79999999999995</v>
      </c>
      <c r="F1166" s="5">
        <v>635</v>
      </c>
      <c r="G1166" s="5">
        <v>590.04999999999995</v>
      </c>
      <c r="H1166" s="5">
        <v>590.04999999999995</v>
      </c>
      <c r="I1166" s="5">
        <v>601.85</v>
      </c>
      <c r="J1166" s="5">
        <v>620.54</v>
      </c>
      <c r="K1166" s="5">
        <v>108</v>
      </c>
      <c r="L1166" s="5">
        <v>0.67</v>
      </c>
      <c r="M1166" s="5">
        <v>10</v>
      </c>
      <c r="N1166" s="5">
        <v>65</v>
      </c>
      <c r="O1166" s="5">
        <v>60.19</v>
      </c>
      <c r="P1166" s="5">
        <f t="shared" si="95"/>
        <v>-12.949999999999932</v>
      </c>
      <c r="Q1166" s="6">
        <f t="shared" si="96"/>
        <v>-2.1063760572543808E-2</v>
      </c>
      <c r="R1166" s="5">
        <f t="shared" si="97"/>
        <v>44.950000000000045</v>
      </c>
      <c r="S1166" s="6">
        <f t="shared" si="98"/>
        <v>7.3113207547169892E-2</v>
      </c>
      <c r="T1166" s="6">
        <f t="shared" si="99"/>
        <v>-3.0618012040791159E-2</v>
      </c>
    </row>
    <row r="1167" spans="1:20" hidden="1" x14ac:dyDescent="0.25">
      <c r="A1167" s="4" t="s">
        <v>1119</v>
      </c>
      <c r="B1167" s="5" t="s">
        <v>16</v>
      </c>
      <c r="C1167" s="5" t="s">
        <v>1823</v>
      </c>
      <c r="D1167" s="5">
        <v>38.450000000000003</v>
      </c>
      <c r="E1167" s="5">
        <v>38.950000000000003</v>
      </c>
      <c r="F1167" s="5">
        <v>38.950000000000003</v>
      </c>
      <c r="G1167" s="5">
        <v>35.799999999999997</v>
      </c>
      <c r="H1167" s="5">
        <v>36.799999999999997</v>
      </c>
      <c r="I1167" s="5">
        <v>36.299999999999997</v>
      </c>
      <c r="J1167" s="5">
        <v>37.32</v>
      </c>
      <c r="K1167" s="5">
        <v>11352</v>
      </c>
      <c r="L1167" s="5">
        <v>4.24</v>
      </c>
      <c r="M1167" s="5">
        <v>400</v>
      </c>
      <c r="N1167" s="5">
        <v>5525</v>
      </c>
      <c r="O1167" s="5">
        <v>48.67</v>
      </c>
      <c r="P1167" s="5">
        <f t="shared" si="95"/>
        <v>-2.1500000000000057</v>
      </c>
      <c r="Q1167" s="6">
        <f t="shared" si="96"/>
        <v>-5.5916775032509899E-2</v>
      </c>
      <c r="R1167" s="5">
        <f t="shared" si="97"/>
        <v>3.1500000000000057</v>
      </c>
      <c r="S1167" s="6">
        <f t="shared" si="98"/>
        <v>8.1924577373212099E-2</v>
      </c>
      <c r="T1167" s="6">
        <f t="shared" si="99"/>
        <v>-2.7200000000000082E-2</v>
      </c>
    </row>
    <row r="1168" spans="1:20" hidden="1" x14ac:dyDescent="0.25">
      <c r="A1168" s="4" t="s">
        <v>1120</v>
      </c>
      <c r="B1168" s="5" t="s">
        <v>16</v>
      </c>
      <c r="C1168" s="5" t="s">
        <v>1823</v>
      </c>
      <c r="D1168" s="5">
        <v>32.4</v>
      </c>
      <c r="E1168" s="5">
        <v>32.450000000000003</v>
      </c>
      <c r="F1168" s="5">
        <v>32.6</v>
      </c>
      <c r="G1168" s="5">
        <v>31.75</v>
      </c>
      <c r="H1168" s="5">
        <v>31.8</v>
      </c>
      <c r="I1168" s="5">
        <v>32.049999999999997</v>
      </c>
      <c r="J1168" s="5">
        <v>32.130000000000003</v>
      </c>
      <c r="K1168" s="5">
        <v>5033</v>
      </c>
      <c r="L1168" s="5">
        <v>1.62</v>
      </c>
      <c r="M1168" s="5">
        <v>126</v>
      </c>
      <c r="N1168" s="5">
        <v>4285</v>
      </c>
      <c r="O1168" s="5">
        <v>85.14</v>
      </c>
      <c r="P1168" s="5">
        <f t="shared" si="95"/>
        <v>-0.35000000000000142</v>
      </c>
      <c r="Q1168" s="6">
        <f t="shared" si="96"/>
        <v>-1.0802469135802514E-2</v>
      </c>
      <c r="R1168" s="5">
        <f t="shared" si="97"/>
        <v>0.85000000000000142</v>
      </c>
      <c r="S1168" s="6">
        <f t="shared" si="98"/>
        <v>2.6234567901234612E-2</v>
      </c>
      <c r="T1168" s="6">
        <f t="shared" si="99"/>
        <v>-2.4835079549865857E-3</v>
      </c>
    </row>
    <row r="1169" spans="1:20" hidden="1" x14ac:dyDescent="0.25">
      <c r="A1169" s="4" t="s">
        <v>1121</v>
      </c>
      <c r="B1169" s="5" t="s">
        <v>16</v>
      </c>
      <c r="C1169" s="5" t="s">
        <v>1823</v>
      </c>
      <c r="D1169" s="5">
        <v>5.5</v>
      </c>
      <c r="E1169" s="5">
        <v>5.65</v>
      </c>
      <c r="F1169" s="5">
        <v>5.65</v>
      </c>
      <c r="G1169" s="5">
        <v>5.35</v>
      </c>
      <c r="H1169" s="5">
        <v>5.35</v>
      </c>
      <c r="I1169" s="5">
        <v>5.35</v>
      </c>
      <c r="J1169" s="5">
        <v>5.4</v>
      </c>
      <c r="K1169" s="5">
        <v>24638</v>
      </c>
      <c r="L1169" s="5">
        <v>1.33</v>
      </c>
      <c r="M1169" s="5">
        <v>67</v>
      </c>
      <c r="N1169" s="5">
        <v>21004</v>
      </c>
      <c r="O1169" s="5">
        <v>85.25</v>
      </c>
      <c r="P1169" s="5">
        <f t="shared" si="95"/>
        <v>-0.15000000000000036</v>
      </c>
      <c r="Q1169" s="6">
        <f t="shared" si="96"/>
        <v>-2.7272727272727337E-2</v>
      </c>
      <c r="R1169" s="5">
        <f t="shared" si="97"/>
        <v>0.30000000000000071</v>
      </c>
      <c r="S1169" s="6">
        <f t="shared" si="98"/>
        <v>5.4545454545454675E-2</v>
      </c>
      <c r="T1169" s="6">
        <f t="shared" si="99"/>
        <v>-9.0909090909092206E-3</v>
      </c>
    </row>
    <row r="1170" spans="1:20" hidden="1" x14ac:dyDescent="0.25">
      <c r="A1170" s="4" t="s">
        <v>1122</v>
      </c>
      <c r="B1170" s="5" t="s">
        <v>16</v>
      </c>
      <c r="C1170" s="5" t="s">
        <v>1823</v>
      </c>
      <c r="D1170" s="5">
        <v>14.05</v>
      </c>
      <c r="E1170" s="5">
        <v>13.9</v>
      </c>
      <c r="F1170" s="5">
        <v>14.25</v>
      </c>
      <c r="G1170" s="5">
        <v>13.65</v>
      </c>
      <c r="H1170" s="5">
        <v>13.7</v>
      </c>
      <c r="I1170" s="5">
        <v>13.7</v>
      </c>
      <c r="J1170" s="5">
        <v>13.86</v>
      </c>
      <c r="K1170" s="5">
        <v>58746</v>
      </c>
      <c r="L1170" s="5">
        <v>8.14</v>
      </c>
      <c r="M1170" s="5">
        <v>306</v>
      </c>
      <c r="N1170" s="5">
        <v>42420</v>
      </c>
      <c r="O1170" s="5">
        <v>72.209999999999994</v>
      </c>
      <c r="P1170" s="5">
        <f t="shared" si="95"/>
        <v>-0.35000000000000142</v>
      </c>
      <c r="Q1170" s="6">
        <f t="shared" si="96"/>
        <v>-2.4911032028469851E-2</v>
      </c>
      <c r="R1170" s="5">
        <f t="shared" si="97"/>
        <v>0.59999999999999964</v>
      </c>
      <c r="S1170" s="6">
        <f t="shared" si="98"/>
        <v>4.2704626334519546E-2</v>
      </c>
      <c r="T1170" s="6">
        <f t="shared" si="99"/>
        <v>-1.1531531531531542E-2</v>
      </c>
    </row>
    <row r="1171" spans="1:20" hidden="1" x14ac:dyDescent="0.25">
      <c r="A1171" s="4" t="s">
        <v>1123</v>
      </c>
      <c r="B1171" s="5" t="s">
        <v>16</v>
      </c>
      <c r="C1171" s="5" t="s">
        <v>1823</v>
      </c>
      <c r="D1171" s="5">
        <v>47.05</v>
      </c>
      <c r="E1171" s="5">
        <v>46.85</v>
      </c>
      <c r="F1171" s="5">
        <v>46.85</v>
      </c>
      <c r="G1171" s="5">
        <v>44.4</v>
      </c>
      <c r="H1171" s="5">
        <v>44.8</v>
      </c>
      <c r="I1171" s="5">
        <v>44.6</v>
      </c>
      <c r="J1171" s="5">
        <v>45.37</v>
      </c>
      <c r="K1171" s="5">
        <v>38433</v>
      </c>
      <c r="L1171" s="5">
        <v>17.440000000000001</v>
      </c>
      <c r="M1171" s="5">
        <v>962</v>
      </c>
      <c r="N1171" s="5">
        <v>25001</v>
      </c>
      <c r="O1171" s="5">
        <v>65.05</v>
      </c>
      <c r="P1171" s="5">
        <f t="shared" si="95"/>
        <v>-2.4499999999999957</v>
      </c>
      <c r="Q1171" s="6">
        <f t="shared" si="96"/>
        <v>-5.207226354941543E-2</v>
      </c>
      <c r="R1171" s="5">
        <f t="shared" si="97"/>
        <v>2.4500000000000028</v>
      </c>
      <c r="S1171" s="6">
        <f t="shared" si="98"/>
        <v>5.2072263549415576E-2</v>
      </c>
      <c r="T1171" s="6">
        <f t="shared" si="99"/>
        <v>-1.6858237547892636E-2</v>
      </c>
    </row>
    <row r="1172" spans="1:20" hidden="1" x14ac:dyDescent="0.25">
      <c r="A1172" s="4" t="s">
        <v>1124</v>
      </c>
      <c r="B1172" s="5" t="s">
        <v>16</v>
      </c>
      <c r="C1172" s="5" t="s">
        <v>1823</v>
      </c>
      <c r="D1172" s="5">
        <v>271.45</v>
      </c>
      <c r="E1172" s="5">
        <v>271.89999999999998</v>
      </c>
      <c r="F1172" s="5">
        <v>273.7</v>
      </c>
      <c r="G1172" s="5">
        <v>260.64999999999998</v>
      </c>
      <c r="H1172" s="5">
        <v>262.55</v>
      </c>
      <c r="I1172" s="5">
        <v>262.95</v>
      </c>
      <c r="J1172" s="5">
        <v>266.99</v>
      </c>
      <c r="K1172" s="5">
        <v>71823</v>
      </c>
      <c r="L1172" s="5">
        <v>191.76</v>
      </c>
      <c r="M1172" s="5">
        <v>2584</v>
      </c>
      <c r="N1172" s="5">
        <v>34714</v>
      </c>
      <c r="O1172" s="5">
        <v>48.33</v>
      </c>
      <c r="P1172" s="5">
        <f t="shared" si="95"/>
        <v>-8.5</v>
      </c>
      <c r="Q1172" s="6">
        <f t="shared" si="96"/>
        <v>-3.1313317369681341E-2</v>
      </c>
      <c r="R1172" s="5">
        <f t="shared" si="97"/>
        <v>13.050000000000011</v>
      </c>
      <c r="S1172" s="6">
        <f t="shared" si="98"/>
        <v>4.8075151961687282E-2</v>
      </c>
      <c r="T1172" s="6">
        <f t="shared" si="99"/>
        <v>-1.511410400299297E-2</v>
      </c>
    </row>
    <row r="1173" spans="1:20" hidden="1" x14ac:dyDescent="0.25">
      <c r="A1173" s="4" t="s">
        <v>1125</v>
      </c>
      <c r="B1173" s="5" t="s">
        <v>16</v>
      </c>
      <c r="C1173" s="5" t="s">
        <v>1823</v>
      </c>
      <c r="D1173" s="5">
        <v>355.2</v>
      </c>
      <c r="E1173" s="5">
        <v>359</v>
      </c>
      <c r="F1173" s="5">
        <v>364</v>
      </c>
      <c r="G1173" s="5">
        <v>342</v>
      </c>
      <c r="H1173" s="5">
        <v>345.8</v>
      </c>
      <c r="I1173" s="5">
        <v>344.25</v>
      </c>
      <c r="J1173" s="5">
        <v>353.07</v>
      </c>
      <c r="K1173" s="5">
        <v>20243</v>
      </c>
      <c r="L1173" s="5">
        <v>71.47</v>
      </c>
      <c r="M1173" s="5">
        <v>891</v>
      </c>
      <c r="N1173" s="5">
        <v>10655</v>
      </c>
      <c r="O1173" s="5">
        <v>52.64</v>
      </c>
      <c r="P1173" s="5">
        <f t="shared" si="95"/>
        <v>-10.949999999999989</v>
      </c>
      <c r="Q1173" s="6">
        <f t="shared" si="96"/>
        <v>-3.0827702702702672E-2</v>
      </c>
      <c r="R1173" s="5">
        <f t="shared" si="97"/>
        <v>22</v>
      </c>
      <c r="S1173" s="6">
        <f t="shared" si="98"/>
        <v>6.1936936936936936E-2</v>
      </c>
      <c r="T1173" s="6">
        <f t="shared" si="99"/>
        <v>-2.5034592868547079E-2</v>
      </c>
    </row>
    <row r="1174" spans="1:20" hidden="1" x14ac:dyDescent="0.25">
      <c r="A1174" s="4" t="s">
        <v>1126</v>
      </c>
      <c r="B1174" s="5" t="s">
        <v>16</v>
      </c>
      <c r="C1174" s="5" t="s">
        <v>1823</v>
      </c>
      <c r="D1174" s="5">
        <v>555.5</v>
      </c>
      <c r="E1174" s="5">
        <v>555</v>
      </c>
      <c r="F1174" s="5">
        <v>568</v>
      </c>
      <c r="G1174" s="5">
        <v>551.95000000000005</v>
      </c>
      <c r="H1174" s="5">
        <v>560</v>
      </c>
      <c r="I1174" s="5">
        <v>561.45000000000005</v>
      </c>
      <c r="J1174" s="5">
        <v>558.48</v>
      </c>
      <c r="K1174" s="5">
        <v>21265</v>
      </c>
      <c r="L1174" s="5">
        <v>118.76</v>
      </c>
      <c r="M1174" s="5">
        <v>897</v>
      </c>
      <c r="N1174" s="5">
        <v>14234</v>
      </c>
      <c r="O1174" s="5">
        <v>66.94</v>
      </c>
      <c r="P1174" s="5">
        <f t="shared" si="95"/>
        <v>5.9500000000000455</v>
      </c>
      <c r="Q1174" s="6">
        <f t="shared" si="96"/>
        <v>1.0711071107110793E-2</v>
      </c>
      <c r="R1174" s="5">
        <f t="shared" si="97"/>
        <v>16.049999999999955</v>
      </c>
      <c r="S1174" s="6">
        <f t="shared" si="98"/>
        <v>2.8892889288928809E-2</v>
      </c>
      <c r="T1174" s="6">
        <f t="shared" si="99"/>
        <v>5.3121087461992971E-3</v>
      </c>
    </row>
    <row r="1175" spans="1:20" hidden="1" x14ac:dyDescent="0.25">
      <c r="A1175" s="4" t="s">
        <v>1127</v>
      </c>
      <c r="B1175" s="5" t="s">
        <v>16</v>
      </c>
      <c r="C1175" s="5" t="s">
        <v>1823</v>
      </c>
      <c r="D1175" s="5">
        <v>13430.7</v>
      </c>
      <c r="E1175" s="5">
        <v>13424</v>
      </c>
      <c r="F1175" s="5">
        <v>13573</v>
      </c>
      <c r="G1175" s="5">
        <v>13305.1</v>
      </c>
      <c r="H1175" s="5">
        <v>13545</v>
      </c>
      <c r="I1175" s="5">
        <v>13458.5</v>
      </c>
      <c r="J1175" s="5">
        <v>13387.68</v>
      </c>
      <c r="K1175" s="5">
        <v>83246</v>
      </c>
      <c r="L1175" s="5">
        <v>11144.71</v>
      </c>
      <c r="M1175" s="5">
        <v>19752</v>
      </c>
      <c r="N1175" s="5">
        <v>50393</v>
      </c>
      <c r="O1175" s="5">
        <v>60.54</v>
      </c>
      <c r="P1175" s="5">
        <f t="shared" si="95"/>
        <v>27.799999999999272</v>
      </c>
      <c r="Q1175" s="6">
        <f t="shared" si="96"/>
        <v>2.069884667217589E-3</v>
      </c>
      <c r="R1175" s="5">
        <f t="shared" si="97"/>
        <v>267.89999999999964</v>
      </c>
      <c r="S1175" s="6">
        <f t="shared" si="98"/>
        <v>1.9946838213942657E-2</v>
      </c>
      <c r="T1175" s="6">
        <f t="shared" si="99"/>
        <v>5.2692864290948922E-3</v>
      </c>
    </row>
    <row r="1176" spans="1:20" hidden="1" x14ac:dyDescent="0.25">
      <c r="A1176" s="4" t="s">
        <v>1128</v>
      </c>
      <c r="B1176" s="5" t="s">
        <v>16</v>
      </c>
      <c r="C1176" s="5" t="s">
        <v>1823</v>
      </c>
      <c r="D1176" s="5">
        <v>117.2</v>
      </c>
      <c r="E1176" s="5">
        <v>117</v>
      </c>
      <c r="F1176" s="5">
        <v>117</v>
      </c>
      <c r="G1176" s="5">
        <v>115.88</v>
      </c>
      <c r="H1176" s="5">
        <v>116.1</v>
      </c>
      <c r="I1176" s="5">
        <v>116.1</v>
      </c>
      <c r="J1176" s="5">
        <v>116.72</v>
      </c>
      <c r="K1176" s="5">
        <v>50</v>
      </c>
      <c r="L1176" s="5">
        <v>0.06</v>
      </c>
      <c r="M1176" s="5">
        <v>6</v>
      </c>
      <c r="N1176" s="5">
        <v>48</v>
      </c>
      <c r="O1176" s="5">
        <v>96</v>
      </c>
      <c r="P1176" s="5">
        <f t="shared" si="95"/>
        <v>-1.1000000000000085</v>
      </c>
      <c r="Q1176" s="6">
        <f t="shared" si="96"/>
        <v>-9.3856655290103109E-3</v>
      </c>
      <c r="R1176" s="5">
        <f t="shared" si="97"/>
        <v>1.1200000000000045</v>
      </c>
      <c r="S1176" s="6">
        <f t="shared" si="98"/>
        <v>9.5563139931741006E-3</v>
      </c>
      <c r="T1176" s="6">
        <f t="shared" si="99"/>
        <v>-5.3221168290484957E-3</v>
      </c>
    </row>
    <row r="1177" spans="1:20" x14ac:dyDescent="0.25">
      <c r="A1177" s="4" t="s">
        <v>934</v>
      </c>
      <c r="B1177" s="5" t="s">
        <v>16</v>
      </c>
      <c r="C1177" s="5" t="s">
        <v>1823</v>
      </c>
      <c r="D1177" s="5">
        <v>81.5</v>
      </c>
      <c r="E1177" s="5">
        <v>81.2</v>
      </c>
      <c r="F1177" s="5">
        <v>81.2</v>
      </c>
      <c r="G1177" s="5">
        <v>78.400000000000006</v>
      </c>
      <c r="H1177" s="5">
        <v>79.099999999999994</v>
      </c>
      <c r="I1177" s="5">
        <v>78.95</v>
      </c>
      <c r="J1177" s="5">
        <v>79.8</v>
      </c>
      <c r="K1177" s="5">
        <v>552518</v>
      </c>
      <c r="L1177" s="5">
        <v>440.93</v>
      </c>
      <c r="M1177" s="5">
        <v>4043</v>
      </c>
      <c r="N1177" s="5">
        <v>301294</v>
      </c>
      <c r="O1177" s="5">
        <v>54.53</v>
      </c>
      <c r="P1177" s="5">
        <f t="shared" si="95"/>
        <v>-2.5499999999999972</v>
      </c>
      <c r="Q1177" s="6">
        <f t="shared" si="96"/>
        <v>-3.1288343558282174E-2</v>
      </c>
      <c r="R1177" s="5">
        <f t="shared" si="97"/>
        <v>2.7999999999999972</v>
      </c>
      <c r="S1177" s="6">
        <f t="shared" si="98"/>
        <v>3.4355828220858864E-2</v>
      </c>
      <c r="T1177" s="6">
        <f t="shared" si="99"/>
        <v>-1.0633307271305636E-2</v>
      </c>
    </row>
    <row r="1178" spans="1:20" hidden="1" x14ac:dyDescent="0.25">
      <c r="A1178" s="4" t="s">
        <v>1130</v>
      </c>
      <c r="B1178" s="5" t="s">
        <v>16</v>
      </c>
      <c r="C1178" s="5" t="s">
        <v>1823</v>
      </c>
      <c r="D1178" s="5">
        <v>496.85</v>
      </c>
      <c r="E1178" s="5">
        <v>492.35</v>
      </c>
      <c r="F1178" s="5">
        <v>497.8</v>
      </c>
      <c r="G1178" s="5">
        <v>490</v>
      </c>
      <c r="H1178" s="5">
        <v>490</v>
      </c>
      <c r="I1178" s="5">
        <v>490.65</v>
      </c>
      <c r="J1178" s="5">
        <v>492.32</v>
      </c>
      <c r="K1178" s="5">
        <v>3245</v>
      </c>
      <c r="L1178" s="5">
        <v>15.98</v>
      </c>
      <c r="M1178" s="5">
        <v>311</v>
      </c>
      <c r="N1178" s="5">
        <v>2068</v>
      </c>
      <c r="O1178" s="5">
        <v>63.73</v>
      </c>
      <c r="P1178" s="5">
        <f t="shared" si="95"/>
        <v>-6.2000000000000455</v>
      </c>
      <c r="Q1178" s="6">
        <f t="shared" si="96"/>
        <v>-1.2478615276240406E-2</v>
      </c>
      <c r="R1178" s="5">
        <f t="shared" si="97"/>
        <v>7.8000000000000114</v>
      </c>
      <c r="S1178" s="6">
        <f t="shared" si="98"/>
        <v>1.5698903089463642E-2</v>
      </c>
      <c r="T1178" s="6">
        <f t="shared" si="99"/>
        <v>-3.3894865029429995E-3</v>
      </c>
    </row>
    <row r="1179" spans="1:20" hidden="1" x14ac:dyDescent="0.25">
      <c r="A1179" s="4" t="s">
        <v>1131</v>
      </c>
      <c r="B1179" s="5" t="s">
        <v>16</v>
      </c>
      <c r="C1179" s="5" t="s">
        <v>1823</v>
      </c>
      <c r="D1179" s="5">
        <v>268.60000000000002</v>
      </c>
      <c r="E1179" s="5">
        <v>268.60000000000002</v>
      </c>
      <c r="F1179" s="5">
        <v>270</v>
      </c>
      <c r="G1179" s="5">
        <v>265</v>
      </c>
      <c r="H1179" s="5">
        <v>269</v>
      </c>
      <c r="I1179" s="5">
        <v>267.60000000000002</v>
      </c>
      <c r="J1179" s="5">
        <v>268.16000000000003</v>
      </c>
      <c r="K1179" s="5">
        <v>7807</v>
      </c>
      <c r="L1179" s="5">
        <v>20.93</v>
      </c>
      <c r="M1179" s="5">
        <v>1162</v>
      </c>
      <c r="N1179" s="5">
        <v>4986</v>
      </c>
      <c r="O1179" s="5">
        <v>63.87</v>
      </c>
      <c r="P1179" s="5">
        <f t="shared" si="95"/>
        <v>-1</v>
      </c>
      <c r="Q1179" s="6">
        <f t="shared" si="96"/>
        <v>-3.7230081906180191E-3</v>
      </c>
      <c r="R1179" s="5">
        <f t="shared" si="97"/>
        <v>5</v>
      </c>
      <c r="S1179" s="6">
        <f t="shared" si="98"/>
        <v>1.8615040953090096E-2</v>
      </c>
      <c r="T1179" s="6">
        <f t="shared" si="99"/>
        <v>-2.0911127707244296E-3</v>
      </c>
    </row>
    <row r="1180" spans="1:20" hidden="1" x14ac:dyDescent="0.25">
      <c r="A1180" s="4" t="s">
        <v>1132</v>
      </c>
      <c r="B1180" s="5" t="s">
        <v>16</v>
      </c>
      <c r="C1180" s="5" t="s">
        <v>1823</v>
      </c>
      <c r="D1180" s="5">
        <v>11.75</v>
      </c>
      <c r="E1180" s="5">
        <v>11.75</v>
      </c>
      <c r="F1180" s="5">
        <v>11.75</v>
      </c>
      <c r="G1180" s="5">
        <v>11.3</v>
      </c>
      <c r="H1180" s="5">
        <v>11.4</v>
      </c>
      <c r="I1180" s="5">
        <v>11.45</v>
      </c>
      <c r="J1180" s="5">
        <v>11.52</v>
      </c>
      <c r="K1180" s="5">
        <v>7240</v>
      </c>
      <c r="L1180" s="5">
        <v>0.83</v>
      </c>
      <c r="M1180" s="5">
        <v>106</v>
      </c>
      <c r="N1180" s="5">
        <v>6712</v>
      </c>
      <c r="O1180" s="5">
        <v>92.71</v>
      </c>
      <c r="P1180" s="5">
        <f t="shared" si="95"/>
        <v>-0.30000000000000071</v>
      </c>
      <c r="Q1180" s="6">
        <f t="shared" si="96"/>
        <v>-2.5531914893617082E-2</v>
      </c>
      <c r="R1180" s="5">
        <f t="shared" si="97"/>
        <v>0.44999999999999929</v>
      </c>
      <c r="S1180" s="6">
        <f t="shared" si="98"/>
        <v>3.8297872340425469E-2</v>
      </c>
      <c r="T1180" s="6">
        <f t="shared" si="99"/>
        <v>-6.0540540540540786E-3</v>
      </c>
    </row>
    <row r="1181" spans="1:20" x14ac:dyDescent="0.25">
      <c r="A1181" s="4" t="s">
        <v>83</v>
      </c>
      <c r="B1181" s="5" t="s">
        <v>16</v>
      </c>
      <c r="C1181" s="5" t="s">
        <v>1823</v>
      </c>
      <c r="D1181" s="5">
        <v>31.05</v>
      </c>
      <c r="E1181" s="5">
        <v>30.8</v>
      </c>
      <c r="F1181" s="5">
        <v>31</v>
      </c>
      <c r="G1181" s="5">
        <v>29.55</v>
      </c>
      <c r="H1181" s="5">
        <v>29.85</v>
      </c>
      <c r="I1181" s="5">
        <v>29.9</v>
      </c>
      <c r="J1181" s="5">
        <v>30.23</v>
      </c>
      <c r="K1181" s="5">
        <v>770935</v>
      </c>
      <c r="L1181" s="5">
        <v>233.05</v>
      </c>
      <c r="M1181" s="5">
        <v>3139</v>
      </c>
      <c r="N1181" s="5">
        <v>421867</v>
      </c>
      <c r="O1181" s="5">
        <v>54.72</v>
      </c>
      <c r="P1181" s="5">
        <f t="shared" si="95"/>
        <v>-1.1500000000000021</v>
      </c>
      <c r="Q1181" s="6">
        <f t="shared" si="96"/>
        <v>-3.7037037037037104E-2</v>
      </c>
      <c r="R1181" s="5">
        <f t="shared" si="97"/>
        <v>1.4499999999999993</v>
      </c>
      <c r="S1181" s="6">
        <f t="shared" si="98"/>
        <v>4.6698872785829286E-2</v>
      </c>
      <c r="T1181" s="6">
        <f t="shared" si="99"/>
        <v>-1.0886597938144392E-2</v>
      </c>
    </row>
    <row r="1182" spans="1:20" hidden="1" x14ac:dyDescent="0.25">
      <c r="A1182" s="4" t="s">
        <v>1134</v>
      </c>
      <c r="B1182" s="5" t="s">
        <v>16</v>
      </c>
      <c r="C1182" s="5" t="s">
        <v>1823</v>
      </c>
      <c r="D1182" s="5">
        <v>238.65</v>
      </c>
      <c r="E1182" s="5">
        <v>239.95</v>
      </c>
      <c r="F1182" s="5">
        <v>239.95</v>
      </c>
      <c r="G1182" s="5">
        <v>234.05</v>
      </c>
      <c r="H1182" s="5">
        <v>234.55</v>
      </c>
      <c r="I1182" s="5">
        <v>235.6</v>
      </c>
      <c r="J1182" s="5">
        <v>236.52</v>
      </c>
      <c r="K1182" s="5">
        <v>126543</v>
      </c>
      <c r="L1182" s="5">
        <v>299.3</v>
      </c>
      <c r="M1182" s="5">
        <v>1535</v>
      </c>
      <c r="N1182" s="5">
        <v>118519</v>
      </c>
      <c r="O1182" s="5">
        <v>93.66</v>
      </c>
      <c r="P1182" s="5">
        <f t="shared" si="95"/>
        <v>-3.0500000000000114</v>
      </c>
      <c r="Q1182" s="6">
        <f t="shared" si="96"/>
        <v>-1.2780222082547711E-2</v>
      </c>
      <c r="R1182" s="5">
        <f t="shared" si="97"/>
        <v>5.8999999999999773</v>
      </c>
      <c r="S1182" s="6">
        <f t="shared" si="98"/>
        <v>2.4722396815419975E-2</v>
      </c>
      <c r="T1182" s="6">
        <f t="shared" si="99"/>
        <v>-3.8755199831499798E-3</v>
      </c>
    </row>
    <row r="1183" spans="1:20" hidden="1" x14ac:dyDescent="0.25">
      <c r="A1183" s="4" t="s">
        <v>1135</v>
      </c>
      <c r="B1183" s="5" t="s">
        <v>700</v>
      </c>
      <c r="C1183" s="5" t="s">
        <v>1823</v>
      </c>
      <c r="D1183" s="5">
        <v>1056.9000000000001</v>
      </c>
      <c r="E1183" s="5">
        <v>1057.9000000000001</v>
      </c>
      <c r="F1183" s="5">
        <v>1060</v>
      </c>
      <c r="G1183" s="5">
        <v>1056.1199999999999</v>
      </c>
      <c r="H1183" s="5">
        <v>1057.8</v>
      </c>
      <c r="I1183" s="5">
        <v>1057.26</v>
      </c>
      <c r="J1183" s="5">
        <v>1057.54</v>
      </c>
      <c r="K1183" s="5">
        <v>7108</v>
      </c>
      <c r="L1183" s="5">
        <v>75.17</v>
      </c>
      <c r="M1183" s="5">
        <v>65</v>
      </c>
      <c r="N1183" s="5">
        <v>4888</v>
      </c>
      <c r="O1183" s="5">
        <v>68.77</v>
      </c>
      <c r="P1183" s="5">
        <f t="shared" si="95"/>
        <v>0.35999999999989996</v>
      </c>
      <c r="Q1183" s="6">
        <f t="shared" si="96"/>
        <v>3.4061879080319799E-4</v>
      </c>
      <c r="R1183" s="5">
        <f t="shared" si="97"/>
        <v>3.8800000000001091</v>
      </c>
      <c r="S1183" s="6">
        <f t="shared" si="98"/>
        <v>3.6711136342133682E-3</v>
      </c>
      <c r="T1183" s="6">
        <f t="shared" si="99"/>
        <v>-2.6469531678354797E-4</v>
      </c>
    </row>
    <row r="1184" spans="1:20" hidden="1" x14ac:dyDescent="0.25">
      <c r="A1184" s="4" t="s">
        <v>1135</v>
      </c>
      <c r="B1184" s="5" t="s">
        <v>480</v>
      </c>
      <c r="C1184" s="5" t="s">
        <v>1823</v>
      </c>
      <c r="D1184" s="5">
        <v>1157.92</v>
      </c>
      <c r="E1184" s="5">
        <v>1159</v>
      </c>
      <c r="F1184" s="5">
        <v>1160</v>
      </c>
      <c r="G1184" s="5">
        <v>1157.03</v>
      </c>
      <c r="H1184" s="5">
        <v>1159.99</v>
      </c>
      <c r="I1184" s="5">
        <v>1158.54</v>
      </c>
      <c r="J1184" s="5">
        <v>1159.28</v>
      </c>
      <c r="K1184" s="5">
        <v>9549</v>
      </c>
      <c r="L1184" s="5">
        <v>110.7</v>
      </c>
      <c r="M1184" s="5">
        <v>49</v>
      </c>
      <c r="N1184" s="5">
        <v>8794</v>
      </c>
      <c r="O1184" s="5">
        <v>92.09</v>
      </c>
      <c r="P1184" s="5">
        <f t="shared" si="95"/>
        <v>0.61999999999989086</v>
      </c>
      <c r="Q1184" s="6">
        <f t="shared" si="96"/>
        <v>5.3544286306471162E-4</v>
      </c>
      <c r="R1184" s="5">
        <f t="shared" si="97"/>
        <v>2.9700000000000273</v>
      </c>
      <c r="S1184" s="6">
        <f t="shared" si="98"/>
        <v>2.564944037584658E-3</v>
      </c>
      <c r="T1184" s="6">
        <f t="shared" si="99"/>
        <v>-6.3867845344876362E-4</v>
      </c>
    </row>
    <row r="1185" spans="1:20" hidden="1" x14ac:dyDescent="0.25">
      <c r="A1185" s="4" t="s">
        <v>1135</v>
      </c>
      <c r="B1185" s="5" t="s">
        <v>395</v>
      </c>
      <c r="C1185" s="5" t="s">
        <v>1823</v>
      </c>
      <c r="D1185" s="5">
        <v>1200</v>
      </c>
      <c r="E1185" s="5">
        <v>1215</v>
      </c>
      <c r="F1185" s="5">
        <v>1215</v>
      </c>
      <c r="G1185" s="5">
        <v>1215</v>
      </c>
      <c r="H1185" s="5">
        <v>1215</v>
      </c>
      <c r="I1185" s="5">
        <v>1215</v>
      </c>
      <c r="J1185" s="5">
        <v>1215</v>
      </c>
      <c r="K1185" s="5">
        <v>20</v>
      </c>
      <c r="L1185" s="5">
        <v>0.24</v>
      </c>
      <c r="M1185" s="5">
        <v>1</v>
      </c>
      <c r="N1185" s="5">
        <v>20</v>
      </c>
      <c r="O1185" s="5">
        <v>100</v>
      </c>
      <c r="P1185" s="5">
        <f t="shared" si="95"/>
        <v>15</v>
      </c>
      <c r="Q1185" s="6">
        <f t="shared" si="96"/>
        <v>1.2500000000000001E-2</v>
      </c>
      <c r="R1185" s="5">
        <f t="shared" si="97"/>
        <v>0</v>
      </c>
      <c r="S1185" s="6">
        <f t="shared" si="98"/>
        <v>0</v>
      </c>
      <c r="T1185" s="6">
        <f t="shared" si="99"/>
        <v>0</v>
      </c>
    </row>
    <row r="1186" spans="1:20" hidden="1" x14ac:dyDescent="0.25">
      <c r="A1186" s="4" t="s">
        <v>1135</v>
      </c>
      <c r="B1186" s="5" t="s">
        <v>396</v>
      </c>
      <c r="C1186" s="5" t="s">
        <v>1823</v>
      </c>
      <c r="D1186" s="5">
        <v>1275.07</v>
      </c>
      <c r="E1186" s="5">
        <v>1275</v>
      </c>
      <c r="F1186" s="5">
        <v>1276.8</v>
      </c>
      <c r="G1186" s="5">
        <v>1269.0999999999999</v>
      </c>
      <c r="H1186" s="5">
        <v>1269.0999999999999</v>
      </c>
      <c r="I1186" s="5">
        <v>1271.8699999999999</v>
      </c>
      <c r="J1186" s="5">
        <v>1274.0899999999999</v>
      </c>
      <c r="K1186" s="5">
        <v>746</v>
      </c>
      <c r="L1186" s="5">
        <v>9.5</v>
      </c>
      <c r="M1186" s="5">
        <v>13</v>
      </c>
      <c r="N1186" s="5">
        <v>460</v>
      </c>
      <c r="O1186" s="5">
        <v>61.66</v>
      </c>
      <c r="P1186" s="5">
        <f t="shared" si="95"/>
        <v>-3.2000000000000455</v>
      </c>
      <c r="Q1186" s="6">
        <f t="shared" si="96"/>
        <v>-2.5096661359768841E-3</v>
      </c>
      <c r="R1186" s="5">
        <f t="shared" si="97"/>
        <v>7.7000000000000455</v>
      </c>
      <c r="S1186" s="6">
        <f t="shared" si="98"/>
        <v>6.0388841396943269E-3</v>
      </c>
      <c r="T1186" s="6">
        <f t="shared" si="99"/>
        <v>-1.7436483485411885E-3</v>
      </c>
    </row>
    <row r="1187" spans="1:20" hidden="1" x14ac:dyDescent="0.25">
      <c r="A1187" s="4" t="s">
        <v>1135</v>
      </c>
      <c r="B1187" s="5" t="s">
        <v>694</v>
      </c>
      <c r="C1187" s="5" t="s">
        <v>1823</v>
      </c>
      <c r="D1187" s="5">
        <v>1117</v>
      </c>
      <c r="E1187" s="5">
        <v>1115</v>
      </c>
      <c r="F1187" s="5">
        <v>1124.48</v>
      </c>
      <c r="G1187" s="5">
        <v>1115</v>
      </c>
      <c r="H1187" s="5">
        <v>1124.48</v>
      </c>
      <c r="I1187" s="5">
        <v>1120.6300000000001</v>
      </c>
      <c r="J1187" s="5">
        <v>1119.55</v>
      </c>
      <c r="K1187" s="5">
        <v>639</v>
      </c>
      <c r="L1187" s="5">
        <v>7.15</v>
      </c>
      <c r="M1187" s="5">
        <v>9</v>
      </c>
      <c r="N1187" s="5">
        <v>639</v>
      </c>
      <c r="O1187" s="5">
        <v>100</v>
      </c>
      <c r="P1187" s="5">
        <f t="shared" si="95"/>
        <v>3.6300000000001091</v>
      </c>
      <c r="Q1187" s="6">
        <f t="shared" si="96"/>
        <v>3.2497761862131684E-3</v>
      </c>
      <c r="R1187" s="5">
        <f t="shared" si="97"/>
        <v>9.4800000000000182</v>
      </c>
      <c r="S1187" s="6">
        <f t="shared" si="98"/>
        <v>8.487018800358119E-3</v>
      </c>
      <c r="T1187" s="6">
        <f t="shared" si="99"/>
        <v>9.6533939947858667E-4</v>
      </c>
    </row>
    <row r="1188" spans="1:20" hidden="1" x14ac:dyDescent="0.25">
      <c r="A1188" s="4" t="s">
        <v>1135</v>
      </c>
      <c r="B1188" s="5" t="s">
        <v>397</v>
      </c>
      <c r="C1188" s="5" t="s">
        <v>1823</v>
      </c>
      <c r="D1188" s="5">
        <v>1180.92</v>
      </c>
      <c r="E1188" s="5">
        <v>1179.1099999999999</v>
      </c>
      <c r="F1188" s="5">
        <v>1180.5</v>
      </c>
      <c r="G1188" s="5">
        <v>1177</v>
      </c>
      <c r="H1188" s="5">
        <v>1178.95</v>
      </c>
      <c r="I1188" s="5">
        <v>1178.27</v>
      </c>
      <c r="J1188" s="5">
        <v>1178.53</v>
      </c>
      <c r="K1188" s="5">
        <v>2690</v>
      </c>
      <c r="L1188" s="5">
        <v>31.7</v>
      </c>
      <c r="M1188" s="5">
        <v>25</v>
      </c>
      <c r="N1188" s="5">
        <v>2280</v>
      </c>
      <c r="O1188" s="5">
        <v>84.76</v>
      </c>
      <c r="P1188" s="5">
        <f t="shared" si="95"/>
        <v>-2.6500000000000909</v>
      </c>
      <c r="Q1188" s="6">
        <f t="shared" si="96"/>
        <v>-2.2440131422959142E-3</v>
      </c>
      <c r="R1188" s="5">
        <f t="shared" si="97"/>
        <v>3.5</v>
      </c>
      <c r="S1188" s="6">
        <f t="shared" si="98"/>
        <v>2.9637909426548791E-3</v>
      </c>
      <c r="T1188" s="6">
        <f t="shared" si="99"/>
        <v>-2.2057825437762229E-4</v>
      </c>
    </row>
    <row r="1189" spans="1:20" hidden="1" x14ac:dyDescent="0.25">
      <c r="A1189" s="4" t="s">
        <v>1135</v>
      </c>
      <c r="B1189" s="5" t="s">
        <v>398</v>
      </c>
      <c r="C1189" s="5" t="s">
        <v>1823</v>
      </c>
      <c r="D1189" s="5">
        <v>1062.01</v>
      </c>
      <c r="E1189" s="5">
        <v>1055</v>
      </c>
      <c r="F1189" s="5">
        <v>1100</v>
      </c>
      <c r="G1189" s="5">
        <v>1055</v>
      </c>
      <c r="H1189" s="5">
        <v>1070</v>
      </c>
      <c r="I1189" s="5">
        <v>1070</v>
      </c>
      <c r="J1189" s="5">
        <v>1060.8599999999999</v>
      </c>
      <c r="K1189" s="5">
        <v>905</v>
      </c>
      <c r="L1189" s="5">
        <v>9.6</v>
      </c>
      <c r="M1189" s="5">
        <v>14</v>
      </c>
      <c r="N1189" s="5">
        <v>842</v>
      </c>
      <c r="O1189" s="5">
        <v>93.04</v>
      </c>
      <c r="P1189" s="5">
        <f t="shared" si="95"/>
        <v>7.9900000000000091</v>
      </c>
      <c r="Q1189" s="6">
        <f t="shared" si="96"/>
        <v>7.5234696471784719E-3</v>
      </c>
      <c r="R1189" s="5">
        <f t="shared" si="97"/>
        <v>45</v>
      </c>
      <c r="S1189" s="6">
        <f t="shared" si="98"/>
        <v>4.2372482368339279E-2</v>
      </c>
      <c r="T1189" s="6">
        <f t="shared" si="99"/>
        <v>8.5420560747664492E-3</v>
      </c>
    </row>
    <row r="1190" spans="1:20" hidden="1" x14ac:dyDescent="0.25">
      <c r="A1190" s="4" t="s">
        <v>1135</v>
      </c>
      <c r="B1190" s="5" t="s">
        <v>689</v>
      </c>
      <c r="C1190" s="5" t="s">
        <v>1823</v>
      </c>
      <c r="D1190" s="5">
        <v>1164.32</v>
      </c>
      <c r="E1190" s="5">
        <v>1167</v>
      </c>
      <c r="F1190" s="5">
        <v>1167.7</v>
      </c>
      <c r="G1190" s="5">
        <v>1164.07</v>
      </c>
      <c r="H1190" s="5">
        <v>1165</v>
      </c>
      <c r="I1190" s="5">
        <v>1165</v>
      </c>
      <c r="J1190" s="5">
        <v>1167.2</v>
      </c>
      <c r="K1190" s="5">
        <v>123</v>
      </c>
      <c r="L1190" s="5">
        <v>1.44</v>
      </c>
      <c r="M1190" s="5">
        <v>7</v>
      </c>
      <c r="N1190" s="5">
        <v>122</v>
      </c>
      <c r="O1190" s="5">
        <v>99.19</v>
      </c>
      <c r="P1190" s="5">
        <f t="shared" si="95"/>
        <v>0.68000000000006366</v>
      </c>
      <c r="Q1190" s="6">
        <f t="shared" si="96"/>
        <v>5.8403188126980869E-4</v>
      </c>
      <c r="R1190" s="5">
        <f t="shared" si="97"/>
        <v>3.6300000000001091</v>
      </c>
      <c r="S1190" s="6">
        <f t="shared" si="98"/>
        <v>3.1176996014842221E-3</v>
      </c>
      <c r="T1190" s="6">
        <f t="shared" si="99"/>
        <v>-1.8868855025012347E-3</v>
      </c>
    </row>
    <row r="1191" spans="1:20" hidden="1" x14ac:dyDescent="0.25">
      <c r="A1191" s="4" t="s">
        <v>1136</v>
      </c>
      <c r="B1191" s="5" t="s">
        <v>396</v>
      </c>
      <c r="C1191" s="5" t="s">
        <v>1823</v>
      </c>
      <c r="D1191" s="5">
        <v>6980</v>
      </c>
      <c r="E1191" s="5">
        <v>6975</v>
      </c>
      <c r="F1191" s="5">
        <v>7000</v>
      </c>
      <c r="G1191" s="5">
        <v>6970</v>
      </c>
      <c r="H1191" s="5">
        <v>7000</v>
      </c>
      <c r="I1191" s="5">
        <v>7000</v>
      </c>
      <c r="J1191" s="5">
        <v>6988.06</v>
      </c>
      <c r="K1191" s="5">
        <v>129</v>
      </c>
      <c r="L1191" s="5">
        <v>9.01</v>
      </c>
      <c r="M1191" s="5">
        <v>7</v>
      </c>
      <c r="N1191" s="5">
        <v>129</v>
      </c>
      <c r="O1191" s="5">
        <v>100</v>
      </c>
      <c r="P1191" s="5">
        <f t="shared" si="95"/>
        <v>20</v>
      </c>
      <c r="Q1191" s="6">
        <f t="shared" si="96"/>
        <v>2.8653295128939827E-3</v>
      </c>
      <c r="R1191" s="5">
        <f t="shared" si="97"/>
        <v>30</v>
      </c>
      <c r="S1191" s="6">
        <f t="shared" si="98"/>
        <v>4.2979942693409743E-3</v>
      </c>
      <c r="T1191" s="6">
        <f t="shared" si="99"/>
        <v>1.7090713902307533E-3</v>
      </c>
    </row>
    <row r="1192" spans="1:20" hidden="1" x14ac:dyDescent="0.25">
      <c r="A1192" s="4" t="s">
        <v>1137</v>
      </c>
      <c r="B1192" s="5" t="s">
        <v>700</v>
      </c>
      <c r="C1192" s="5" t="s">
        <v>1823</v>
      </c>
      <c r="D1192" s="5">
        <v>10555</v>
      </c>
      <c r="E1192" s="5">
        <v>10500</v>
      </c>
      <c r="F1192" s="5">
        <v>10500</v>
      </c>
      <c r="G1192" s="5">
        <v>10500</v>
      </c>
      <c r="H1192" s="5">
        <v>10500</v>
      </c>
      <c r="I1192" s="5">
        <v>10500</v>
      </c>
      <c r="J1192" s="5">
        <v>10500</v>
      </c>
      <c r="K1192" s="5">
        <v>3</v>
      </c>
      <c r="L1192" s="5">
        <v>0.32</v>
      </c>
      <c r="M1192" s="5">
        <v>1</v>
      </c>
      <c r="N1192" s="5">
        <v>3</v>
      </c>
      <c r="O1192" s="5">
        <v>100</v>
      </c>
      <c r="P1192" s="5">
        <f t="shared" si="95"/>
        <v>-55</v>
      </c>
      <c r="Q1192" s="6">
        <f t="shared" si="96"/>
        <v>-5.210800568450971E-3</v>
      </c>
      <c r="R1192" s="5">
        <f t="shared" si="97"/>
        <v>0</v>
      </c>
      <c r="S1192" s="6">
        <f t="shared" si="98"/>
        <v>0</v>
      </c>
      <c r="T1192" s="6">
        <f t="shared" si="99"/>
        <v>0</v>
      </c>
    </row>
    <row r="1193" spans="1:20" hidden="1" x14ac:dyDescent="0.25">
      <c r="A1193" s="4" t="s">
        <v>1138</v>
      </c>
      <c r="B1193" s="5" t="s">
        <v>16</v>
      </c>
      <c r="C1193" s="5" t="s">
        <v>1823</v>
      </c>
      <c r="D1193" s="5">
        <v>23.15</v>
      </c>
      <c r="E1193" s="5">
        <v>23.1</v>
      </c>
      <c r="F1193" s="5">
        <v>23.2</v>
      </c>
      <c r="G1193" s="5">
        <v>22.65</v>
      </c>
      <c r="H1193" s="5">
        <v>22.7</v>
      </c>
      <c r="I1193" s="5">
        <v>22.75</v>
      </c>
      <c r="J1193" s="5">
        <v>22.89</v>
      </c>
      <c r="K1193" s="5">
        <v>1434667</v>
      </c>
      <c r="L1193" s="5">
        <v>328.43</v>
      </c>
      <c r="M1193" s="5">
        <v>3745</v>
      </c>
      <c r="N1193" s="5">
        <v>984993</v>
      </c>
      <c r="O1193" s="5">
        <v>68.66</v>
      </c>
      <c r="P1193" s="5">
        <f t="shared" si="95"/>
        <v>-0.39999999999999858</v>
      </c>
      <c r="Q1193" s="6">
        <f t="shared" si="96"/>
        <v>-1.7278617710583092E-2</v>
      </c>
      <c r="R1193" s="5">
        <f t="shared" si="97"/>
        <v>0.55000000000000071</v>
      </c>
      <c r="S1193" s="6">
        <f t="shared" si="98"/>
        <v>2.3758099352051868E-2</v>
      </c>
      <c r="T1193" s="6">
        <f t="shared" si="99"/>
        <v>-6.1068702290076595E-3</v>
      </c>
    </row>
    <row r="1194" spans="1:20" hidden="1" x14ac:dyDescent="0.25">
      <c r="A1194" s="4" t="s">
        <v>1138</v>
      </c>
      <c r="B1194" s="5" t="s">
        <v>395</v>
      </c>
      <c r="C1194" s="5" t="s">
        <v>1823</v>
      </c>
      <c r="D1194" s="5">
        <v>1185</v>
      </c>
      <c r="E1194" s="5">
        <v>1180</v>
      </c>
      <c r="F1194" s="5">
        <v>1180</v>
      </c>
      <c r="G1194" s="5">
        <v>1180</v>
      </c>
      <c r="H1194" s="5">
        <v>1180</v>
      </c>
      <c r="I1194" s="5">
        <v>1180</v>
      </c>
      <c r="J1194" s="5">
        <v>1180</v>
      </c>
      <c r="K1194" s="5">
        <v>10</v>
      </c>
      <c r="L1194" s="5">
        <v>0.12</v>
      </c>
      <c r="M1194" s="5">
        <v>1</v>
      </c>
      <c r="N1194" s="5">
        <v>10</v>
      </c>
      <c r="O1194" s="5">
        <v>100</v>
      </c>
      <c r="P1194" s="5">
        <f t="shared" si="95"/>
        <v>-5</v>
      </c>
      <c r="Q1194" s="6">
        <f t="shared" si="96"/>
        <v>-4.2194092827004216E-3</v>
      </c>
      <c r="R1194" s="5">
        <f t="shared" si="97"/>
        <v>0</v>
      </c>
      <c r="S1194" s="6">
        <f t="shared" si="98"/>
        <v>0</v>
      </c>
      <c r="T1194" s="6">
        <f t="shared" si="99"/>
        <v>0</v>
      </c>
    </row>
    <row r="1195" spans="1:20" x14ac:dyDescent="0.25">
      <c r="A1195" s="4" t="s">
        <v>592</v>
      </c>
      <c r="B1195" s="5" t="s">
        <v>16</v>
      </c>
      <c r="C1195" s="5" t="s">
        <v>1823</v>
      </c>
      <c r="D1195" s="5">
        <v>146.9</v>
      </c>
      <c r="E1195" s="5">
        <v>146.9</v>
      </c>
      <c r="F1195" s="5">
        <v>147.69999999999999</v>
      </c>
      <c r="G1195" s="5">
        <v>141.25</v>
      </c>
      <c r="H1195" s="5">
        <v>141.75</v>
      </c>
      <c r="I1195" s="5">
        <v>143.44999999999999</v>
      </c>
      <c r="J1195" s="5">
        <v>143.38</v>
      </c>
      <c r="K1195" s="5">
        <v>231820</v>
      </c>
      <c r="L1195" s="5">
        <v>332.39</v>
      </c>
      <c r="M1195" s="5">
        <v>6879</v>
      </c>
      <c r="N1195" s="5">
        <v>127594</v>
      </c>
      <c r="O1195" s="5">
        <v>55.04</v>
      </c>
      <c r="P1195" s="5">
        <f t="shared" si="95"/>
        <v>-3.4500000000000171</v>
      </c>
      <c r="Q1195" s="6">
        <f t="shared" si="96"/>
        <v>-2.348536419332891E-2</v>
      </c>
      <c r="R1195" s="5">
        <f t="shared" si="97"/>
        <v>6.4499999999999886</v>
      </c>
      <c r="S1195" s="6">
        <f t="shared" si="98"/>
        <v>4.3907420013614626E-2</v>
      </c>
      <c r="T1195" s="6">
        <f t="shared" si="99"/>
        <v>4.8334196443979412E-4</v>
      </c>
    </row>
    <row r="1196" spans="1:20" hidden="1" x14ac:dyDescent="0.25">
      <c r="A1196" s="4" t="s">
        <v>1140</v>
      </c>
      <c r="B1196" s="5" t="s">
        <v>16</v>
      </c>
      <c r="C1196" s="5" t="s">
        <v>1823</v>
      </c>
      <c r="D1196" s="5">
        <v>6.7</v>
      </c>
      <c r="E1196" s="5">
        <v>6.6</v>
      </c>
      <c r="F1196" s="5">
        <v>7</v>
      </c>
      <c r="G1196" s="5">
        <v>6.6</v>
      </c>
      <c r="H1196" s="5">
        <v>6.8</v>
      </c>
      <c r="I1196" s="5">
        <v>6.95</v>
      </c>
      <c r="J1196" s="5">
        <v>6.89</v>
      </c>
      <c r="K1196" s="5">
        <v>5309</v>
      </c>
      <c r="L1196" s="5">
        <v>0.37</v>
      </c>
      <c r="M1196" s="5">
        <v>24</v>
      </c>
      <c r="N1196" s="5">
        <v>3975</v>
      </c>
      <c r="O1196" s="5">
        <v>74.87</v>
      </c>
      <c r="P1196" s="5">
        <f t="shared" si="95"/>
        <v>0.25</v>
      </c>
      <c r="Q1196" s="6">
        <f t="shared" si="96"/>
        <v>3.7313432835820892E-2</v>
      </c>
      <c r="R1196" s="5">
        <f t="shared" si="97"/>
        <v>0.40000000000000036</v>
      </c>
      <c r="S1196" s="6">
        <f t="shared" si="98"/>
        <v>5.9701492537313487E-2</v>
      </c>
      <c r="T1196" s="6">
        <f t="shared" si="99"/>
        <v>8.8397790055249354E-3</v>
      </c>
    </row>
    <row r="1197" spans="1:20" hidden="1" x14ac:dyDescent="0.25">
      <c r="A1197" s="4" t="s">
        <v>1141</v>
      </c>
      <c r="B1197" s="5" t="s">
        <v>16</v>
      </c>
      <c r="C1197" s="5" t="s">
        <v>1823</v>
      </c>
      <c r="D1197" s="5">
        <v>1226.8900000000001</v>
      </c>
      <c r="E1197" s="5">
        <v>1232.95</v>
      </c>
      <c r="F1197" s="5">
        <v>1232.95</v>
      </c>
      <c r="G1197" s="5">
        <v>1210.5</v>
      </c>
      <c r="H1197" s="5">
        <v>1212.2</v>
      </c>
      <c r="I1197" s="5">
        <v>1213.5899999999999</v>
      </c>
      <c r="J1197" s="5">
        <v>1215.8</v>
      </c>
      <c r="K1197" s="5">
        <v>52967</v>
      </c>
      <c r="L1197" s="5">
        <v>643.97</v>
      </c>
      <c r="M1197" s="5">
        <v>2057</v>
      </c>
      <c r="N1197" s="5">
        <v>30051</v>
      </c>
      <c r="O1197" s="5">
        <v>56.74</v>
      </c>
      <c r="P1197" s="5">
        <f t="shared" si="95"/>
        <v>-13.300000000000182</v>
      </c>
      <c r="Q1197" s="6">
        <f t="shared" si="96"/>
        <v>-1.0840417641353487E-2</v>
      </c>
      <c r="R1197" s="5">
        <f t="shared" si="97"/>
        <v>22.450000000000045</v>
      </c>
      <c r="S1197" s="6">
        <f t="shared" si="98"/>
        <v>1.8298298951006237E-2</v>
      </c>
      <c r="T1197" s="6">
        <f t="shared" si="99"/>
        <v>-1.8077746580259153E-3</v>
      </c>
    </row>
    <row r="1198" spans="1:20" hidden="1" x14ac:dyDescent="0.25">
      <c r="A1198" s="4" t="s">
        <v>1142</v>
      </c>
      <c r="B1198" s="5" t="s">
        <v>16</v>
      </c>
      <c r="C1198" s="5" t="s">
        <v>1823</v>
      </c>
      <c r="D1198" s="5">
        <v>14550</v>
      </c>
      <c r="E1198" s="5">
        <v>14650</v>
      </c>
      <c r="F1198" s="5">
        <v>15000</v>
      </c>
      <c r="G1198" s="5">
        <v>14200.01</v>
      </c>
      <c r="H1198" s="5">
        <v>14200.01</v>
      </c>
      <c r="I1198" s="5">
        <v>14200.01</v>
      </c>
      <c r="J1198" s="5">
        <v>14616.67</v>
      </c>
      <c r="K1198" s="5">
        <v>3</v>
      </c>
      <c r="L1198" s="5">
        <v>0.44</v>
      </c>
      <c r="M1198" s="5">
        <v>3</v>
      </c>
      <c r="N1198" s="5">
        <v>1</v>
      </c>
      <c r="O1198" s="5">
        <v>33.33</v>
      </c>
      <c r="P1198" s="5">
        <f t="shared" si="95"/>
        <v>-349.98999999999978</v>
      </c>
      <c r="Q1198" s="6">
        <f t="shared" si="96"/>
        <v>-2.4054295532646035E-2</v>
      </c>
      <c r="R1198" s="5">
        <f t="shared" si="97"/>
        <v>799.98999999999978</v>
      </c>
      <c r="S1198" s="6">
        <f t="shared" si="98"/>
        <v>5.4982130584192428E-2</v>
      </c>
      <c r="T1198" s="6">
        <f t="shared" si="99"/>
        <v>-2.8710412158342052E-2</v>
      </c>
    </row>
    <row r="1199" spans="1:20" hidden="1" x14ac:dyDescent="0.25">
      <c r="A1199" s="4" t="s">
        <v>1143</v>
      </c>
      <c r="B1199" s="5" t="s">
        <v>16</v>
      </c>
      <c r="C1199" s="5" t="s">
        <v>1823</v>
      </c>
      <c r="D1199" s="5">
        <v>90.45</v>
      </c>
      <c r="E1199" s="5">
        <v>90.3</v>
      </c>
      <c r="F1199" s="5">
        <v>91.4</v>
      </c>
      <c r="G1199" s="5">
        <v>89.1</v>
      </c>
      <c r="H1199" s="5">
        <v>89.5</v>
      </c>
      <c r="I1199" s="5">
        <v>89.55</v>
      </c>
      <c r="J1199" s="5">
        <v>89.96</v>
      </c>
      <c r="K1199" s="5">
        <v>229373</v>
      </c>
      <c r="L1199" s="5">
        <v>206.34</v>
      </c>
      <c r="M1199" s="5">
        <v>3626</v>
      </c>
      <c r="N1199" s="5">
        <v>132499</v>
      </c>
      <c r="O1199" s="5">
        <v>57.77</v>
      </c>
      <c r="P1199" s="5">
        <f t="shared" si="95"/>
        <v>-0.90000000000000568</v>
      </c>
      <c r="Q1199" s="6">
        <f t="shared" si="96"/>
        <v>-9.9502487562189677E-3</v>
      </c>
      <c r="R1199" s="5">
        <f t="shared" si="97"/>
        <v>2.3000000000000114</v>
      </c>
      <c r="S1199" s="6">
        <f t="shared" si="98"/>
        <v>2.5428413488115104E-2</v>
      </c>
      <c r="T1199" s="6">
        <f t="shared" si="99"/>
        <v>-4.5511308450117563E-3</v>
      </c>
    </row>
    <row r="1200" spans="1:20" hidden="1" x14ac:dyDescent="0.25">
      <c r="A1200" s="4" t="s">
        <v>1144</v>
      </c>
      <c r="B1200" s="5" t="s">
        <v>16</v>
      </c>
      <c r="C1200" s="5" t="s">
        <v>1823</v>
      </c>
      <c r="D1200" s="5">
        <v>1429</v>
      </c>
      <c r="E1200" s="5">
        <v>1437</v>
      </c>
      <c r="F1200" s="5">
        <v>1437</v>
      </c>
      <c r="G1200" s="5">
        <v>1398</v>
      </c>
      <c r="H1200" s="5">
        <v>1398.5</v>
      </c>
      <c r="I1200" s="5">
        <v>1406.2</v>
      </c>
      <c r="J1200" s="5">
        <v>1414.46</v>
      </c>
      <c r="K1200" s="5">
        <v>162380</v>
      </c>
      <c r="L1200" s="5">
        <v>2296.8000000000002</v>
      </c>
      <c r="M1200" s="5">
        <v>6774</v>
      </c>
      <c r="N1200" s="5">
        <v>43302</v>
      </c>
      <c r="O1200" s="5">
        <v>26.67</v>
      </c>
      <c r="P1200" s="5">
        <f t="shared" si="95"/>
        <v>-22.799999999999955</v>
      </c>
      <c r="Q1200" s="6">
        <f t="shared" si="96"/>
        <v>-1.5955213435969177E-2</v>
      </c>
      <c r="R1200" s="5">
        <f t="shared" si="97"/>
        <v>39</v>
      </c>
      <c r="S1200" s="6">
        <f t="shared" si="98"/>
        <v>2.729181245626312E-2</v>
      </c>
      <c r="T1200" s="6">
        <f t="shared" si="99"/>
        <v>-5.8187453770561035E-3</v>
      </c>
    </row>
    <row r="1201" spans="1:20" hidden="1" x14ac:dyDescent="0.25">
      <c r="A1201" s="4" t="s">
        <v>1145</v>
      </c>
      <c r="B1201" s="5" t="s">
        <v>16</v>
      </c>
      <c r="C1201" s="5" t="s">
        <v>1823</v>
      </c>
      <c r="D1201" s="5">
        <v>5</v>
      </c>
      <c r="E1201" s="5">
        <v>4.9000000000000004</v>
      </c>
      <c r="F1201" s="5">
        <v>5</v>
      </c>
      <c r="G1201" s="5">
        <v>4.7</v>
      </c>
      <c r="H1201" s="5">
        <v>4.7</v>
      </c>
      <c r="I1201" s="5">
        <v>4.75</v>
      </c>
      <c r="J1201" s="5">
        <v>4.8499999999999996</v>
      </c>
      <c r="K1201" s="5">
        <v>85769</v>
      </c>
      <c r="L1201" s="5">
        <v>4.16</v>
      </c>
      <c r="M1201" s="5">
        <v>179</v>
      </c>
      <c r="N1201" s="5">
        <v>62314</v>
      </c>
      <c r="O1201" s="5">
        <v>72.650000000000006</v>
      </c>
      <c r="P1201" s="5">
        <f t="shared" si="95"/>
        <v>-0.25</v>
      </c>
      <c r="Q1201" s="6">
        <f t="shared" si="96"/>
        <v>-0.05</v>
      </c>
      <c r="R1201" s="5">
        <f t="shared" si="97"/>
        <v>0.29999999999999982</v>
      </c>
      <c r="S1201" s="6">
        <f t="shared" si="98"/>
        <v>5.9999999999999963E-2</v>
      </c>
      <c r="T1201" s="6">
        <f t="shared" si="99"/>
        <v>-2.0671834625322922E-2</v>
      </c>
    </row>
    <row r="1202" spans="1:20" hidden="1" x14ac:dyDescent="0.25">
      <c r="A1202" s="4" t="s">
        <v>1146</v>
      </c>
      <c r="B1202" s="5" t="s">
        <v>16</v>
      </c>
      <c r="C1202" s="5" t="s">
        <v>1823</v>
      </c>
      <c r="D1202" s="5">
        <v>1.35</v>
      </c>
      <c r="E1202" s="5">
        <v>1.3</v>
      </c>
      <c r="F1202" s="5">
        <v>1.35</v>
      </c>
      <c r="G1202" s="5">
        <v>1.3</v>
      </c>
      <c r="H1202" s="5">
        <v>1.3</v>
      </c>
      <c r="I1202" s="5">
        <v>1.3</v>
      </c>
      <c r="J1202" s="5">
        <v>1.3</v>
      </c>
      <c r="K1202" s="5">
        <v>48780</v>
      </c>
      <c r="L1202" s="5">
        <v>0.63</v>
      </c>
      <c r="M1202" s="5">
        <v>66</v>
      </c>
      <c r="N1202" s="5">
        <v>47297</v>
      </c>
      <c r="O1202" s="5">
        <v>96.96</v>
      </c>
      <c r="P1202" s="5">
        <f t="shared" si="95"/>
        <v>-5.0000000000000044E-2</v>
      </c>
      <c r="Q1202" s="6">
        <f t="shared" si="96"/>
        <v>-3.703703703703707E-2</v>
      </c>
      <c r="R1202" s="5">
        <f t="shared" si="97"/>
        <v>5.0000000000000044E-2</v>
      </c>
      <c r="S1202" s="6">
        <f t="shared" si="98"/>
        <v>3.703703703703707E-2</v>
      </c>
      <c r="T1202" s="6">
        <f t="shared" si="99"/>
        <v>0</v>
      </c>
    </row>
    <row r="1203" spans="1:20" hidden="1" x14ac:dyDescent="0.25">
      <c r="A1203" s="4" t="s">
        <v>1147</v>
      </c>
      <c r="B1203" s="5" t="s">
        <v>16</v>
      </c>
      <c r="C1203" s="5" t="s">
        <v>1823</v>
      </c>
      <c r="D1203" s="5">
        <v>1134.1500000000001</v>
      </c>
      <c r="E1203" s="5">
        <v>1141</v>
      </c>
      <c r="F1203" s="5">
        <v>1194.5999999999999</v>
      </c>
      <c r="G1203" s="5">
        <v>1141</v>
      </c>
      <c r="H1203" s="5">
        <v>1169.95</v>
      </c>
      <c r="I1203" s="5">
        <v>1164.5</v>
      </c>
      <c r="J1203" s="5">
        <v>1168.08</v>
      </c>
      <c r="K1203" s="5">
        <v>41178</v>
      </c>
      <c r="L1203" s="5">
        <v>480.99</v>
      </c>
      <c r="M1203" s="5">
        <v>4754</v>
      </c>
      <c r="N1203" s="5">
        <v>10717</v>
      </c>
      <c r="O1203" s="5">
        <v>26.03</v>
      </c>
      <c r="P1203" s="5">
        <f t="shared" si="95"/>
        <v>30.349999999999909</v>
      </c>
      <c r="Q1203" s="6">
        <f t="shared" si="96"/>
        <v>2.6760128730767451E-2</v>
      </c>
      <c r="R1203" s="5">
        <f t="shared" si="97"/>
        <v>53.599999999999909</v>
      </c>
      <c r="S1203" s="6">
        <f t="shared" si="98"/>
        <v>4.726006260194851E-2</v>
      </c>
      <c r="T1203" s="6">
        <f t="shared" si="99"/>
        <v>-3.0854754260842706E-3</v>
      </c>
    </row>
    <row r="1204" spans="1:20" hidden="1" x14ac:dyDescent="0.25">
      <c r="A1204" s="4" t="s">
        <v>1148</v>
      </c>
      <c r="B1204" s="5" t="s">
        <v>16</v>
      </c>
      <c r="C1204" s="5" t="s">
        <v>1823</v>
      </c>
      <c r="D1204" s="5">
        <v>467.4</v>
      </c>
      <c r="E1204" s="5">
        <v>464.75</v>
      </c>
      <c r="F1204" s="5">
        <v>482.15</v>
      </c>
      <c r="G1204" s="5">
        <v>460.1</v>
      </c>
      <c r="H1204" s="5">
        <v>475</v>
      </c>
      <c r="I1204" s="5">
        <v>475.75</v>
      </c>
      <c r="J1204" s="5">
        <v>468.91</v>
      </c>
      <c r="K1204" s="5">
        <v>626</v>
      </c>
      <c r="L1204" s="5">
        <v>2.94</v>
      </c>
      <c r="M1204" s="5">
        <v>104</v>
      </c>
      <c r="N1204" s="5">
        <v>217</v>
      </c>
      <c r="O1204" s="5">
        <v>34.659999999999997</v>
      </c>
      <c r="P1204" s="5">
        <f t="shared" si="95"/>
        <v>8.3500000000000227</v>
      </c>
      <c r="Q1204" s="6">
        <f t="shared" si="96"/>
        <v>1.7864783910997054E-2</v>
      </c>
      <c r="R1204" s="5">
        <f t="shared" si="97"/>
        <v>22.049999999999955</v>
      </c>
      <c r="S1204" s="6">
        <f t="shared" si="98"/>
        <v>4.7175866495506966E-2</v>
      </c>
      <c r="T1204" s="6">
        <f t="shared" si="99"/>
        <v>1.4531934670030488E-2</v>
      </c>
    </row>
    <row r="1205" spans="1:20" hidden="1" x14ac:dyDescent="0.25">
      <c r="A1205" s="4" t="s">
        <v>1149</v>
      </c>
      <c r="B1205" s="5" t="s">
        <v>16</v>
      </c>
      <c r="C1205" s="5" t="s">
        <v>1823</v>
      </c>
      <c r="D1205" s="5">
        <v>27.05</v>
      </c>
      <c r="E1205" s="5">
        <v>26.45</v>
      </c>
      <c r="F1205" s="5">
        <v>27.1</v>
      </c>
      <c r="G1205" s="5">
        <v>26.45</v>
      </c>
      <c r="H1205" s="5">
        <v>26.55</v>
      </c>
      <c r="I1205" s="5">
        <v>26.55</v>
      </c>
      <c r="J1205" s="5">
        <v>26.74</v>
      </c>
      <c r="K1205" s="5">
        <v>41189</v>
      </c>
      <c r="L1205" s="5">
        <v>11.01</v>
      </c>
      <c r="M1205" s="5">
        <v>499</v>
      </c>
      <c r="N1205" s="5">
        <v>19248</v>
      </c>
      <c r="O1205" s="5">
        <v>46.73</v>
      </c>
      <c r="P1205" s="5">
        <f t="shared" si="95"/>
        <v>-0.5</v>
      </c>
      <c r="Q1205" s="6">
        <f t="shared" si="96"/>
        <v>-1.8484288354898334E-2</v>
      </c>
      <c r="R1205" s="5">
        <f t="shared" si="97"/>
        <v>0.65000000000000213</v>
      </c>
      <c r="S1205" s="6">
        <f t="shared" si="98"/>
        <v>2.4029574861367916E-2</v>
      </c>
      <c r="T1205" s="6">
        <f t="shared" si="99"/>
        <v>-7.1328015016423364E-3</v>
      </c>
    </row>
    <row r="1206" spans="1:20" hidden="1" x14ac:dyDescent="0.25">
      <c r="A1206" s="4" t="s">
        <v>1150</v>
      </c>
      <c r="B1206" s="5" t="s">
        <v>39</v>
      </c>
      <c r="C1206" s="5" t="s">
        <v>1823</v>
      </c>
      <c r="D1206" s="5">
        <v>1.8</v>
      </c>
      <c r="E1206" s="5">
        <v>1.8</v>
      </c>
      <c r="F1206" s="5">
        <v>1.85</v>
      </c>
      <c r="G1206" s="5">
        <v>1.75</v>
      </c>
      <c r="H1206" s="5">
        <v>1.75</v>
      </c>
      <c r="I1206" s="5">
        <v>1.75</v>
      </c>
      <c r="J1206" s="5">
        <v>1.8</v>
      </c>
      <c r="K1206" s="5">
        <v>7910</v>
      </c>
      <c r="L1206" s="5">
        <v>0.14000000000000001</v>
      </c>
      <c r="M1206" s="5">
        <v>20</v>
      </c>
      <c r="N1206" s="5" t="s">
        <v>25</v>
      </c>
      <c r="O1206" s="5" t="s">
        <v>25</v>
      </c>
      <c r="P1206" s="5">
        <f t="shared" si="95"/>
        <v>-5.0000000000000044E-2</v>
      </c>
      <c r="Q1206" s="6">
        <f t="shared" si="96"/>
        <v>-2.7777777777777801E-2</v>
      </c>
      <c r="R1206" s="5">
        <f t="shared" si="97"/>
        <v>0.10000000000000009</v>
      </c>
      <c r="S1206" s="6">
        <f t="shared" si="98"/>
        <v>5.5555555555555601E-2</v>
      </c>
      <c r="T1206" s="6">
        <f t="shared" si="99"/>
        <v>-2.7972027972027996E-2</v>
      </c>
    </row>
    <row r="1207" spans="1:20" hidden="1" x14ac:dyDescent="0.25">
      <c r="A1207" s="4" t="s">
        <v>1151</v>
      </c>
      <c r="B1207" s="5" t="s">
        <v>24</v>
      </c>
      <c r="C1207" s="5" t="s">
        <v>1823</v>
      </c>
      <c r="D1207" s="5">
        <v>0.6</v>
      </c>
      <c r="E1207" s="5">
        <v>0.55000000000000004</v>
      </c>
      <c r="F1207" s="5">
        <v>0.6</v>
      </c>
      <c r="G1207" s="5">
        <v>0.55000000000000004</v>
      </c>
      <c r="H1207" s="5">
        <v>0.55000000000000004</v>
      </c>
      <c r="I1207" s="5">
        <v>0.55000000000000004</v>
      </c>
      <c r="J1207" s="5">
        <v>0.55000000000000004</v>
      </c>
      <c r="K1207" s="5">
        <v>56967</v>
      </c>
      <c r="L1207" s="5">
        <v>0.31</v>
      </c>
      <c r="M1207" s="5">
        <v>55</v>
      </c>
      <c r="N1207" s="5" t="s">
        <v>25</v>
      </c>
      <c r="O1207" s="5" t="s">
        <v>25</v>
      </c>
      <c r="P1207" s="5">
        <f t="shared" si="95"/>
        <v>-4.9999999999999933E-2</v>
      </c>
      <c r="Q1207" s="6">
        <f t="shared" si="96"/>
        <v>-8.3333333333333232E-2</v>
      </c>
      <c r="R1207" s="5">
        <f t="shared" si="97"/>
        <v>4.9999999999999933E-2</v>
      </c>
      <c r="S1207" s="6">
        <f t="shared" si="98"/>
        <v>8.3333333333333232E-2</v>
      </c>
      <c r="T1207" s="6">
        <f t="shared" si="99"/>
        <v>0</v>
      </c>
    </row>
    <row r="1208" spans="1:20" hidden="1" x14ac:dyDescent="0.25">
      <c r="A1208" s="4" t="s">
        <v>1152</v>
      </c>
      <c r="B1208" s="5" t="s">
        <v>16</v>
      </c>
      <c r="C1208" s="5" t="s">
        <v>1823</v>
      </c>
      <c r="D1208" s="5">
        <v>53.5</v>
      </c>
      <c r="E1208" s="5">
        <v>55.4</v>
      </c>
      <c r="F1208" s="5">
        <v>55.4</v>
      </c>
      <c r="G1208" s="5">
        <v>53</v>
      </c>
      <c r="H1208" s="5">
        <v>54</v>
      </c>
      <c r="I1208" s="5">
        <v>53.95</v>
      </c>
      <c r="J1208" s="5">
        <v>53.69</v>
      </c>
      <c r="K1208" s="5">
        <v>10461</v>
      </c>
      <c r="L1208" s="5">
        <v>5.62</v>
      </c>
      <c r="M1208" s="5">
        <v>234</v>
      </c>
      <c r="N1208" s="5">
        <v>7951</v>
      </c>
      <c r="O1208" s="5">
        <v>76.010000000000005</v>
      </c>
      <c r="P1208" s="5">
        <f t="shared" si="95"/>
        <v>0.45000000000000284</v>
      </c>
      <c r="Q1208" s="6">
        <f t="shared" si="96"/>
        <v>8.4112149532710803E-3</v>
      </c>
      <c r="R1208" s="5">
        <f t="shared" si="97"/>
        <v>2.3999999999999986</v>
      </c>
      <c r="S1208" s="6">
        <f t="shared" si="98"/>
        <v>4.4859813084112125E-2</v>
      </c>
      <c r="T1208" s="6">
        <f t="shared" si="99"/>
        <v>4.7761194029851683E-3</v>
      </c>
    </row>
    <row r="1209" spans="1:20" hidden="1" x14ac:dyDescent="0.25">
      <c r="A1209" s="4" t="s">
        <v>1153</v>
      </c>
      <c r="B1209" s="5" t="s">
        <v>28</v>
      </c>
      <c r="C1209" s="5" t="s">
        <v>1823</v>
      </c>
      <c r="D1209" s="5">
        <v>92</v>
      </c>
      <c r="E1209" s="5">
        <v>93</v>
      </c>
      <c r="F1209" s="5">
        <v>93</v>
      </c>
      <c r="G1209" s="5">
        <v>93</v>
      </c>
      <c r="H1209" s="5">
        <v>93</v>
      </c>
      <c r="I1209" s="5">
        <v>93</v>
      </c>
      <c r="J1209" s="5">
        <v>93</v>
      </c>
      <c r="K1209" s="5">
        <v>1200</v>
      </c>
      <c r="L1209" s="5">
        <v>1.1200000000000001</v>
      </c>
      <c r="M1209" s="5">
        <v>1</v>
      </c>
      <c r="N1209" s="5">
        <v>1200</v>
      </c>
      <c r="O1209" s="5">
        <v>100</v>
      </c>
      <c r="P1209" s="5">
        <f t="shared" si="95"/>
        <v>1</v>
      </c>
      <c r="Q1209" s="6">
        <f t="shared" si="96"/>
        <v>1.0869565217391304E-2</v>
      </c>
      <c r="R1209" s="5">
        <f t="shared" si="97"/>
        <v>0</v>
      </c>
      <c r="S1209" s="6">
        <f t="shared" si="98"/>
        <v>0</v>
      </c>
      <c r="T1209" s="6">
        <f t="shared" si="99"/>
        <v>0</v>
      </c>
    </row>
    <row r="1210" spans="1:20" hidden="1" x14ac:dyDescent="0.25">
      <c r="A1210" s="4" t="s">
        <v>1154</v>
      </c>
      <c r="B1210" s="5" t="s">
        <v>39</v>
      </c>
      <c r="C1210" s="5" t="s">
        <v>1823</v>
      </c>
      <c r="D1210" s="5">
        <v>34.950000000000003</v>
      </c>
      <c r="E1210" s="5">
        <v>36.65</v>
      </c>
      <c r="F1210" s="5">
        <v>36.65</v>
      </c>
      <c r="G1210" s="5">
        <v>33.25</v>
      </c>
      <c r="H1210" s="5">
        <v>33.25</v>
      </c>
      <c r="I1210" s="5">
        <v>33.25</v>
      </c>
      <c r="J1210" s="5">
        <v>33.630000000000003</v>
      </c>
      <c r="K1210" s="5">
        <v>9</v>
      </c>
      <c r="L1210" s="5">
        <v>0</v>
      </c>
      <c r="M1210" s="5">
        <v>2</v>
      </c>
      <c r="N1210" s="5" t="s">
        <v>25</v>
      </c>
      <c r="O1210" s="5" t="s">
        <v>25</v>
      </c>
      <c r="P1210" s="5">
        <f t="shared" si="95"/>
        <v>-1.7000000000000028</v>
      </c>
      <c r="Q1210" s="6">
        <f t="shared" si="96"/>
        <v>-4.8640915593705369E-2</v>
      </c>
      <c r="R1210" s="5">
        <f t="shared" si="97"/>
        <v>3.3999999999999986</v>
      </c>
      <c r="S1210" s="6">
        <f t="shared" si="98"/>
        <v>9.7281831187410545E-2</v>
      </c>
      <c r="T1210" s="6">
        <f t="shared" si="99"/>
        <v>-1.0872675250357726E-2</v>
      </c>
    </row>
    <row r="1211" spans="1:20" hidden="1" x14ac:dyDescent="0.25">
      <c r="A1211" s="4" t="s">
        <v>1155</v>
      </c>
      <c r="B1211" s="5" t="s">
        <v>16</v>
      </c>
      <c r="C1211" s="5" t="s">
        <v>1823</v>
      </c>
      <c r="D1211" s="5">
        <v>57.1</v>
      </c>
      <c r="E1211" s="5">
        <v>57.3</v>
      </c>
      <c r="F1211" s="5">
        <v>58.2</v>
      </c>
      <c r="G1211" s="5">
        <v>56.65</v>
      </c>
      <c r="H1211" s="5">
        <v>57.25</v>
      </c>
      <c r="I1211" s="5">
        <v>57.75</v>
      </c>
      <c r="J1211" s="5">
        <v>57.44</v>
      </c>
      <c r="K1211" s="5">
        <v>282084</v>
      </c>
      <c r="L1211" s="5">
        <v>162.03</v>
      </c>
      <c r="M1211" s="5">
        <v>4410</v>
      </c>
      <c r="N1211" s="5">
        <v>160693</v>
      </c>
      <c r="O1211" s="5">
        <v>56.97</v>
      </c>
      <c r="P1211" s="5">
        <f t="shared" si="95"/>
        <v>0.64999999999999858</v>
      </c>
      <c r="Q1211" s="6">
        <f t="shared" si="96"/>
        <v>1.1383537653239904E-2</v>
      </c>
      <c r="R1211" s="5">
        <f t="shared" si="97"/>
        <v>1.5500000000000043</v>
      </c>
      <c r="S1211" s="6">
        <f t="shared" si="98"/>
        <v>2.7145359019264521E-2</v>
      </c>
      <c r="T1211" s="6">
        <f t="shared" si="99"/>
        <v>5.3936494127882085E-3</v>
      </c>
    </row>
    <row r="1212" spans="1:20" x14ac:dyDescent="0.25">
      <c r="A1212" s="4" t="s">
        <v>236</v>
      </c>
      <c r="B1212" s="5" t="s">
        <v>16</v>
      </c>
      <c r="C1212" s="5" t="s">
        <v>1823</v>
      </c>
      <c r="D1212" s="5">
        <v>51.9</v>
      </c>
      <c r="E1212" s="5">
        <v>51.9</v>
      </c>
      <c r="F1212" s="5">
        <v>51.9</v>
      </c>
      <c r="G1212" s="5">
        <v>49.9</v>
      </c>
      <c r="H1212" s="5">
        <v>49.95</v>
      </c>
      <c r="I1212" s="5">
        <v>50.15</v>
      </c>
      <c r="J1212" s="5">
        <v>50.66</v>
      </c>
      <c r="K1212" s="5">
        <v>15774906</v>
      </c>
      <c r="L1212" s="5">
        <v>7991.69</v>
      </c>
      <c r="M1212" s="5">
        <v>41658</v>
      </c>
      <c r="N1212" s="5">
        <v>8690133</v>
      </c>
      <c r="O1212" s="5">
        <v>55.09</v>
      </c>
      <c r="P1212" s="5">
        <f t="shared" si="95"/>
        <v>-1.75</v>
      </c>
      <c r="Q1212" s="6">
        <f t="shared" si="96"/>
        <v>-3.3718689788053952E-2</v>
      </c>
      <c r="R1212" s="5">
        <f t="shared" si="97"/>
        <v>2</v>
      </c>
      <c r="S1212" s="6">
        <f t="shared" si="98"/>
        <v>3.8535645472061661E-2</v>
      </c>
      <c r="T1212" s="6">
        <f t="shared" si="99"/>
        <v>-1.0007358351729174E-2</v>
      </c>
    </row>
    <row r="1213" spans="1:20" x14ac:dyDescent="0.25">
      <c r="A1213" s="4" t="s">
        <v>1352</v>
      </c>
      <c r="B1213" s="5" t="s">
        <v>16</v>
      </c>
      <c r="C1213" s="5" t="s">
        <v>1823</v>
      </c>
      <c r="D1213" s="5">
        <v>261.25</v>
      </c>
      <c r="E1213" s="5">
        <v>261.3</v>
      </c>
      <c r="F1213" s="5">
        <v>267.5</v>
      </c>
      <c r="G1213" s="5">
        <v>257.3</v>
      </c>
      <c r="H1213" s="5">
        <v>263.2</v>
      </c>
      <c r="I1213" s="5">
        <v>263.14999999999998</v>
      </c>
      <c r="J1213" s="5">
        <v>263.35000000000002</v>
      </c>
      <c r="K1213" s="5">
        <v>2248526</v>
      </c>
      <c r="L1213" s="5">
        <v>5921.39</v>
      </c>
      <c r="M1213" s="5">
        <v>23721</v>
      </c>
      <c r="N1213" s="5">
        <v>1243376</v>
      </c>
      <c r="O1213" s="5">
        <v>55.3</v>
      </c>
      <c r="P1213" s="5">
        <f t="shared" si="95"/>
        <v>1.8999999999999773</v>
      </c>
      <c r="Q1213" s="6">
        <f t="shared" si="96"/>
        <v>7.272727272727186E-3</v>
      </c>
      <c r="R1213" s="5">
        <f t="shared" si="97"/>
        <v>10.199999999999989</v>
      </c>
      <c r="S1213" s="6">
        <f t="shared" si="98"/>
        <v>3.9043062200956893E-2</v>
      </c>
      <c r="T1213" s="6">
        <f t="shared" si="99"/>
        <v>-7.6244936859679003E-4</v>
      </c>
    </row>
    <row r="1214" spans="1:20" hidden="1" x14ac:dyDescent="0.25">
      <c r="A1214" s="4" t="s">
        <v>1158</v>
      </c>
      <c r="B1214" s="5" t="s">
        <v>39</v>
      </c>
      <c r="C1214" s="5" t="s">
        <v>1823</v>
      </c>
      <c r="D1214" s="5">
        <v>5.25</v>
      </c>
      <c r="E1214" s="5">
        <v>5.25</v>
      </c>
      <c r="F1214" s="5">
        <v>5.25</v>
      </c>
      <c r="G1214" s="5">
        <v>5</v>
      </c>
      <c r="H1214" s="5">
        <v>5</v>
      </c>
      <c r="I1214" s="5">
        <v>5</v>
      </c>
      <c r="J1214" s="5">
        <v>5</v>
      </c>
      <c r="K1214" s="5">
        <v>374934</v>
      </c>
      <c r="L1214" s="5">
        <v>18.75</v>
      </c>
      <c r="M1214" s="5">
        <v>49</v>
      </c>
      <c r="N1214" s="5" t="s">
        <v>25</v>
      </c>
      <c r="O1214" s="5" t="s">
        <v>25</v>
      </c>
      <c r="P1214" s="5">
        <f t="shared" si="95"/>
        <v>-0.25</v>
      </c>
      <c r="Q1214" s="6">
        <f t="shared" si="96"/>
        <v>-4.7619047619047616E-2</v>
      </c>
      <c r="R1214" s="5">
        <f t="shared" si="97"/>
        <v>0.25</v>
      </c>
      <c r="S1214" s="6">
        <f t="shared" si="98"/>
        <v>4.7619047619047616E-2</v>
      </c>
      <c r="T1214" s="6">
        <f t="shared" si="99"/>
        <v>0</v>
      </c>
    </row>
    <row r="1215" spans="1:20" hidden="1" x14ac:dyDescent="0.25">
      <c r="A1215" s="4" t="s">
        <v>1159</v>
      </c>
      <c r="B1215" s="5" t="s">
        <v>16</v>
      </c>
      <c r="C1215" s="5" t="s">
        <v>1823</v>
      </c>
      <c r="D1215" s="5">
        <v>155.97</v>
      </c>
      <c r="E1215" s="5">
        <v>156.25</v>
      </c>
      <c r="F1215" s="5">
        <v>156.25</v>
      </c>
      <c r="G1215" s="5">
        <v>154.44999999999999</v>
      </c>
      <c r="H1215" s="5">
        <v>155.05000000000001</v>
      </c>
      <c r="I1215" s="5">
        <v>155.07</v>
      </c>
      <c r="J1215" s="5">
        <v>155.63</v>
      </c>
      <c r="K1215" s="5">
        <v>466</v>
      </c>
      <c r="L1215" s="5">
        <v>0.73</v>
      </c>
      <c r="M1215" s="5">
        <v>15</v>
      </c>
      <c r="N1215" s="5">
        <v>466</v>
      </c>
      <c r="O1215" s="5">
        <v>100</v>
      </c>
      <c r="P1215" s="5">
        <f t="shared" si="95"/>
        <v>-0.90000000000000568</v>
      </c>
      <c r="Q1215" s="6">
        <f t="shared" si="96"/>
        <v>-5.7703404500865918E-3</v>
      </c>
      <c r="R1215" s="5">
        <f t="shared" si="97"/>
        <v>1.8000000000000114</v>
      </c>
      <c r="S1215" s="6">
        <f t="shared" si="98"/>
        <v>1.1540680900173184E-2</v>
      </c>
      <c r="T1215" s="6">
        <f t="shared" si="99"/>
        <v>-3.6011703803736361E-3</v>
      </c>
    </row>
    <row r="1216" spans="1:20" hidden="1" x14ac:dyDescent="0.25">
      <c r="A1216" s="4" t="s">
        <v>1160</v>
      </c>
      <c r="B1216" s="5" t="s">
        <v>16</v>
      </c>
      <c r="C1216" s="5" t="s">
        <v>1823</v>
      </c>
      <c r="D1216" s="5">
        <v>264.45</v>
      </c>
      <c r="E1216" s="5">
        <v>269.85000000000002</v>
      </c>
      <c r="F1216" s="5">
        <v>273.95</v>
      </c>
      <c r="G1216" s="5">
        <v>260.35000000000002</v>
      </c>
      <c r="H1216" s="5">
        <v>272</v>
      </c>
      <c r="I1216" s="5">
        <v>268.25</v>
      </c>
      <c r="J1216" s="5">
        <v>269.33</v>
      </c>
      <c r="K1216" s="5">
        <v>14455</v>
      </c>
      <c r="L1216" s="5">
        <v>38.93</v>
      </c>
      <c r="M1216" s="5">
        <v>1264</v>
      </c>
      <c r="N1216" s="5">
        <v>5165</v>
      </c>
      <c r="O1216" s="5">
        <v>35.729999999999997</v>
      </c>
      <c r="P1216" s="5">
        <f t="shared" si="95"/>
        <v>3.8000000000000114</v>
      </c>
      <c r="Q1216" s="6">
        <f t="shared" si="96"/>
        <v>1.4369446020041639E-2</v>
      </c>
      <c r="R1216" s="5">
        <f t="shared" si="97"/>
        <v>13.599999999999966</v>
      </c>
      <c r="S1216" s="6">
        <f t="shared" si="98"/>
        <v>5.1427491019096112E-2</v>
      </c>
      <c r="T1216" s="6">
        <f t="shared" si="99"/>
        <v>-4.0283476314807313E-3</v>
      </c>
    </row>
    <row r="1217" spans="1:20" hidden="1" x14ac:dyDescent="0.25">
      <c r="A1217" s="4" t="s">
        <v>1161</v>
      </c>
      <c r="B1217" s="5" t="s">
        <v>16</v>
      </c>
      <c r="C1217" s="5" t="s">
        <v>1823</v>
      </c>
      <c r="D1217" s="5">
        <v>107.15</v>
      </c>
      <c r="E1217" s="5">
        <v>107</v>
      </c>
      <c r="F1217" s="5">
        <v>107.6</v>
      </c>
      <c r="G1217" s="5">
        <v>102.3</v>
      </c>
      <c r="H1217" s="5">
        <v>105</v>
      </c>
      <c r="I1217" s="5">
        <v>105.8</v>
      </c>
      <c r="J1217" s="5">
        <v>104.85</v>
      </c>
      <c r="K1217" s="5">
        <v>71698</v>
      </c>
      <c r="L1217" s="5">
        <v>75.17</v>
      </c>
      <c r="M1217" s="5">
        <v>1976</v>
      </c>
      <c r="N1217" s="5">
        <v>38304</v>
      </c>
      <c r="O1217" s="5">
        <v>53.42</v>
      </c>
      <c r="P1217" s="5">
        <f t="shared" si="95"/>
        <v>-1.3500000000000085</v>
      </c>
      <c r="Q1217" s="6">
        <f t="shared" si="96"/>
        <v>-1.2599160055996346E-2</v>
      </c>
      <c r="R1217" s="5">
        <f t="shared" si="97"/>
        <v>5.2999999999999972</v>
      </c>
      <c r="S1217" s="6">
        <f t="shared" si="98"/>
        <v>4.9463369108726056E-2</v>
      </c>
      <c r="T1217" s="6">
        <f t="shared" si="99"/>
        <v>8.9898273006860929E-3</v>
      </c>
    </row>
    <row r="1218" spans="1:20" hidden="1" x14ac:dyDescent="0.25">
      <c r="A1218" s="4" t="s">
        <v>1162</v>
      </c>
      <c r="B1218" s="5" t="s">
        <v>16</v>
      </c>
      <c r="C1218" s="5" t="s">
        <v>1823</v>
      </c>
      <c r="D1218" s="5">
        <v>882.55</v>
      </c>
      <c r="E1218" s="5">
        <v>881.05</v>
      </c>
      <c r="F1218" s="5">
        <v>901.95</v>
      </c>
      <c r="G1218" s="5">
        <v>818</v>
      </c>
      <c r="H1218" s="5">
        <v>830</v>
      </c>
      <c r="I1218" s="5">
        <v>843</v>
      </c>
      <c r="J1218" s="5">
        <v>840.5</v>
      </c>
      <c r="K1218" s="5">
        <v>7719</v>
      </c>
      <c r="L1218" s="5">
        <v>64.88</v>
      </c>
      <c r="M1218" s="5">
        <v>1012</v>
      </c>
      <c r="N1218" s="5">
        <v>5855</v>
      </c>
      <c r="O1218" s="5">
        <v>75.849999999999994</v>
      </c>
      <c r="P1218" s="5">
        <f t="shared" si="95"/>
        <v>-39.549999999999955</v>
      </c>
      <c r="Q1218" s="6">
        <f t="shared" si="96"/>
        <v>-4.4813325024077907E-2</v>
      </c>
      <c r="R1218" s="5">
        <f t="shared" si="97"/>
        <v>83.950000000000045</v>
      </c>
      <c r="S1218" s="6">
        <f t="shared" si="98"/>
        <v>9.5122089400034054E-2</v>
      </c>
      <c r="T1218" s="6">
        <f t="shared" si="99"/>
        <v>2.9036004645760743E-3</v>
      </c>
    </row>
    <row r="1219" spans="1:20" hidden="1" x14ac:dyDescent="0.25">
      <c r="A1219" s="4" t="s">
        <v>1163</v>
      </c>
      <c r="B1219" s="5" t="s">
        <v>39</v>
      </c>
      <c r="C1219" s="5" t="s">
        <v>1823</v>
      </c>
      <c r="D1219" s="5">
        <v>0.35</v>
      </c>
      <c r="E1219" s="5">
        <v>0.35</v>
      </c>
      <c r="F1219" s="5">
        <v>0.35</v>
      </c>
      <c r="G1219" s="5">
        <v>0.35</v>
      </c>
      <c r="H1219" s="5">
        <v>0.35</v>
      </c>
      <c r="I1219" s="5">
        <v>0.35</v>
      </c>
      <c r="J1219" s="5">
        <v>0.35</v>
      </c>
      <c r="K1219" s="5">
        <v>3590</v>
      </c>
      <c r="L1219" s="5">
        <v>0.01</v>
      </c>
      <c r="M1219" s="5">
        <v>4</v>
      </c>
      <c r="N1219" s="5" t="s">
        <v>25</v>
      </c>
      <c r="O1219" s="5" t="s">
        <v>25</v>
      </c>
      <c r="P1219" s="5">
        <f t="shared" si="95"/>
        <v>0</v>
      </c>
      <c r="Q1219" s="6">
        <f t="shared" si="96"/>
        <v>0</v>
      </c>
      <c r="R1219" s="5">
        <f t="shared" si="97"/>
        <v>0</v>
      </c>
      <c r="S1219" s="6">
        <f t="shared" si="98"/>
        <v>0</v>
      </c>
      <c r="T1219" s="6">
        <f t="shared" si="99"/>
        <v>0</v>
      </c>
    </row>
    <row r="1220" spans="1:20" x14ac:dyDescent="0.25">
      <c r="A1220" s="4" t="s">
        <v>1299</v>
      </c>
      <c r="B1220" s="5" t="s">
        <v>16</v>
      </c>
      <c r="C1220" s="5" t="s">
        <v>1823</v>
      </c>
      <c r="D1220" s="5">
        <v>327.2</v>
      </c>
      <c r="E1220" s="5">
        <v>328.8</v>
      </c>
      <c r="F1220" s="5">
        <v>328.8</v>
      </c>
      <c r="G1220" s="5">
        <v>316</v>
      </c>
      <c r="H1220" s="5">
        <v>316.5</v>
      </c>
      <c r="I1220" s="5">
        <v>317.7</v>
      </c>
      <c r="J1220" s="5">
        <v>319.43</v>
      </c>
      <c r="K1220" s="5">
        <v>154698</v>
      </c>
      <c r="L1220" s="5">
        <v>494.15</v>
      </c>
      <c r="M1220" s="5">
        <v>5539</v>
      </c>
      <c r="N1220" s="5">
        <v>85791</v>
      </c>
      <c r="O1220" s="5">
        <v>55.46</v>
      </c>
      <c r="P1220" s="5">
        <f t="shared" si="95"/>
        <v>-9.5</v>
      </c>
      <c r="Q1220" s="6">
        <f t="shared" si="96"/>
        <v>-2.9034229828850858E-2</v>
      </c>
      <c r="R1220" s="5">
        <f t="shared" si="97"/>
        <v>12.800000000000011</v>
      </c>
      <c r="S1220" s="6">
        <f t="shared" si="98"/>
        <v>3.911980440097803E-2</v>
      </c>
      <c r="T1220" s="6">
        <f t="shared" si="99"/>
        <v>-5.3589406024936673E-3</v>
      </c>
    </row>
    <row r="1221" spans="1:20" hidden="1" x14ac:dyDescent="0.25">
      <c r="A1221" s="4" t="s">
        <v>1164</v>
      </c>
      <c r="B1221" s="5" t="s">
        <v>395</v>
      </c>
      <c r="C1221" s="5" t="s">
        <v>1823</v>
      </c>
      <c r="D1221" s="5">
        <v>1198.79</v>
      </c>
      <c r="E1221" s="5">
        <v>1255.75</v>
      </c>
      <c r="F1221" s="5">
        <v>1255.75</v>
      </c>
      <c r="G1221" s="5">
        <v>1255.75</v>
      </c>
      <c r="H1221" s="5">
        <v>1255.75</v>
      </c>
      <c r="I1221" s="5">
        <v>1255.75</v>
      </c>
      <c r="J1221" s="5">
        <v>1255.75</v>
      </c>
      <c r="K1221" s="5">
        <v>25</v>
      </c>
      <c r="L1221" s="5">
        <v>0.31</v>
      </c>
      <c r="M1221" s="5">
        <v>1</v>
      </c>
      <c r="N1221" s="5">
        <v>25</v>
      </c>
      <c r="O1221" s="5">
        <v>100</v>
      </c>
      <c r="P1221" s="5">
        <f t="shared" si="95"/>
        <v>56.960000000000036</v>
      </c>
      <c r="Q1221" s="6">
        <f t="shared" si="96"/>
        <v>4.7514577198675363E-2</v>
      </c>
      <c r="R1221" s="5">
        <f t="shared" si="97"/>
        <v>0</v>
      </c>
      <c r="S1221" s="6">
        <f t="shared" si="98"/>
        <v>0</v>
      </c>
      <c r="T1221" s="6">
        <f t="shared" si="99"/>
        <v>0</v>
      </c>
    </row>
    <row r="1222" spans="1:20" hidden="1" x14ac:dyDescent="0.25">
      <c r="A1222" s="4" t="s">
        <v>1164</v>
      </c>
      <c r="B1222" s="5" t="s">
        <v>439</v>
      </c>
      <c r="C1222" s="5" t="s">
        <v>1823</v>
      </c>
      <c r="D1222" s="5">
        <v>1280</v>
      </c>
      <c r="E1222" s="5">
        <v>1287.55</v>
      </c>
      <c r="F1222" s="5">
        <v>1287.55</v>
      </c>
      <c r="G1222" s="5">
        <v>1287.55</v>
      </c>
      <c r="H1222" s="5">
        <v>1287.55</v>
      </c>
      <c r="I1222" s="5">
        <v>1287.55</v>
      </c>
      <c r="J1222" s="5">
        <v>1287.55</v>
      </c>
      <c r="K1222" s="5">
        <v>25</v>
      </c>
      <c r="L1222" s="5">
        <v>0.32</v>
      </c>
      <c r="M1222" s="5">
        <v>1</v>
      </c>
      <c r="N1222" s="5">
        <v>25</v>
      </c>
      <c r="O1222" s="5">
        <v>100</v>
      </c>
      <c r="P1222" s="5">
        <f t="shared" si="95"/>
        <v>7.5499999999999545</v>
      </c>
      <c r="Q1222" s="6">
        <f t="shared" si="96"/>
        <v>5.8984374999999645E-3</v>
      </c>
      <c r="R1222" s="5">
        <f t="shared" si="97"/>
        <v>0</v>
      </c>
      <c r="S1222" s="6">
        <f t="shared" si="98"/>
        <v>0</v>
      </c>
      <c r="T1222" s="6">
        <f t="shared" si="99"/>
        <v>0</v>
      </c>
    </row>
    <row r="1223" spans="1:20" hidden="1" x14ac:dyDescent="0.25">
      <c r="A1223" s="4" t="s">
        <v>1164</v>
      </c>
      <c r="B1223" s="5" t="s">
        <v>396</v>
      </c>
      <c r="C1223" s="5" t="s">
        <v>1823</v>
      </c>
      <c r="D1223" s="5">
        <v>1368</v>
      </c>
      <c r="E1223" s="5">
        <v>1367.99</v>
      </c>
      <c r="F1223" s="5">
        <v>1367.99</v>
      </c>
      <c r="G1223" s="5">
        <v>1367.99</v>
      </c>
      <c r="H1223" s="5">
        <v>1367.99</v>
      </c>
      <c r="I1223" s="5">
        <v>1367.99</v>
      </c>
      <c r="J1223" s="5">
        <v>1367.99</v>
      </c>
      <c r="K1223" s="5">
        <v>26</v>
      </c>
      <c r="L1223" s="5">
        <v>0.36</v>
      </c>
      <c r="M1223" s="5">
        <v>3</v>
      </c>
      <c r="N1223" s="5">
        <v>26</v>
      </c>
      <c r="O1223" s="5">
        <v>100</v>
      </c>
      <c r="P1223" s="5">
        <f t="shared" si="95"/>
        <v>-9.9999999999909051E-3</v>
      </c>
      <c r="Q1223" s="6">
        <f t="shared" si="96"/>
        <v>-7.3099415204611882E-6</v>
      </c>
      <c r="R1223" s="5">
        <f t="shared" si="97"/>
        <v>0</v>
      </c>
      <c r="S1223" s="6">
        <f t="shared" si="98"/>
        <v>0</v>
      </c>
      <c r="T1223" s="6">
        <f t="shared" si="99"/>
        <v>0</v>
      </c>
    </row>
    <row r="1224" spans="1:20" hidden="1" x14ac:dyDescent="0.25">
      <c r="A1224" s="4" t="s">
        <v>1164</v>
      </c>
      <c r="B1224" s="5" t="s">
        <v>440</v>
      </c>
      <c r="C1224" s="5" t="s">
        <v>1823</v>
      </c>
      <c r="D1224" s="5">
        <v>13.19</v>
      </c>
      <c r="E1224" s="5">
        <v>13.16</v>
      </c>
      <c r="F1224" s="5">
        <v>13.22</v>
      </c>
      <c r="G1224" s="5">
        <v>13.16</v>
      </c>
      <c r="H1224" s="5">
        <v>13.21</v>
      </c>
      <c r="I1224" s="5">
        <v>13.21</v>
      </c>
      <c r="J1224" s="5">
        <v>13.2</v>
      </c>
      <c r="K1224" s="5">
        <v>53362</v>
      </c>
      <c r="L1224" s="5">
        <v>7.05</v>
      </c>
      <c r="M1224" s="5">
        <v>94</v>
      </c>
      <c r="N1224" s="5">
        <v>37091</v>
      </c>
      <c r="O1224" s="5">
        <v>69.510000000000005</v>
      </c>
      <c r="P1224" s="5">
        <f t="shared" si="95"/>
        <v>2.000000000000135E-2</v>
      </c>
      <c r="Q1224" s="6">
        <f t="shared" si="96"/>
        <v>1.5163002274451364E-3</v>
      </c>
      <c r="R1224" s="5">
        <f t="shared" si="97"/>
        <v>6.0000000000000497E-2</v>
      </c>
      <c r="S1224" s="6">
        <f t="shared" si="98"/>
        <v>4.5489006823351405E-3</v>
      </c>
      <c r="T1224" s="6">
        <f t="shared" si="99"/>
        <v>7.5829383886267772E-4</v>
      </c>
    </row>
    <row r="1225" spans="1:20" hidden="1" x14ac:dyDescent="0.25">
      <c r="A1225" s="4" t="s">
        <v>1164</v>
      </c>
      <c r="B1225" s="5" t="s">
        <v>441</v>
      </c>
      <c r="C1225" s="5" t="s">
        <v>1823</v>
      </c>
      <c r="D1225" s="5">
        <v>1062.4100000000001</v>
      </c>
      <c r="E1225" s="5">
        <v>1062.43</v>
      </c>
      <c r="F1225" s="5">
        <v>1070.5</v>
      </c>
      <c r="G1225" s="5">
        <v>1062.43</v>
      </c>
      <c r="H1225" s="5">
        <v>1070</v>
      </c>
      <c r="I1225" s="5">
        <v>1070.23</v>
      </c>
      <c r="J1225" s="5">
        <v>1069.97</v>
      </c>
      <c r="K1225" s="5">
        <v>118</v>
      </c>
      <c r="L1225" s="5">
        <v>1.26</v>
      </c>
      <c r="M1225" s="5">
        <v>7</v>
      </c>
      <c r="N1225" s="5">
        <v>114</v>
      </c>
      <c r="O1225" s="5">
        <v>96.61</v>
      </c>
      <c r="P1225" s="5">
        <f t="shared" si="95"/>
        <v>7.8199999999999363</v>
      </c>
      <c r="Q1225" s="6">
        <f t="shared" si="96"/>
        <v>7.3606234881071677E-3</v>
      </c>
      <c r="R1225" s="5">
        <f t="shared" si="97"/>
        <v>8.0699999999999363</v>
      </c>
      <c r="S1225" s="6">
        <f t="shared" si="98"/>
        <v>7.5959375382384725E-3</v>
      </c>
      <c r="T1225" s="6">
        <f t="shared" si="99"/>
        <v>2.4381152431433015E-4</v>
      </c>
    </row>
    <row r="1226" spans="1:20" hidden="1" x14ac:dyDescent="0.25">
      <c r="A1226" s="4" t="s">
        <v>1165</v>
      </c>
      <c r="B1226" s="5" t="s">
        <v>16</v>
      </c>
      <c r="C1226" s="5" t="s">
        <v>1823</v>
      </c>
      <c r="D1226" s="5">
        <v>324.89999999999998</v>
      </c>
      <c r="E1226" s="5">
        <v>329.4</v>
      </c>
      <c r="F1226" s="5">
        <v>329.4</v>
      </c>
      <c r="G1226" s="5">
        <v>319.10000000000002</v>
      </c>
      <c r="H1226" s="5">
        <v>319.10000000000002</v>
      </c>
      <c r="I1226" s="5">
        <v>321.10000000000002</v>
      </c>
      <c r="J1226" s="5">
        <v>321.8</v>
      </c>
      <c r="K1226" s="5">
        <v>13054</v>
      </c>
      <c r="L1226" s="5">
        <v>42.01</v>
      </c>
      <c r="M1226" s="5">
        <v>743</v>
      </c>
      <c r="N1226" s="5">
        <v>11729</v>
      </c>
      <c r="O1226" s="5">
        <v>89.85</v>
      </c>
      <c r="P1226" s="5">
        <f t="shared" si="95"/>
        <v>-3.7999999999999545</v>
      </c>
      <c r="Q1226" s="6">
        <f t="shared" si="96"/>
        <v>-1.1695906432748399E-2</v>
      </c>
      <c r="R1226" s="5">
        <f t="shared" si="97"/>
        <v>10.299999999999955</v>
      </c>
      <c r="S1226" s="6">
        <f t="shared" si="98"/>
        <v>3.1702062172976164E-2</v>
      </c>
      <c r="T1226" s="6">
        <f t="shared" si="99"/>
        <v>-2.1555042340261391E-3</v>
      </c>
    </row>
    <row r="1227" spans="1:20" hidden="1" x14ac:dyDescent="0.25">
      <c r="A1227" s="4" t="s">
        <v>1166</v>
      </c>
      <c r="B1227" s="5" t="s">
        <v>16</v>
      </c>
      <c r="C1227" s="5" t="s">
        <v>1823</v>
      </c>
      <c r="D1227" s="5">
        <v>189.45</v>
      </c>
      <c r="E1227" s="5">
        <v>187.5</v>
      </c>
      <c r="F1227" s="5">
        <v>227.3</v>
      </c>
      <c r="G1227" s="5">
        <v>187.5</v>
      </c>
      <c r="H1227" s="5">
        <v>224.7</v>
      </c>
      <c r="I1227" s="5">
        <v>221.1</v>
      </c>
      <c r="J1227" s="5">
        <v>218.3</v>
      </c>
      <c r="K1227" s="5">
        <v>33104</v>
      </c>
      <c r="L1227" s="5">
        <v>72.27</v>
      </c>
      <c r="M1227" s="5">
        <v>1577</v>
      </c>
      <c r="N1227" s="5">
        <v>17048</v>
      </c>
      <c r="O1227" s="5">
        <v>51.5</v>
      </c>
      <c r="P1227" s="5">
        <f t="shared" si="95"/>
        <v>31.650000000000006</v>
      </c>
      <c r="Q1227" s="6">
        <f t="shared" si="96"/>
        <v>0.16706254948535237</v>
      </c>
      <c r="R1227" s="5">
        <f t="shared" si="97"/>
        <v>39.800000000000011</v>
      </c>
      <c r="S1227" s="6">
        <f t="shared" si="98"/>
        <v>0.21008181578252844</v>
      </c>
      <c r="T1227" s="6">
        <f t="shared" si="99"/>
        <v>1.3602137478746577E-2</v>
      </c>
    </row>
    <row r="1228" spans="1:20" x14ac:dyDescent="0.25">
      <c r="A1228" s="4" t="s">
        <v>379</v>
      </c>
      <c r="B1228" s="5" t="s">
        <v>16</v>
      </c>
      <c r="C1228" s="5" t="s">
        <v>1823</v>
      </c>
      <c r="D1228" s="5">
        <v>18.55</v>
      </c>
      <c r="E1228" s="5">
        <v>18.399999999999999</v>
      </c>
      <c r="F1228" s="5">
        <v>19</v>
      </c>
      <c r="G1228" s="5">
        <v>17.899999999999999</v>
      </c>
      <c r="H1228" s="5">
        <v>18.100000000000001</v>
      </c>
      <c r="I1228" s="5">
        <v>18</v>
      </c>
      <c r="J1228" s="5">
        <v>18.38</v>
      </c>
      <c r="K1228" s="5">
        <v>242717</v>
      </c>
      <c r="L1228" s="5">
        <v>44.62</v>
      </c>
      <c r="M1228" s="5">
        <v>815</v>
      </c>
      <c r="N1228" s="5">
        <v>134697</v>
      </c>
      <c r="O1228" s="5">
        <v>55.5</v>
      </c>
      <c r="P1228" s="5">
        <f t="shared" ref="P1228:P1291" si="100">I1228-D1228</f>
        <v>-0.55000000000000071</v>
      </c>
      <c r="Q1228" s="6">
        <f t="shared" ref="Q1228:Q1291" si="101">P1228/D1228</f>
        <v>-2.9649595687331574E-2</v>
      </c>
      <c r="R1228" s="5">
        <f t="shared" ref="R1228:R1291" si="102">ABS(F1228-G1228)</f>
        <v>1.1000000000000014</v>
      </c>
      <c r="S1228" s="6">
        <f t="shared" ref="S1228:S1291" si="103">R1228/D1228</f>
        <v>5.9299191374663149E-2</v>
      </c>
      <c r="T1228" s="6">
        <f t="shared" ref="T1228:T1291" si="104">(I1228-J1228)/AVERAGE(E1228:G1228,I1228)</f>
        <v>-2.0736698499317818E-2</v>
      </c>
    </row>
    <row r="1229" spans="1:20" hidden="1" x14ac:dyDescent="0.25">
      <c r="A1229" s="4" t="s">
        <v>1168</v>
      </c>
      <c r="B1229" s="5" t="s">
        <v>16</v>
      </c>
      <c r="C1229" s="5" t="s">
        <v>1823</v>
      </c>
      <c r="D1229" s="5">
        <v>1018.75</v>
      </c>
      <c r="E1229" s="5">
        <v>1026.9000000000001</v>
      </c>
      <c r="F1229" s="5">
        <v>1064</v>
      </c>
      <c r="G1229" s="5">
        <v>1026.9000000000001</v>
      </c>
      <c r="H1229" s="5">
        <v>1050</v>
      </c>
      <c r="I1229" s="5">
        <v>1049.9000000000001</v>
      </c>
      <c r="J1229" s="5">
        <v>1049.95</v>
      </c>
      <c r="K1229" s="5">
        <v>2739</v>
      </c>
      <c r="L1229" s="5">
        <v>28.76</v>
      </c>
      <c r="M1229" s="5">
        <v>293</v>
      </c>
      <c r="N1229" s="5">
        <v>1894</v>
      </c>
      <c r="O1229" s="5">
        <v>69.150000000000006</v>
      </c>
      <c r="P1229" s="5">
        <f t="shared" si="100"/>
        <v>31.150000000000091</v>
      </c>
      <c r="Q1229" s="6">
        <f t="shared" si="101"/>
        <v>3.0576687116564506E-2</v>
      </c>
      <c r="R1229" s="5">
        <f t="shared" si="102"/>
        <v>37.099999999999909</v>
      </c>
      <c r="S1229" s="6">
        <f t="shared" si="103"/>
        <v>3.6417177914110338E-2</v>
      </c>
      <c r="T1229" s="6">
        <f t="shared" si="104"/>
        <v>-4.7988098951416385E-5</v>
      </c>
    </row>
    <row r="1230" spans="1:20" hidden="1" x14ac:dyDescent="0.25">
      <c r="A1230" s="4" t="s">
        <v>1169</v>
      </c>
      <c r="B1230" s="5" t="s">
        <v>16</v>
      </c>
      <c r="C1230" s="5" t="s">
        <v>1823</v>
      </c>
      <c r="D1230" s="5">
        <v>2939.8</v>
      </c>
      <c r="E1230" s="5">
        <v>2954.5</v>
      </c>
      <c r="F1230" s="5">
        <v>3018.4</v>
      </c>
      <c r="G1230" s="5">
        <v>2882</v>
      </c>
      <c r="H1230" s="5">
        <v>2964</v>
      </c>
      <c r="I1230" s="5">
        <v>2953.95</v>
      </c>
      <c r="J1230" s="5">
        <v>2946.79</v>
      </c>
      <c r="K1230" s="5">
        <v>86106</v>
      </c>
      <c r="L1230" s="5">
        <v>2537.36</v>
      </c>
      <c r="M1230" s="5">
        <v>10253</v>
      </c>
      <c r="N1230" s="5">
        <v>46319</v>
      </c>
      <c r="O1230" s="5">
        <v>53.79</v>
      </c>
      <c r="P1230" s="5">
        <f t="shared" si="100"/>
        <v>14.149999999999636</v>
      </c>
      <c r="Q1230" s="6">
        <f t="shared" si="101"/>
        <v>4.8132526022177137E-3</v>
      </c>
      <c r="R1230" s="5">
        <f t="shared" si="102"/>
        <v>136.40000000000009</v>
      </c>
      <c r="S1230" s="6">
        <f t="shared" si="103"/>
        <v>4.6397714130212965E-2</v>
      </c>
      <c r="T1230" s="6">
        <f t="shared" si="104"/>
        <v>2.4252996693157609E-3</v>
      </c>
    </row>
    <row r="1231" spans="1:20" hidden="1" x14ac:dyDescent="0.25">
      <c r="A1231" s="4" t="s">
        <v>1170</v>
      </c>
      <c r="B1231" s="5" t="s">
        <v>16</v>
      </c>
      <c r="C1231" s="5" t="s">
        <v>1823</v>
      </c>
      <c r="D1231" s="5">
        <v>148.05000000000001</v>
      </c>
      <c r="E1231" s="5">
        <v>147.94999999999999</v>
      </c>
      <c r="F1231" s="5">
        <v>148.30000000000001</v>
      </c>
      <c r="G1231" s="5">
        <v>145.25</v>
      </c>
      <c r="H1231" s="5">
        <v>145.44999999999999</v>
      </c>
      <c r="I1231" s="5">
        <v>145.85</v>
      </c>
      <c r="J1231" s="5">
        <v>146.72</v>
      </c>
      <c r="K1231" s="5">
        <v>594640</v>
      </c>
      <c r="L1231" s="5">
        <v>872.47</v>
      </c>
      <c r="M1231" s="5">
        <v>5696</v>
      </c>
      <c r="N1231" s="5">
        <v>209770</v>
      </c>
      <c r="O1231" s="5">
        <v>35.28</v>
      </c>
      <c r="P1231" s="5">
        <f t="shared" si="100"/>
        <v>-2.2000000000000171</v>
      </c>
      <c r="Q1231" s="6">
        <f t="shared" si="101"/>
        <v>-1.4859844647078804E-2</v>
      </c>
      <c r="R1231" s="5">
        <f t="shared" si="102"/>
        <v>3.0500000000000114</v>
      </c>
      <c r="S1231" s="6">
        <f t="shared" si="103"/>
        <v>2.0601148260722804E-2</v>
      </c>
      <c r="T1231" s="6">
        <f t="shared" si="104"/>
        <v>-5.9249170000851585E-3</v>
      </c>
    </row>
    <row r="1232" spans="1:20" hidden="1" x14ac:dyDescent="0.25">
      <c r="A1232" s="4" t="s">
        <v>1171</v>
      </c>
      <c r="B1232" s="5" t="s">
        <v>16</v>
      </c>
      <c r="C1232" s="5" t="s">
        <v>1823</v>
      </c>
      <c r="D1232" s="5">
        <v>7</v>
      </c>
      <c r="E1232" s="5">
        <v>7.25</v>
      </c>
      <c r="F1232" s="5">
        <v>7.25</v>
      </c>
      <c r="G1232" s="5">
        <v>6.8</v>
      </c>
      <c r="H1232" s="5">
        <v>7.05</v>
      </c>
      <c r="I1232" s="5">
        <v>6.9</v>
      </c>
      <c r="J1232" s="5">
        <v>6.88</v>
      </c>
      <c r="K1232" s="5">
        <v>2416</v>
      </c>
      <c r="L1232" s="5">
        <v>0.17</v>
      </c>
      <c r="M1232" s="5">
        <v>43</v>
      </c>
      <c r="N1232" s="5">
        <v>1969</v>
      </c>
      <c r="O1232" s="5">
        <v>81.5</v>
      </c>
      <c r="P1232" s="5">
        <f t="shared" si="100"/>
        <v>-9.9999999999999645E-2</v>
      </c>
      <c r="Q1232" s="6">
        <f t="shared" si="101"/>
        <v>-1.4285714285714235E-2</v>
      </c>
      <c r="R1232" s="5">
        <f t="shared" si="102"/>
        <v>0.45000000000000018</v>
      </c>
      <c r="S1232" s="6">
        <f t="shared" si="103"/>
        <v>6.4285714285714307E-2</v>
      </c>
      <c r="T1232" s="6">
        <f t="shared" si="104"/>
        <v>2.8368794326241787E-3</v>
      </c>
    </row>
    <row r="1233" spans="1:20" hidden="1" x14ac:dyDescent="0.25">
      <c r="A1233" s="4" t="s">
        <v>1172</v>
      </c>
      <c r="B1233" s="5" t="s">
        <v>16</v>
      </c>
      <c r="C1233" s="5" t="s">
        <v>1823</v>
      </c>
      <c r="D1233" s="5">
        <v>5.0999999999999996</v>
      </c>
      <c r="E1233" s="5">
        <v>4.8499999999999996</v>
      </c>
      <c r="F1233" s="5">
        <v>5.25</v>
      </c>
      <c r="G1233" s="5">
        <v>4.8499999999999996</v>
      </c>
      <c r="H1233" s="5">
        <v>4.8499999999999996</v>
      </c>
      <c r="I1233" s="5">
        <v>4.8499999999999996</v>
      </c>
      <c r="J1233" s="5">
        <v>4.95</v>
      </c>
      <c r="K1233" s="5">
        <v>19806</v>
      </c>
      <c r="L1233" s="5">
        <v>0.98</v>
      </c>
      <c r="M1233" s="5">
        <v>36</v>
      </c>
      <c r="N1233" s="5">
        <v>14781</v>
      </c>
      <c r="O1233" s="5">
        <v>74.63</v>
      </c>
      <c r="P1233" s="5">
        <f t="shared" si="100"/>
        <v>-0.25</v>
      </c>
      <c r="Q1233" s="6">
        <f t="shared" si="101"/>
        <v>-4.9019607843137261E-2</v>
      </c>
      <c r="R1233" s="5">
        <f t="shared" si="102"/>
        <v>0.40000000000000036</v>
      </c>
      <c r="S1233" s="6">
        <f t="shared" si="103"/>
        <v>7.8431372549019676E-2</v>
      </c>
      <c r="T1233" s="6">
        <f t="shared" si="104"/>
        <v>-2.0202020202020311E-2</v>
      </c>
    </row>
    <row r="1234" spans="1:20" hidden="1" x14ac:dyDescent="0.25">
      <c r="A1234" s="4" t="s">
        <v>1173</v>
      </c>
      <c r="B1234" s="5" t="s">
        <v>16</v>
      </c>
      <c r="C1234" s="5" t="s">
        <v>1823</v>
      </c>
      <c r="D1234" s="5">
        <v>210.45</v>
      </c>
      <c r="E1234" s="5">
        <v>211</v>
      </c>
      <c r="F1234" s="5">
        <v>211</v>
      </c>
      <c r="G1234" s="5">
        <v>196.95</v>
      </c>
      <c r="H1234" s="5">
        <v>202</v>
      </c>
      <c r="I1234" s="5">
        <v>200.1</v>
      </c>
      <c r="J1234" s="5">
        <v>204.63</v>
      </c>
      <c r="K1234" s="5">
        <v>60565</v>
      </c>
      <c r="L1234" s="5">
        <v>123.93</v>
      </c>
      <c r="M1234" s="5">
        <v>1909</v>
      </c>
      <c r="N1234" s="5">
        <v>34291</v>
      </c>
      <c r="O1234" s="5">
        <v>56.62</v>
      </c>
      <c r="P1234" s="5">
        <f t="shared" si="100"/>
        <v>-10.349999999999994</v>
      </c>
      <c r="Q1234" s="6">
        <f t="shared" si="101"/>
        <v>-4.9180327868852437E-2</v>
      </c>
      <c r="R1234" s="5">
        <f t="shared" si="102"/>
        <v>14.050000000000011</v>
      </c>
      <c r="S1234" s="6">
        <f t="shared" si="103"/>
        <v>6.6761701116654845E-2</v>
      </c>
      <c r="T1234" s="6">
        <f t="shared" si="104"/>
        <v>-2.2123191502350287E-2</v>
      </c>
    </row>
    <row r="1235" spans="1:20" hidden="1" x14ac:dyDescent="0.25">
      <c r="A1235" s="4" t="s">
        <v>1174</v>
      </c>
      <c r="B1235" s="5" t="s">
        <v>16</v>
      </c>
      <c r="C1235" s="5" t="s">
        <v>1823</v>
      </c>
      <c r="D1235" s="5">
        <v>44.15</v>
      </c>
      <c r="E1235" s="5">
        <v>42.55</v>
      </c>
      <c r="F1235" s="5">
        <v>44.5</v>
      </c>
      <c r="G1235" s="5">
        <v>42.5</v>
      </c>
      <c r="H1235" s="5">
        <v>42.6</v>
      </c>
      <c r="I1235" s="5">
        <v>42.65</v>
      </c>
      <c r="J1235" s="5">
        <v>43.33</v>
      </c>
      <c r="K1235" s="5">
        <v>5922</v>
      </c>
      <c r="L1235" s="5">
        <v>2.57</v>
      </c>
      <c r="M1235" s="5">
        <v>164</v>
      </c>
      <c r="N1235" s="5">
        <v>5019</v>
      </c>
      <c r="O1235" s="5">
        <v>84.75</v>
      </c>
      <c r="P1235" s="5">
        <f t="shared" si="100"/>
        <v>-1.5</v>
      </c>
      <c r="Q1235" s="6">
        <f t="shared" si="101"/>
        <v>-3.3975084937712348E-2</v>
      </c>
      <c r="R1235" s="5">
        <f t="shared" si="102"/>
        <v>2</v>
      </c>
      <c r="S1235" s="6">
        <f t="shared" si="103"/>
        <v>4.5300113250283131E-2</v>
      </c>
      <c r="T1235" s="6">
        <f t="shared" si="104"/>
        <v>-1.5795586527293837E-2</v>
      </c>
    </row>
    <row r="1236" spans="1:20" hidden="1" x14ac:dyDescent="0.25">
      <c r="A1236" s="4" t="s">
        <v>1175</v>
      </c>
      <c r="B1236" s="5" t="s">
        <v>16</v>
      </c>
      <c r="C1236" s="5" t="s">
        <v>1823</v>
      </c>
      <c r="D1236" s="5">
        <v>192.8</v>
      </c>
      <c r="E1236" s="5">
        <v>193.2</v>
      </c>
      <c r="F1236" s="5">
        <v>193.55</v>
      </c>
      <c r="G1236" s="5">
        <v>191.2</v>
      </c>
      <c r="H1236" s="5">
        <v>192</v>
      </c>
      <c r="I1236" s="5">
        <v>191.95</v>
      </c>
      <c r="J1236" s="5">
        <v>192.47</v>
      </c>
      <c r="K1236" s="5">
        <v>261816</v>
      </c>
      <c r="L1236" s="5">
        <v>503.91</v>
      </c>
      <c r="M1236" s="5">
        <v>2854</v>
      </c>
      <c r="N1236" s="5">
        <v>67940</v>
      </c>
      <c r="O1236" s="5">
        <v>25.95</v>
      </c>
      <c r="P1236" s="5">
        <f t="shared" si="100"/>
        <v>-0.85000000000002274</v>
      </c>
      <c r="Q1236" s="6">
        <f t="shared" si="101"/>
        <v>-4.408713692946176E-3</v>
      </c>
      <c r="R1236" s="5">
        <f t="shared" si="102"/>
        <v>2.3500000000000227</v>
      </c>
      <c r="S1236" s="6">
        <f t="shared" si="103"/>
        <v>1.2188796680498043E-2</v>
      </c>
      <c r="T1236" s="6">
        <f t="shared" si="104"/>
        <v>-2.7016495648786087E-3</v>
      </c>
    </row>
    <row r="1237" spans="1:20" hidden="1" x14ac:dyDescent="0.25">
      <c r="A1237" s="4" t="s">
        <v>1176</v>
      </c>
      <c r="B1237" s="5" t="s">
        <v>39</v>
      </c>
      <c r="C1237" s="5" t="s">
        <v>1823</v>
      </c>
      <c r="D1237" s="5">
        <v>6.75</v>
      </c>
      <c r="E1237" s="5">
        <v>6.6</v>
      </c>
      <c r="F1237" s="5">
        <v>7</v>
      </c>
      <c r="G1237" s="5">
        <v>6.6</v>
      </c>
      <c r="H1237" s="5">
        <v>6.85</v>
      </c>
      <c r="I1237" s="5">
        <v>7</v>
      </c>
      <c r="J1237" s="5">
        <v>6.88</v>
      </c>
      <c r="K1237" s="5">
        <v>21312</v>
      </c>
      <c r="L1237" s="5">
        <v>1.47</v>
      </c>
      <c r="M1237" s="5">
        <v>49</v>
      </c>
      <c r="N1237" s="5" t="s">
        <v>25</v>
      </c>
      <c r="O1237" s="5" t="s">
        <v>25</v>
      </c>
      <c r="P1237" s="5">
        <f t="shared" si="100"/>
        <v>0.25</v>
      </c>
      <c r="Q1237" s="6">
        <f t="shared" si="101"/>
        <v>3.7037037037037035E-2</v>
      </c>
      <c r="R1237" s="5">
        <f t="shared" si="102"/>
        <v>0.40000000000000036</v>
      </c>
      <c r="S1237" s="6">
        <f t="shared" si="103"/>
        <v>5.925925925925931E-2</v>
      </c>
      <c r="T1237" s="6">
        <f t="shared" si="104"/>
        <v>1.7647058823529429E-2</v>
      </c>
    </row>
    <row r="1238" spans="1:20" hidden="1" x14ac:dyDescent="0.25">
      <c r="A1238" s="4" t="s">
        <v>1177</v>
      </c>
      <c r="B1238" s="5" t="s">
        <v>16</v>
      </c>
      <c r="C1238" s="5" t="s">
        <v>1823</v>
      </c>
      <c r="D1238" s="5">
        <v>21.5</v>
      </c>
      <c r="E1238" s="5">
        <v>21.5</v>
      </c>
      <c r="F1238" s="5">
        <v>21.8</v>
      </c>
      <c r="G1238" s="5">
        <v>20.5</v>
      </c>
      <c r="H1238" s="5">
        <v>21.2</v>
      </c>
      <c r="I1238" s="5">
        <v>21</v>
      </c>
      <c r="J1238" s="5">
        <v>21.24</v>
      </c>
      <c r="K1238" s="5">
        <v>37290</v>
      </c>
      <c r="L1238" s="5">
        <v>7.92</v>
      </c>
      <c r="M1238" s="5">
        <v>309</v>
      </c>
      <c r="N1238" s="5">
        <v>26648</v>
      </c>
      <c r="O1238" s="5">
        <v>71.459999999999994</v>
      </c>
      <c r="P1238" s="5">
        <f t="shared" si="100"/>
        <v>-0.5</v>
      </c>
      <c r="Q1238" s="6">
        <f t="shared" si="101"/>
        <v>-2.3255813953488372E-2</v>
      </c>
      <c r="R1238" s="5">
        <f t="shared" si="102"/>
        <v>1.3000000000000007</v>
      </c>
      <c r="S1238" s="6">
        <f t="shared" si="103"/>
        <v>6.0465116279069801E-2</v>
      </c>
      <c r="T1238" s="6">
        <f t="shared" si="104"/>
        <v>-1.1320754716981058E-2</v>
      </c>
    </row>
    <row r="1239" spans="1:20" hidden="1" x14ac:dyDescent="0.25">
      <c r="A1239" s="4" t="s">
        <v>1178</v>
      </c>
      <c r="B1239" s="5" t="s">
        <v>16</v>
      </c>
      <c r="C1239" s="5" t="s">
        <v>1823</v>
      </c>
      <c r="D1239" s="5">
        <v>5.7</v>
      </c>
      <c r="E1239" s="5">
        <v>5.45</v>
      </c>
      <c r="F1239" s="5">
        <v>5.85</v>
      </c>
      <c r="G1239" s="5">
        <v>5.45</v>
      </c>
      <c r="H1239" s="5">
        <v>5.85</v>
      </c>
      <c r="I1239" s="5">
        <v>5.85</v>
      </c>
      <c r="J1239" s="5">
        <v>5.46</v>
      </c>
      <c r="K1239" s="5">
        <v>9932</v>
      </c>
      <c r="L1239" s="5">
        <v>0.54</v>
      </c>
      <c r="M1239" s="5">
        <v>6</v>
      </c>
      <c r="N1239" s="5">
        <v>9632</v>
      </c>
      <c r="O1239" s="5">
        <v>96.98</v>
      </c>
      <c r="P1239" s="5">
        <f t="shared" si="100"/>
        <v>0.14999999999999947</v>
      </c>
      <c r="Q1239" s="6">
        <f t="shared" si="101"/>
        <v>2.6315789473684115E-2</v>
      </c>
      <c r="R1239" s="5">
        <f t="shared" si="102"/>
        <v>0.39999999999999947</v>
      </c>
      <c r="S1239" s="6">
        <f t="shared" si="103"/>
        <v>7.0175438596491127E-2</v>
      </c>
      <c r="T1239" s="6">
        <f t="shared" si="104"/>
        <v>6.9026548672566315E-2</v>
      </c>
    </row>
    <row r="1240" spans="1:20" hidden="1" x14ac:dyDescent="0.25">
      <c r="A1240" s="4" t="s">
        <v>1179</v>
      </c>
      <c r="B1240" s="5" t="s">
        <v>16</v>
      </c>
      <c r="C1240" s="5" t="s">
        <v>1823</v>
      </c>
      <c r="D1240" s="5">
        <v>18.45</v>
      </c>
      <c r="E1240" s="5">
        <v>19.600000000000001</v>
      </c>
      <c r="F1240" s="5">
        <v>19.600000000000001</v>
      </c>
      <c r="G1240" s="5">
        <v>17.05</v>
      </c>
      <c r="H1240" s="5">
        <v>17.05</v>
      </c>
      <c r="I1240" s="5">
        <v>17.05</v>
      </c>
      <c r="J1240" s="5">
        <v>17.309999999999999</v>
      </c>
      <c r="K1240" s="5">
        <v>143</v>
      </c>
      <c r="L1240" s="5">
        <v>0.02</v>
      </c>
      <c r="M1240" s="5">
        <v>13</v>
      </c>
      <c r="N1240" s="5">
        <v>71</v>
      </c>
      <c r="O1240" s="5">
        <v>49.65</v>
      </c>
      <c r="P1240" s="5">
        <f t="shared" si="100"/>
        <v>-1.3999999999999986</v>
      </c>
      <c r="Q1240" s="6">
        <f t="shared" si="101"/>
        <v>-7.5880758807588003E-2</v>
      </c>
      <c r="R1240" s="5">
        <f t="shared" si="102"/>
        <v>2.5500000000000007</v>
      </c>
      <c r="S1240" s="6">
        <f t="shared" si="103"/>
        <v>0.13821138211382117</v>
      </c>
      <c r="T1240" s="6">
        <f t="shared" si="104"/>
        <v>-1.4188267394270015E-2</v>
      </c>
    </row>
    <row r="1241" spans="1:20" hidden="1" x14ac:dyDescent="0.25">
      <c r="A1241" s="4" t="s">
        <v>1180</v>
      </c>
      <c r="B1241" s="5" t="s">
        <v>16</v>
      </c>
      <c r="C1241" s="5" t="s">
        <v>1823</v>
      </c>
      <c r="D1241" s="5">
        <v>133.5</v>
      </c>
      <c r="E1241" s="5">
        <v>132</v>
      </c>
      <c r="F1241" s="5">
        <v>133.65</v>
      </c>
      <c r="G1241" s="5">
        <v>130.69999999999999</v>
      </c>
      <c r="H1241" s="5">
        <v>131.65</v>
      </c>
      <c r="I1241" s="5">
        <v>131.44999999999999</v>
      </c>
      <c r="J1241" s="5">
        <v>132.09</v>
      </c>
      <c r="K1241" s="5">
        <v>5824582</v>
      </c>
      <c r="L1241" s="5">
        <v>7693.85</v>
      </c>
      <c r="M1241" s="5">
        <v>58973</v>
      </c>
      <c r="N1241" s="5">
        <v>2150121</v>
      </c>
      <c r="O1241" s="5">
        <v>36.909999999999997</v>
      </c>
      <c r="P1241" s="5">
        <f t="shared" si="100"/>
        <v>-2.0500000000000114</v>
      </c>
      <c r="Q1241" s="6">
        <f t="shared" si="101"/>
        <v>-1.5355805243445778E-2</v>
      </c>
      <c r="R1241" s="5">
        <f t="shared" si="102"/>
        <v>2.9500000000000171</v>
      </c>
      <c r="S1241" s="6">
        <f t="shared" si="103"/>
        <v>2.2097378277153686E-2</v>
      </c>
      <c r="T1241" s="6">
        <f t="shared" si="104"/>
        <v>-4.8503220917015142E-3</v>
      </c>
    </row>
    <row r="1242" spans="1:20" x14ac:dyDescent="0.25">
      <c r="A1242" s="4" t="s">
        <v>892</v>
      </c>
      <c r="B1242" s="5" t="s">
        <v>16</v>
      </c>
      <c r="C1242" s="5" t="s">
        <v>1823</v>
      </c>
      <c r="D1242" s="5">
        <v>57.45</v>
      </c>
      <c r="E1242" s="5">
        <v>57.5</v>
      </c>
      <c r="F1242" s="5">
        <v>57.5</v>
      </c>
      <c r="G1242" s="5">
        <v>54.4</v>
      </c>
      <c r="H1242" s="5">
        <v>54.7</v>
      </c>
      <c r="I1242" s="5">
        <v>54.75</v>
      </c>
      <c r="J1242" s="5">
        <v>55.75</v>
      </c>
      <c r="K1242" s="5">
        <v>147695</v>
      </c>
      <c r="L1242" s="5">
        <v>82.34</v>
      </c>
      <c r="M1242" s="5">
        <v>1653</v>
      </c>
      <c r="N1242" s="5">
        <v>82227</v>
      </c>
      <c r="O1242" s="5">
        <v>55.67</v>
      </c>
      <c r="P1242" s="5">
        <f t="shared" si="100"/>
        <v>-2.7000000000000028</v>
      </c>
      <c r="Q1242" s="6">
        <f t="shared" si="101"/>
        <v>-4.6997389033942606E-2</v>
      </c>
      <c r="R1242" s="5">
        <f t="shared" si="102"/>
        <v>3.1000000000000014</v>
      </c>
      <c r="S1242" s="6">
        <f t="shared" si="103"/>
        <v>5.3959965187119256E-2</v>
      </c>
      <c r="T1242" s="6">
        <f t="shared" si="104"/>
        <v>-1.7845192951148784E-2</v>
      </c>
    </row>
    <row r="1243" spans="1:20" hidden="1" x14ac:dyDescent="0.25">
      <c r="A1243" s="4" t="s">
        <v>1182</v>
      </c>
      <c r="B1243" s="5" t="s">
        <v>16</v>
      </c>
      <c r="C1243" s="5" t="s">
        <v>1823</v>
      </c>
      <c r="D1243" s="5">
        <v>64.7</v>
      </c>
      <c r="E1243" s="5">
        <v>64.849999999999994</v>
      </c>
      <c r="F1243" s="5">
        <v>65.5</v>
      </c>
      <c r="G1243" s="5">
        <v>64.099999999999994</v>
      </c>
      <c r="H1243" s="5">
        <v>65.45</v>
      </c>
      <c r="I1243" s="5">
        <v>65</v>
      </c>
      <c r="J1243" s="5">
        <v>64.97</v>
      </c>
      <c r="K1243" s="5">
        <v>3264</v>
      </c>
      <c r="L1243" s="5">
        <v>2.12</v>
      </c>
      <c r="M1243" s="5">
        <v>122</v>
      </c>
      <c r="N1243" s="5">
        <v>2711</v>
      </c>
      <c r="O1243" s="5">
        <v>83.06</v>
      </c>
      <c r="P1243" s="5">
        <f t="shared" si="100"/>
        <v>0.29999999999999716</v>
      </c>
      <c r="Q1243" s="6">
        <f t="shared" si="101"/>
        <v>4.6367851622874361E-3</v>
      </c>
      <c r="R1243" s="5">
        <f t="shared" si="102"/>
        <v>1.4000000000000057</v>
      </c>
      <c r="S1243" s="6">
        <f t="shared" si="103"/>
        <v>2.1638330757341662E-2</v>
      </c>
      <c r="T1243" s="6">
        <f t="shared" si="104"/>
        <v>4.6251686259396631E-4</v>
      </c>
    </row>
    <row r="1244" spans="1:20" hidden="1" x14ac:dyDescent="0.25">
      <c r="A1244" s="4" t="s">
        <v>1183</v>
      </c>
      <c r="B1244" s="5" t="s">
        <v>16</v>
      </c>
      <c r="C1244" s="5" t="s">
        <v>1823</v>
      </c>
      <c r="D1244" s="5">
        <v>50.1</v>
      </c>
      <c r="E1244" s="5">
        <v>47.6</v>
      </c>
      <c r="F1244" s="5">
        <v>47.6</v>
      </c>
      <c r="G1244" s="5">
        <v>47.6</v>
      </c>
      <c r="H1244" s="5">
        <v>47.6</v>
      </c>
      <c r="I1244" s="5">
        <v>47.6</v>
      </c>
      <c r="J1244" s="5">
        <v>47.6</v>
      </c>
      <c r="K1244" s="5">
        <v>104701</v>
      </c>
      <c r="L1244" s="5">
        <v>49.84</v>
      </c>
      <c r="M1244" s="5">
        <v>74</v>
      </c>
      <c r="N1244" s="5">
        <v>101175</v>
      </c>
      <c r="O1244" s="5">
        <v>96.63</v>
      </c>
      <c r="P1244" s="5">
        <f t="shared" si="100"/>
        <v>-2.5</v>
      </c>
      <c r="Q1244" s="6">
        <f t="shared" si="101"/>
        <v>-4.9900199600798403E-2</v>
      </c>
      <c r="R1244" s="5">
        <f t="shared" si="102"/>
        <v>0</v>
      </c>
      <c r="S1244" s="6">
        <f t="shared" si="103"/>
        <v>0</v>
      </c>
      <c r="T1244" s="6">
        <f t="shared" si="104"/>
        <v>0</v>
      </c>
    </row>
    <row r="1245" spans="1:20" hidden="1" x14ac:dyDescent="0.25">
      <c r="A1245" s="4" t="s">
        <v>1184</v>
      </c>
      <c r="B1245" s="5" t="s">
        <v>16</v>
      </c>
      <c r="C1245" s="5" t="s">
        <v>1823</v>
      </c>
      <c r="D1245" s="5">
        <v>4.5</v>
      </c>
      <c r="E1245" s="5">
        <v>4.3499999999999996</v>
      </c>
      <c r="F1245" s="5">
        <v>4.45</v>
      </c>
      <c r="G1245" s="5">
        <v>4.3</v>
      </c>
      <c r="H1245" s="5">
        <v>4.3</v>
      </c>
      <c r="I1245" s="5">
        <v>4.3499999999999996</v>
      </c>
      <c r="J1245" s="5">
        <v>4.32</v>
      </c>
      <c r="K1245" s="5">
        <v>546187</v>
      </c>
      <c r="L1245" s="5">
        <v>23.6</v>
      </c>
      <c r="M1245" s="5">
        <v>403</v>
      </c>
      <c r="N1245" s="5">
        <v>284754</v>
      </c>
      <c r="O1245" s="5">
        <v>52.13</v>
      </c>
      <c r="P1245" s="5">
        <f t="shared" si="100"/>
        <v>-0.15000000000000036</v>
      </c>
      <c r="Q1245" s="6">
        <f t="shared" si="101"/>
        <v>-3.3333333333333409E-2</v>
      </c>
      <c r="R1245" s="5">
        <f t="shared" si="102"/>
        <v>0.15000000000000036</v>
      </c>
      <c r="S1245" s="6">
        <f t="shared" si="103"/>
        <v>3.3333333333333409E-2</v>
      </c>
      <c r="T1245" s="6">
        <f t="shared" si="104"/>
        <v>6.8767908309454112E-3</v>
      </c>
    </row>
    <row r="1246" spans="1:20" hidden="1" x14ac:dyDescent="0.25">
      <c r="A1246" s="4" t="s">
        <v>1185</v>
      </c>
      <c r="B1246" s="5" t="s">
        <v>16</v>
      </c>
      <c r="C1246" s="5" t="s">
        <v>1823</v>
      </c>
      <c r="D1246" s="5">
        <v>105.05</v>
      </c>
      <c r="E1246" s="5">
        <v>108.9</v>
      </c>
      <c r="F1246" s="5">
        <v>108.9</v>
      </c>
      <c r="G1246" s="5">
        <v>99</v>
      </c>
      <c r="H1246" s="5">
        <v>105.9</v>
      </c>
      <c r="I1246" s="5">
        <v>103.4</v>
      </c>
      <c r="J1246" s="5">
        <v>103.09</v>
      </c>
      <c r="K1246" s="5">
        <v>1522</v>
      </c>
      <c r="L1246" s="5">
        <v>1.57</v>
      </c>
      <c r="M1246" s="5">
        <v>113</v>
      </c>
      <c r="N1246" s="5">
        <v>1130</v>
      </c>
      <c r="O1246" s="5">
        <v>74.239999999999995</v>
      </c>
      <c r="P1246" s="5">
        <f t="shared" si="100"/>
        <v>-1.6499999999999915</v>
      </c>
      <c r="Q1246" s="6">
        <f t="shared" si="101"/>
        <v>-1.5706806282722433E-2</v>
      </c>
      <c r="R1246" s="5">
        <f t="shared" si="102"/>
        <v>9.9000000000000057</v>
      </c>
      <c r="S1246" s="6">
        <f t="shared" si="103"/>
        <v>9.4240837696335136E-2</v>
      </c>
      <c r="T1246" s="6">
        <f t="shared" si="104"/>
        <v>2.9509757258448571E-3</v>
      </c>
    </row>
    <row r="1247" spans="1:20" hidden="1" x14ac:dyDescent="0.25">
      <c r="A1247" s="4" t="s">
        <v>1186</v>
      </c>
      <c r="B1247" s="5" t="s">
        <v>16</v>
      </c>
      <c r="C1247" s="5" t="s">
        <v>1823</v>
      </c>
      <c r="D1247" s="5">
        <v>23</v>
      </c>
      <c r="E1247" s="5">
        <v>22.9</v>
      </c>
      <c r="F1247" s="5">
        <v>23.2</v>
      </c>
      <c r="G1247" s="5">
        <v>21.6</v>
      </c>
      <c r="H1247" s="5">
        <v>22.3</v>
      </c>
      <c r="I1247" s="5">
        <v>22</v>
      </c>
      <c r="J1247" s="5">
        <v>22.43</v>
      </c>
      <c r="K1247" s="5">
        <v>59549</v>
      </c>
      <c r="L1247" s="5">
        <v>13.36</v>
      </c>
      <c r="M1247" s="5">
        <v>421</v>
      </c>
      <c r="N1247" s="5">
        <v>34689</v>
      </c>
      <c r="O1247" s="5">
        <v>58.25</v>
      </c>
      <c r="P1247" s="5">
        <f t="shared" si="100"/>
        <v>-1</v>
      </c>
      <c r="Q1247" s="6">
        <f t="shared" si="101"/>
        <v>-4.3478260869565216E-2</v>
      </c>
      <c r="R1247" s="5">
        <f t="shared" si="102"/>
        <v>1.5999999999999979</v>
      </c>
      <c r="S1247" s="6">
        <f t="shared" si="103"/>
        <v>6.9565217391304252E-2</v>
      </c>
      <c r="T1247" s="6">
        <f t="shared" si="104"/>
        <v>-1.9175027870680036E-2</v>
      </c>
    </row>
    <row r="1248" spans="1:20" x14ac:dyDescent="0.25">
      <c r="A1248" s="4" t="s">
        <v>297</v>
      </c>
      <c r="B1248" s="5" t="s">
        <v>16</v>
      </c>
      <c r="C1248" s="5" t="s">
        <v>1823</v>
      </c>
      <c r="D1248" s="5">
        <v>210.25</v>
      </c>
      <c r="E1248" s="5">
        <v>210</v>
      </c>
      <c r="F1248" s="5">
        <v>212.8</v>
      </c>
      <c r="G1248" s="5">
        <v>203.05</v>
      </c>
      <c r="H1248" s="5">
        <v>205.75</v>
      </c>
      <c r="I1248" s="5">
        <v>205.75</v>
      </c>
      <c r="J1248" s="5">
        <v>206.16</v>
      </c>
      <c r="K1248" s="5">
        <v>225093</v>
      </c>
      <c r="L1248" s="5">
        <v>464.05</v>
      </c>
      <c r="M1248" s="5">
        <v>3457</v>
      </c>
      <c r="N1248" s="5">
        <v>126581</v>
      </c>
      <c r="O1248" s="5">
        <v>56.23</v>
      </c>
      <c r="P1248" s="5">
        <f t="shared" si="100"/>
        <v>-4.5</v>
      </c>
      <c r="Q1248" s="6">
        <f t="shared" si="101"/>
        <v>-2.1403091557669441E-2</v>
      </c>
      <c r="R1248" s="5">
        <f t="shared" si="102"/>
        <v>9.75</v>
      </c>
      <c r="S1248" s="6">
        <f t="shared" si="103"/>
        <v>4.6373365041617119E-2</v>
      </c>
      <c r="T1248" s="6">
        <f t="shared" si="104"/>
        <v>-1.9721019721019558E-3</v>
      </c>
    </row>
    <row r="1249" spans="1:20" hidden="1" x14ac:dyDescent="0.25">
      <c r="A1249" s="4" t="s">
        <v>1188</v>
      </c>
      <c r="B1249" s="5" t="s">
        <v>39</v>
      </c>
      <c r="C1249" s="5" t="s">
        <v>1823</v>
      </c>
      <c r="D1249" s="5">
        <v>13.2</v>
      </c>
      <c r="E1249" s="5">
        <v>13.5</v>
      </c>
      <c r="F1249" s="5">
        <v>13.85</v>
      </c>
      <c r="G1249" s="5">
        <v>13</v>
      </c>
      <c r="H1249" s="5">
        <v>13</v>
      </c>
      <c r="I1249" s="5">
        <v>13.4</v>
      </c>
      <c r="J1249" s="5">
        <v>13.5</v>
      </c>
      <c r="K1249" s="5">
        <v>76217</v>
      </c>
      <c r="L1249" s="5">
        <v>10.29</v>
      </c>
      <c r="M1249" s="5">
        <v>18</v>
      </c>
      <c r="N1249" s="5" t="s">
        <v>25</v>
      </c>
      <c r="O1249" s="5" t="s">
        <v>25</v>
      </c>
      <c r="P1249" s="5">
        <f t="shared" si="100"/>
        <v>0.20000000000000107</v>
      </c>
      <c r="Q1249" s="6">
        <f t="shared" si="101"/>
        <v>1.5151515151515233E-2</v>
      </c>
      <c r="R1249" s="5">
        <f t="shared" si="102"/>
        <v>0.84999999999999964</v>
      </c>
      <c r="S1249" s="6">
        <f t="shared" si="103"/>
        <v>6.4393939393939365E-2</v>
      </c>
      <c r="T1249" s="6">
        <f t="shared" si="104"/>
        <v>-7.4418604651162526E-3</v>
      </c>
    </row>
    <row r="1250" spans="1:20" x14ac:dyDescent="0.25">
      <c r="A1250" s="4" t="s">
        <v>48</v>
      </c>
      <c r="B1250" s="5" t="s">
        <v>16</v>
      </c>
      <c r="C1250" s="5" t="s">
        <v>1823</v>
      </c>
      <c r="D1250" s="5">
        <v>133.1</v>
      </c>
      <c r="E1250" s="5">
        <v>134</v>
      </c>
      <c r="F1250" s="5">
        <v>135.6</v>
      </c>
      <c r="G1250" s="5">
        <v>131.05000000000001</v>
      </c>
      <c r="H1250" s="5">
        <v>131.1</v>
      </c>
      <c r="I1250" s="5">
        <v>131.44999999999999</v>
      </c>
      <c r="J1250" s="5">
        <v>132.99</v>
      </c>
      <c r="K1250" s="5">
        <v>420526</v>
      </c>
      <c r="L1250" s="5">
        <v>559.25</v>
      </c>
      <c r="M1250" s="5">
        <v>4622</v>
      </c>
      <c r="N1250" s="5">
        <v>236779</v>
      </c>
      <c r="O1250" s="5">
        <v>56.31</v>
      </c>
      <c r="P1250" s="5">
        <f t="shared" si="100"/>
        <v>-1.6500000000000057</v>
      </c>
      <c r="Q1250" s="6">
        <f t="shared" si="101"/>
        <v>-1.2396694214876077E-2</v>
      </c>
      <c r="R1250" s="5">
        <f t="shared" si="102"/>
        <v>4.5499999999999829</v>
      </c>
      <c r="S1250" s="6">
        <f t="shared" si="103"/>
        <v>3.418482344102166E-2</v>
      </c>
      <c r="T1250" s="6">
        <f t="shared" si="104"/>
        <v>-1.1576771283593463E-2</v>
      </c>
    </row>
    <row r="1251" spans="1:20" hidden="1" x14ac:dyDescent="0.25">
      <c r="A1251" s="4" t="s">
        <v>1190</v>
      </c>
      <c r="B1251" s="5" t="s">
        <v>16</v>
      </c>
      <c r="C1251" s="5" t="s">
        <v>1823</v>
      </c>
      <c r="D1251" s="5">
        <v>136.6</v>
      </c>
      <c r="E1251" s="5">
        <v>135</v>
      </c>
      <c r="F1251" s="5">
        <v>135</v>
      </c>
      <c r="G1251" s="5">
        <v>129</v>
      </c>
      <c r="H1251" s="5">
        <v>129</v>
      </c>
      <c r="I1251" s="5">
        <v>130.15</v>
      </c>
      <c r="J1251" s="5">
        <v>130.94999999999999</v>
      </c>
      <c r="K1251" s="5">
        <v>5296</v>
      </c>
      <c r="L1251" s="5">
        <v>6.94</v>
      </c>
      <c r="M1251" s="5">
        <v>354</v>
      </c>
      <c r="N1251" s="5">
        <v>2942</v>
      </c>
      <c r="O1251" s="5">
        <v>55.55</v>
      </c>
      <c r="P1251" s="5">
        <f t="shared" si="100"/>
        <v>-6.4499999999999886</v>
      </c>
      <c r="Q1251" s="6">
        <f t="shared" si="101"/>
        <v>-4.7218155197657312E-2</v>
      </c>
      <c r="R1251" s="5">
        <f t="shared" si="102"/>
        <v>6</v>
      </c>
      <c r="S1251" s="6">
        <f t="shared" si="103"/>
        <v>4.3923865300146414E-2</v>
      </c>
      <c r="T1251" s="6">
        <f t="shared" si="104"/>
        <v>-6.0474345648680559E-3</v>
      </c>
    </row>
    <row r="1252" spans="1:20" hidden="1" x14ac:dyDescent="0.25">
      <c r="A1252" s="4" t="s">
        <v>1191</v>
      </c>
      <c r="B1252" s="5" t="s">
        <v>16</v>
      </c>
      <c r="C1252" s="5" t="s">
        <v>1823</v>
      </c>
      <c r="D1252" s="5">
        <v>95.45</v>
      </c>
      <c r="E1252" s="5">
        <v>95.7</v>
      </c>
      <c r="F1252" s="5">
        <v>96.8</v>
      </c>
      <c r="G1252" s="5">
        <v>93.5</v>
      </c>
      <c r="H1252" s="5">
        <v>93.85</v>
      </c>
      <c r="I1252" s="5">
        <v>94.25</v>
      </c>
      <c r="J1252" s="5">
        <v>95</v>
      </c>
      <c r="K1252" s="5">
        <v>67065</v>
      </c>
      <c r="L1252" s="5">
        <v>63.71</v>
      </c>
      <c r="M1252" s="5">
        <v>3654</v>
      </c>
      <c r="N1252" s="5">
        <v>34204</v>
      </c>
      <c r="O1252" s="5">
        <v>51</v>
      </c>
      <c r="P1252" s="5">
        <f t="shared" si="100"/>
        <v>-1.2000000000000028</v>
      </c>
      <c r="Q1252" s="6">
        <f t="shared" si="101"/>
        <v>-1.2572027239392382E-2</v>
      </c>
      <c r="R1252" s="5">
        <f t="shared" si="102"/>
        <v>3.2999999999999972</v>
      </c>
      <c r="S1252" s="6">
        <f t="shared" si="103"/>
        <v>3.4573074908328935E-2</v>
      </c>
      <c r="T1252" s="6">
        <f t="shared" si="104"/>
        <v>-7.889546351084813E-3</v>
      </c>
    </row>
    <row r="1253" spans="1:20" hidden="1" x14ac:dyDescent="0.25">
      <c r="A1253" s="4" t="s">
        <v>1192</v>
      </c>
      <c r="B1253" s="5" t="s">
        <v>16</v>
      </c>
      <c r="C1253" s="5" t="s">
        <v>1823</v>
      </c>
      <c r="D1253" s="5">
        <v>166.8</v>
      </c>
      <c r="E1253" s="5">
        <v>166.8</v>
      </c>
      <c r="F1253" s="5">
        <v>171</v>
      </c>
      <c r="G1253" s="5">
        <v>164.65</v>
      </c>
      <c r="H1253" s="5">
        <v>166.1</v>
      </c>
      <c r="I1253" s="5">
        <v>167.25</v>
      </c>
      <c r="J1253" s="5">
        <v>167.67</v>
      </c>
      <c r="K1253" s="5">
        <v>75393</v>
      </c>
      <c r="L1253" s="5">
        <v>126.41</v>
      </c>
      <c r="M1253" s="5">
        <v>1309</v>
      </c>
      <c r="N1253" s="5">
        <v>46777</v>
      </c>
      <c r="O1253" s="5">
        <v>62.04</v>
      </c>
      <c r="P1253" s="5">
        <f t="shared" si="100"/>
        <v>0.44999999999998863</v>
      </c>
      <c r="Q1253" s="6">
        <f t="shared" si="101"/>
        <v>2.6978417266186367E-3</v>
      </c>
      <c r="R1253" s="5">
        <f t="shared" si="102"/>
        <v>6.3499999999999943</v>
      </c>
      <c r="S1253" s="6">
        <f t="shared" si="103"/>
        <v>3.8069544364508358E-2</v>
      </c>
      <c r="T1253" s="6">
        <f t="shared" si="104"/>
        <v>-2.5085859340002238E-3</v>
      </c>
    </row>
    <row r="1254" spans="1:20" hidden="1" x14ac:dyDescent="0.25">
      <c r="A1254" s="4" t="s">
        <v>1193</v>
      </c>
      <c r="B1254" s="5" t="s">
        <v>16</v>
      </c>
      <c r="C1254" s="5" t="s">
        <v>1823</v>
      </c>
      <c r="D1254" s="5">
        <v>38.5</v>
      </c>
      <c r="E1254" s="5">
        <v>38.049999999999997</v>
      </c>
      <c r="F1254" s="5">
        <v>38.75</v>
      </c>
      <c r="G1254" s="5">
        <v>38</v>
      </c>
      <c r="H1254" s="5">
        <v>38</v>
      </c>
      <c r="I1254" s="5">
        <v>38.049999999999997</v>
      </c>
      <c r="J1254" s="5">
        <v>38.130000000000003</v>
      </c>
      <c r="K1254" s="5">
        <v>18844</v>
      </c>
      <c r="L1254" s="5">
        <v>7.19</v>
      </c>
      <c r="M1254" s="5">
        <v>212</v>
      </c>
      <c r="N1254" s="5">
        <v>14409</v>
      </c>
      <c r="O1254" s="5">
        <v>76.459999999999994</v>
      </c>
      <c r="P1254" s="5">
        <f t="shared" si="100"/>
        <v>-0.45000000000000284</v>
      </c>
      <c r="Q1254" s="6">
        <f t="shared" si="101"/>
        <v>-1.1688311688311762E-2</v>
      </c>
      <c r="R1254" s="5">
        <f t="shared" si="102"/>
        <v>0.75</v>
      </c>
      <c r="S1254" s="6">
        <f t="shared" si="103"/>
        <v>1.948051948051948E-2</v>
      </c>
      <c r="T1254" s="6">
        <f t="shared" si="104"/>
        <v>-2.0935557736344234E-3</v>
      </c>
    </row>
    <row r="1255" spans="1:20" hidden="1" x14ac:dyDescent="0.25">
      <c r="A1255" s="4" t="s">
        <v>1194</v>
      </c>
      <c r="B1255" s="5" t="s">
        <v>16</v>
      </c>
      <c r="C1255" s="5" t="s">
        <v>1823</v>
      </c>
      <c r="D1255" s="5">
        <v>121</v>
      </c>
      <c r="E1255" s="5">
        <v>114.55</v>
      </c>
      <c r="F1255" s="5">
        <v>126</v>
      </c>
      <c r="G1255" s="5">
        <v>114.55</v>
      </c>
      <c r="H1255" s="5">
        <v>117</v>
      </c>
      <c r="I1255" s="5">
        <v>118.1</v>
      </c>
      <c r="J1255" s="5">
        <v>116.33</v>
      </c>
      <c r="K1255" s="5">
        <v>84</v>
      </c>
      <c r="L1255" s="5">
        <v>0.1</v>
      </c>
      <c r="M1255" s="5">
        <v>33</v>
      </c>
      <c r="N1255" s="5">
        <v>54</v>
      </c>
      <c r="O1255" s="5">
        <v>64.290000000000006</v>
      </c>
      <c r="P1255" s="5">
        <f t="shared" si="100"/>
        <v>-2.9000000000000057</v>
      </c>
      <c r="Q1255" s="6">
        <f t="shared" si="101"/>
        <v>-2.3966942148760377E-2</v>
      </c>
      <c r="R1255" s="5">
        <f t="shared" si="102"/>
        <v>11.450000000000003</v>
      </c>
      <c r="S1255" s="6">
        <f t="shared" si="103"/>
        <v>9.4628099173553748E-2</v>
      </c>
      <c r="T1255" s="6">
        <f t="shared" si="104"/>
        <v>1.4961961115807235E-2</v>
      </c>
    </row>
    <row r="1256" spans="1:20" x14ac:dyDescent="0.25">
      <c r="A1256" s="4" t="s">
        <v>1805</v>
      </c>
      <c r="B1256" s="5" t="s">
        <v>16</v>
      </c>
      <c r="C1256" s="5" t="s">
        <v>1823</v>
      </c>
      <c r="D1256" s="5">
        <v>21.95</v>
      </c>
      <c r="E1256" s="5">
        <v>22</v>
      </c>
      <c r="F1256" s="5">
        <v>23.05</v>
      </c>
      <c r="G1256" s="5">
        <v>21.5</v>
      </c>
      <c r="H1256" s="5">
        <v>22.65</v>
      </c>
      <c r="I1256" s="5">
        <v>22.6</v>
      </c>
      <c r="J1256" s="5">
        <v>22.28</v>
      </c>
      <c r="K1256" s="5">
        <v>110069</v>
      </c>
      <c r="L1256" s="5">
        <v>24.53</v>
      </c>
      <c r="M1256" s="5">
        <v>692</v>
      </c>
      <c r="N1256" s="5">
        <v>62303</v>
      </c>
      <c r="O1256" s="5">
        <v>56.6</v>
      </c>
      <c r="P1256" s="5">
        <f t="shared" si="100"/>
        <v>0.65000000000000213</v>
      </c>
      <c r="Q1256" s="6">
        <f t="shared" si="101"/>
        <v>2.9612756264237001E-2</v>
      </c>
      <c r="R1256" s="5">
        <f t="shared" si="102"/>
        <v>1.5500000000000007</v>
      </c>
      <c r="S1256" s="6">
        <f t="shared" si="103"/>
        <v>7.0615034168564961E-2</v>
      </c>
      <c r="T1256" s="6">
        <f t="shared" si="104"/>
        <v>1.4357823892316332E-2</v>
      </c>
    </row>
    <row r="1257" spans="1:20" hidden="1" x14ac:dyDescent="0.25">
      <c r="A1257" s="4" t="s">
        <v>1196</v>
      </c>
      <c r="B1257" s="5" t="s">
        <v>16</v>
      </c>
      <c r="C1257" s="5" t="s">
        <v>1823</v>
      </c>
      <c r="D1257" s="5">
        <v>208.75</v>
      </c>
      <c r="E1257" s="5">
        <v>206.55</v>
      </c>
      <c r="F1257" s="5">
        <v>209</v>
      </c>
      <c r="G1257" s="5">
        <v>204.1</v>
      </c>
      <c r="H1257" s="5">
        <v>207</v>
      </c>
      <c r="I1257" s="5">
        <v>207.05</v>
      </c>
      <c r="J1257" s="5">
        <v>206.21</v>
      </c>
      <c r="K1257" s="5">
        <v>17003</v>
      </c>
      <c r="L1257" s="5">
        <v>35.06</v>
      </c>
      <c r="M1257" s="5">
        <v>447</v>
      </c>
      <c r="N1257" s="5">
        <v>9464</v>
      </c>
      <c r="O1257" s="5">
        <v>55.66</v>
      </c>
      <c r="P1257" s="5">
        <f t="shared" si="100"/>
        <v>-1.6999999999999886</v>
      </c>
      <c r="Q1257" s="6">
        <f t="shared" si="101"/>
        <v>-8.1437125748502447E-3</v>
      </c>
      <c r="R1257" s="5">
        <f t="shared" si="102"/>
        <v>4.9000000000000057</v>
      </c>
      <c r="S1257" s="6">
        <f t="shared" si="103"/>
        <v>2.3473053892215597E-2</v>
      </c>
      <c r="T1257" s="6">
        <f t="shared" si="104"/>
        <v>4.0643522438611511E-3</v>
      </c>
    </row>
    <row r="1258" spans="1:20" x14ac:dyDescent="0.25">
      <c r="A1258" s="4" t="s">
        <v>1770</v>
      </c>
      <c r="B1258" s="5" t="s">
        <v>16</v>
      </c>
      <c r="C1258" s="5" t="s">
        <v>1823</v>
      </c>
      <c r="D1258" s="5">
        <v>276.95</v>
      </c>
      <c r="E1258" s="5">
        <v>278</v>
      </c>
      <c r="F1258" s="5">
        <v>280.39999999999998</v>
      </c>
      <c r="G1258" s="5">
        <v>267.2</v>
      </c>
      <c r="H1258" s="5">
        <v>278.95</v>
      </c>
      <c r="I1258" s="5">
        <v>277.25</v>
      </c>
      <c r="J1258" s="5">
        <v>274.70999999999998</v>
      </c>
      <c r="K1258" s="5">
        <v>114846</v>
      </c>
      <c r="L1258" s="5">
        <v>315.5</v>
      </c>
      <c r="M1258" s="5">
        <v>2612</v>
      </c>
      <c r="N1258" s="5">
        <v>65132</v>
      </c>
      <c r="O1258" s="5">
        <v>56.71</v>
      </c>
      <c r="P1258" s="5">
        <f t="shared" si="100"/>
        <v>0.30000000000001137</v>
      </c>
      <c r="Q1258" s="6">
        <f t="shared" si="101"/>
        <v>1.0832280194981454E-3</v>
      </c>
      <c r="R1258" s="5">
        <f t="shared" si="102"/>
        <v>13.199999999999989</v>
      </c>
      <c r="S1258" s="6">
        <f t="shared" si="103"/>
        <v>4.766203285791655E-2</v>
      </c>
      <c r="T1258" s="6">
        <f t="shared" si="104"/>
        <v>9.2124948995784394E-3</v>
      </c>
    </row>
    <row r="1259" spans="1:20" hidden="1" x14ac:dyDescent="0.25">
      <c r="A1259" s="4" t="s">
        <v>1198</v>
      </c>
      <c r="B1259" s="5" t="s">
        <v>24</v>
      </c>
      <c r="C1259" s="5" t="s">
        <v>1823</v>
      </c>
      <c r="D1259" s="5">
        <v>1</v>
      </c>
      <c r="E1259" s="5">
        <v>0.95</v>
      </c>
      <c r="F1259" s="5">
        <v>0.95</v>
      </c>
      <c r="G1259" s="5">
        <v>0.95</v>
      </c>
      <c r="H1259" s="5">
        <v>0.95</v>
      </c>
      <c r="I1259" s="5">
        <v>0.95</v>
      </c>
      <c r="J1259" s="5">
        <v>0.95</v>
      </c>
      <c r="K1259" s="5">
        <v>47662</v>
      </c>
      <c r="L1259" s="5">
        <v>0.45</v>
      </c>
      <c r="M1259" s="5">
        <v>6</v>
      </c>
      <c r="N1259" s="5" t="s">
        <v>25</v>
      </c>
      <c r="O1259" s="5" t="s">
        <v>25</v>
      </c>
      <c r="P1259" s="5">
        <f t="shared" si="100"/>
        <v>-5.0000000000000044E-2</v>
      </c>
      <c r="Q1259" s="6">
        <f t="shared" si="101"/>
        <v>-5.0000000000000044E-2</v>
      </c>
      <c r="R1259" s="5">
        <f t="shared" si="102"/>
        <v>0</v>
      </c>
      <c r="S1259" s="6">
        <f t="shared" si="103"/>
        <v>0</v>
      </c>
      <c r="T1259" s="6">
        <f t="shared" si="104"/>
        <v>0</v>
      </c>
    </row>
    <row r="1260" spans="1:20" hidden="1" x14ac:dyDescent="0.25">
      <c r="A1260" s="4" t="s">
        <v>1199</v>
      </c>
      <c r="B1260" s="5" t="s">
        <v>16</v>
      </c>
      <c r="C1260" s="5" t="s">
        <v>1823</v>
      </c>
      <c r="D1260" s="5">
        <v>11.2</v>
      </c>
      <c r="E1260" s="5">
        <v>10.95</v>
      </c>
      <c r="F1260" s="5">
        <v>11.25</v>
      </c>
      <c r="G1260" s="5">
        <v>10.65</v>
      </c>
      <c r="H1260" s="5">
        <v>10.65</v>
      </c>
      <c r="I1260" s="5">
        <v>10.7</v>
      </c>
      <c r="J1260" s="5">
        <v>10.79</v>
      </c>
      <c r="K1260" s="5">
        <v>19858</v>
      </c>
      <c r="L1260" s="5">
        <v>2.14</v>
      </c>
      <c r="M1260" s="5">
        <v>45</v>
      </c>
      <c r="N1260" s="5">
        <v>12825</v>
      </c>
      <c r="O1260" s="5">
        <v>64.58</v>
      </c>
      <c r="P1260" s="5">
        <f t="shared" si="100"/>
        <v>-0.5</v>
      </c>
      <c r="Q1260" s="6">
        <f t="shared" si="101"/>
        <v>-4.4642857142857144E-2</v>
      </c>
      <c r="R1260" s="5">
        <f t="shared" si="102"/>
        <v>0.59999999999999964</v>
      </c>
      <c r="S1260" s="6">
        <f t="shared" si="103"/>
        <v>5.3571428571428541E-2</v>
      </c>
      <c r="T1260" s="6">
        <f t="shared" si="104"/>
        <v>-8.2663605051664629E-3</v>
      </c>
    </row>
    <row r="1261" spans="1:20" hidden="1" x14ac:dyDescent="0.25">
      <c r="A1261" s="4" t="s">
        <v>1200</v>
      </c>
      <c r="B1261" s="5" t="s">
        <v>16</v>
      </c>
      <c r="C1261" s="5" t="s">
        <v>1823</v>
      </c>
      <c r="D1261" s="5">
        <v>6.7</v>
      </c>
      <c r="E1261" s="5">
        <v>6.75</v>
      </c>
      <c r="F1261" s="5">
        <v>6.95</v>
      </c>
      <c r="G1261" s="5">
        <v>6.45</v>
      </c>
      <c r="H1261" s="5">
        <v>6.45</v>
      </c>
      <c r="I1261" s="5">
        <v>6.6</v>
      </c>
      <c r="J1261" s="5">
        <v>6.6</v>
      </c>
      <c r="K1261" s="5">
        <v>9930</v>
      </c>
      <c r="L1261" s="5">
        <v>0.66</v>
      </c>
      <c r="M1261" s="5">
        <v>61</v>
      </c>
      <c r="N1261" s="5">
        <v>9526</v>
      </c>
      <c r="O1261" s="5">
        <v>95.93</v>
      </c>
      <c r="P1261" s="5">
        <f t="shared" si="100"/>
        <v>-0.10000000000000053</v>
      </c>
      <c r="Q1261" s="6">
        <f t="shared" si="101"/>
        <v>-1.4925373134328438E-2</v>
      </c>
      <c r="R1261" s="5">
        <f t="shared" si="102"/>
        <v>0.5</v>
      </c>
      <c r="S1261" s="6">
        <f t="shared" si="103"/>
        <v>7.4626865671641784E-2</v>
      </c>
      <c r="T1261" s="6">
        <f t="shared" si="104"/>
        <v>0</v>
      </c>
    </row>
    <row r="1262" spans="1:20" hidden="1" x14ac:dyDescent="0.25">
      <c r="A1262" s="4" t="s">
        <v>1849</v>
      </c>
      <c r="B1262" s="5" t="s">
        <v>28</v>
      </c>
      <c r="C1262" s="5" t="s">
        <v>1823</v>
      </c>
      <c r="D1262" s="5">
        <v>26.65</v>
      </c>
      <c r="E1262" s="5">
        <v>27</v>
      </c>
      <c r="F1262" s="5">
        <v>27</v>
      </c>
      <c r="G1262" s="5">
        <v>27</v>
      </c>
      <c r="H1262" s="5">
        <v>27</v>
      </c>
      <c r="I1262" s="5">
        <v>27</v>
      </c>
      <c r="J1262" s="5">
        <v>27</v>
      </c>
      <c r="K1262" s="5">
        <v>4000</v>
      </c>
      <c r="L1262" s="5">
        <v>1.08</v>
      </c>
      <c r="M1262" s="5">
        <v>1</v>
      </c>
      <c r="N1262" s="5">
        <v>4000</v>
      </c>
      <c r="O1262" s="5">
        <v>100</v>
      </c>
      <c r="P1262" s="5">
        <f t="shared" si="100"/>
        <v>0.35000000000000142</v>
      </c>
      <c r="Q1262" s="6">
        <f t="shared" si="101"/>
        <v>1.3133208255159529E-2</v>
      </c>
      <c r="R1262" s="5">
        <f t="shared" si="102"/>
        <v>0</v>
      </c>
      <c r="S1262" s="6">
        <f t="shared" si="103"/>
        <v>0</v>
      </c>
      <c r="T1262" s="6">
        <f t="shared" si="104"/>
        <v>0</v>
      </c>
    </row>
    <row r="1263" spans="1:20" hidden="1" x14ac:dyDescent="0.25">
      <c r="A1263" s="4" t="s">
        <v>1201</v>
      </c>
      <c r="B1263" s="5" t="s">
        <v>16</v>
      </c>
      <c r="C1263" s="5" t="s">
        <v>1823</v>
      </c>
      <c r="D1263" s="5">
        <v>23358.95</v>
      </c>
      <c r="E1263" s="5">
        <v>23101</v>
      </c>
      <c r="F1263" s="5">
        <v>23299.9</v>
      </c>
      <c r="G1263" s="5">
        <v>21840</v>
      </c>
      <c r="H1263" s="5">
        <v>22000</v>
      </c>
      <c r="I1263" s="5">
        <v>22255.4</v>
      </c>
      <c r="J1263" s="5">
        <v>22407.42</v>
      </c>
      <c r="K1263" s="5">
        <v>41144</v>
      </c>
      <c r="L1263" s="5">
        <v>9219.31</v>
      </c>
      <c r="M1263" s="5">
        <v>16778</v>
      </c>
      <c r="N1263" s="5">
        <v>13421</v>
      </c>
      <c r="O1263" s="5">
        <v>32.619999999999997</v>
      </c>
      <c r="P1263" s="5">
        <f t="shared" si="100"/>
        <v>-1103.5499999999993</v>
      </c>
      <c r="Q1263" s="6">
        <f t="shared" si="101"/>
        <v>-4.7243133788119722E-2</v>
      </c>
      <c r="R1263" s="5">
        <f t="shared" si="102"/>
        <v>1459.9000000000015</v>
      </c>
      <c r="S1263" s="6">
        <f t="shared" si="103"/>
        <v>6.2498528401319468E-2</v>
      </c>
      <c r="T1263" s="6">
        <f t="shared" si="104"/>
        <v>-6.7193907375217247E-3</v>
      </c>
    </row>
    <row r="1264" spans="1:20" hidden="1" x14ac:dyDescent="0.25">
      <c r="A1264" s="4" t="s">
        <v>1202</v>
      </c>
      <c r="B1264" s="5" t="s">
        <v>16</v>
      </c>
      <c r="C1264" s="5" t="s">
        <v>1823</v>
      </c>
      <c r="D1264" s="5">
        <v>405.8</v>
      </c>
      <c r="E1264" s="5">
        <v>408.5</v>
      </c>
      <c r="F1264" s="5">
        <v>408.5</v>
      </c>
      <c r="G1264" s="5">
        <v>397.85</v>
      </c>
      <c r="H1264" s="5">
        <v>398</v>
      </c>
      <c r="I1264" s="5">
        <v>401.6</v>
      </c>
      <c r="J1264" s="5">
        <v>400.07</v>
      </c>
      <c r="K1264" s="5">
        <v>20257</v>
      </c>
      <c r="L1264" s="5">
        <v>81.040000000000006</v>
      </c>
      <c r="M1264" s="5">
        <v>481</v>
      </c>
      <c r="N1264" s="5">
        <v>942</v>
      </c>
      <c r="O1264" s="5">
        <v>4.6500000000000004</v>
      </c>
      <c r="P1264" s="5">
        <f t="shared" si="100"/>
        <v>-4.1999999999999886</v>
      </c>
      <c r="Q1264" s="6">
        <f t="shared" si="101"/>
        <v>-1.0349926071956601E-2</v>
      </c>
      <c r="R1264" s="5">
        <f t="shared" si="102"/>
        <v>10.649999999999977</v>
      </c>
      <c r="S1264" s="6">
        <f t="shared" si="103"/>
        <v>2.6244455396747111E-2</v>
      </c>
      <c r="T1264" s="6">
        <f t="shared" si="104"/>
        <v>3.7860744223453362E-3</v>
      </c>
    </row>
    <row r="1265" spans="1:20" hidden="1" x14ac:dyDescent="0.25">
      <c r="A1265" s="4" t="s">
        <v>1203</v>
      </c>
      <c r="B1265" s="5" t="s">
        <v>16</v>
      </c>
      <c r="C1265" s="5" t="s">
        <v>1823</v>
      </c>
      <c r="D1265" s="5">
        <v>40.65</v>
      </c>
      <c r="E1265" s="5">
        <v>40.65</v>
      </c>
      <c r="F1265" s="5">
        <v>44</v>
      </c>
      <c r="G1265" s="5">
        <v>34.299999999999997</v>
      </c>
      <c r="H1265" s="5">
        <v>41.5</v>
      </c>
      <c r="I1265" s="5">
        <v>42.2</v>
      </c>
      <c r="J1265" s="5">
        <v>41.28</v>
      </c>
      <c r="K1265" s="5">
        <v>3464</v>
      </c>
      <c r="L1265" s="5">
        <v>1.43</v>
      </c>
      <c r="M1265" s="5">
        <v>77</v>
      </c>
      <c r="N1265" s="5">
        <v>1981</v>
      </c>
      <c r="O1265" s="5">
        <v>57.19</v>
      </c>
      <c r="P1265" s="5">
        <f t="shared" si="100"/>
        <v>1.5500000000000043</v>
      </c>
      <c r="Q1265" s="6">
        <f t="shared" si="101"/>
        <v>3.8130381303813146E-2</v>
      </c>
      <c r="R1265" s="5">
        <f t="shared" si="102"/>
        <v>9.7000000000000028</v>
      </c>
      <c r="S1265" s="6">
        <f t="shared" si="103"/>
        <v>0.23862238622386231</v>
      </c>
      <c r="T1265" s="6">
        <f t="shared" si="104"/>
        <v>2.2835867204467928E-2</v>
      </c>
    </row>
    <row r="1266" spans="1:20" hidden="1" x14ac:dyDescent="0.25">
      <c r="A1266" s="4" t="s">
        <v>1204</v>
      </c>
      <c r="B1266" s="5" t="s">
        <v>16</v>
      </c>
      <c r="C1266" s="5" t="s">
        <v>1823</v>
      </c>
      <c r="D1266" s="5">
        <v>21.75</v>
      </c>
      <c r="E1266" s="5">
        <v>21.05</v>
      </c>
      <c r="F1266" s="5">
        <v>22.45</v>
      </c>
      <c r="G1266" s="5">
        <v>20.7</v>
      </c>
      <c r="H1266" s="5">
        <v>21.05</v>
      </c>
      <c r="I1266" s="5">
        <v>21</v>
      </c>
      <c r="J1266" s="5">
        <v>21.01</v>
      </c>
      <c r="K1266" s="5">
        <v>2320</v>
      </c>
      <c r="L1266" s="5">
        <v>0.49</v>
      </c>
      <c r="M1266" s="5">
        <v>34</v>
      </c>
      <c r="N1266" s="5">
        <v>1372</v>
      </c>
      <c r="O1266" s="5">
        <v>59.14</v>
      </c>
      <c r="P1266" s="5">
        <f t="shared" si="100"/>
        <v>-0.75</v>
      </c>
      <c r="Q1266" s="6">
        <f t="shared" si="101"/>
        <v>-3.4482758620689655E-2</v>
      </c>
      <c r="R1266" s="5">
        <f t="shared" si="102"/>
        <v>1.75</v>
      </c>
      <c r="S1266" s="6">
        <f t="shared" si="103"/>
        <v>8.0459770114942528E-2</v>
      </c>
      <c r="T1266" s="6">
        <f t="shared" si="104"/>
        <v>-4.6948356807519076E-4</v>
      </c>
    </row>
    <row r="1267" spans="1:20" x14ac:dyDescent="0.25">
      <c r="A1267" s="4" t="s">
        <v>455</v>
      </c>
      <c r="B1267" s="5" t="s">
        <v>16</v>
      </c>
      <c r="C1267" s="5" t="s">
        <v>1823</v>
      </c>
      <c r="D1267" s="5">
        <v>182.8</v>
      </c>
      <c r="E1267" s="5">
        <v>183.25</v>
      </c>
      <c r="F1267" s="5">
        <v>183.9</v>
      </c>
      <c r="G1267" s="5">
        <v>173.6</v>
      </c>
      <c r="H1267" s="5">
        <v>177.7</v>
      </c>
      <c r="I1267" s="5">
        <v>177</v>
      </c>
      <c r="J1267" s="5">
        <v>178.54</v>
      </c>
      <c r="K1267" s="5">
        <v>134595</v>
      </c>
      <c r="L1267" s="5">
        <v>240.31</v>
      </c>
      <c r="M1267" s="5">
        <v>4001</v>
      </c>
      <c r="N1267" s="5">
        <v>76536</v>
      </c>
      <c r="O1267" s="5">
        <v>56.86</v>
      </c>
      <c r="P1267" s="5">
        <f t="shared" si="100"/>
        <v>-5.8000000000000114</v>
      </c>
      <c r="Q1267" s="6">
        <f t="shared" si="101"/>
        <v>-3.1728665207877524E-2</v>
      </c>
      <c r="R1267" s="5">
        <f t="shared" si="102"/>
        <v>10.300000000000011</v>
      </c>
      <c r="S1267" s="6">
        <f t="shared" si="103"/>
        <v>5.6345733041575551E-2</v>
      </c>
      <c r="T1267" s="6">
        <f t="shared" si="104"/>
        <v>-8.5823754789271581E-3</v>
      </c>
    </row>
    <row r="1268" spans="1:20" hidden="1" x14ac:dyDescent="0.25">
      <c r="A1268" s="4" t="s">
        <v>1850</v>
      </c>
      <c r="B1268" s="5" t="s">
        <v>28</v>
      </c>
      <c r="C1268" s="5" t="s">
        <v>1823</v>
      </c>
      <c r="D1268" s="5">
        <v>53.55</v>
      </c>
      <c r="E1268" s="5">
        <v>52.5</v>
      </c>
      <c r="F1268" s="5">
        <v>52.5</v>
      </c>
      <c r="G1268" s="5">
        <v>52.5</v>
      </c>
      <c r="H1268" s="5">
        <v>52.5</v>
      </c>
      <c r="I1268" s="5">
        <v>52.5</v>
      </c>
      <c r="J1268" s="5">
        <v>52.5</v>
      </c>
      <c r="K1268" s="5">
        <v>48000</v>
      </c>
      <c r="L1268" s="5">
        <v>25.2</v>
      </c>
      <c r="M1268" s="5">
        <v>2</v>
      </c>
      <c r="N1268" s="5">
        <v>48000</v>
      </c>
      <c r="O1268" s="5">
        <v>100</v>
      </c>
      <c r="P1268" s="5">
        <f t="shared" si="100"/>
        <v>-1.0499999999999972</v>
      </c>
      <c r="Q1268" s="6">
        <f t="shared" si="101"/>
        <v>-1.960784313725485E-2</v>
      </c>
      <c r="R1268" s="5">
        <f t="shared" si="102"/>
        <v>0</v>
      </c>
      <c r="S1268" s="6">
        <f t="shared" si="103"/>
        <v>0</v>
      </c>
      <c r="T1268" s="6">
        <f t="shared" si="104"/>
        <v>0</v>
      </c>
    </row>
    <row r="1269" spans="1:20" hidden="1" x14ac:dyDescent="0.25">
      <c r="A1269" s="4" t="s">
        <v>1206</v>
      </c>
      <c r="B1269" s="5" t="s">
        <v>16</v>
      </c>
      <c r="C1269" s="5" t="s">
        <v>1823</v>
      </c>
      <c r="D1269" s="5">
        <v>73.05</v>
      </c>
      <c r="E1269" s="5">
        <v>73.849999999999994</v>
      </c>
      <c r="F1269" s="5">
        <v>73.849999999999994</v>
      </c>
      <c r="G1269" s="5">
        <v>71.599999999999994</v>
      </c>
      <c r="H1269" s="5">
        <v>72.5</v>
      </c>
      <c r="I1269" s="5">
        <v>71.900000000000006</v>
      </c>
      <c r="J1269" s="5">
        <v>72.19</v>
      </c>
      <c r="K1269" s="5">
        <v>21188</v>
      </c>
      <c r="L1269" s="5">
        <v>15.3</v>
      </c>
      <c r="M1269" s="5">
        <v>258</v>
      </c>
      <c r="N1269" s="5">
        <v>12551</v>
      </c>
      <c r="O1269" s="5">
        <v>59.24</v>
      </c>
      <c r="P1269" s="5">
        <f t="shared" si="100"/>
        <v>-1.1499999999999915</v>
      </c>
      <c r="Q1269" s="6">
        <f t="shared" si="101"/>
        <v>-1.5742642026009467E-2</v>
      </c>
      <c r="R1269" s="5">
        <f t="shared" si="102"/>
        <v>2.25</v>
      </c>
      <c r="S1269" s="6">
        <f t="shared" si="103"/>
        <v>3.0800821355236142E-2</v>
      </c>
      <c r="T1269" s="6">
        <f t="shared" si="104"/>
        <v>-3.983516483516374E-3</v>
      </c>
    </row>
    <row r="1270" spans="1:20" hidden="1" x14ac:dyDescent="0.25">
      <c r="A1270" s="4" t="s">
        <v>1207</v>
      </c>
      <c r="B1270" s="5" t="s">
        <v>16</v>
      </c>
      <c r="C1270" s="5" t="s">
        <v>1823</v>
      </c>
      <c r="D1270" s="5">
        <v>241.95</v>
      </c>
      <c r="E1270" s="5">
        <v>242.15</v>
      </c>
      <c r="F1270" s="5">
        <v>247.7</v>
      </c>
      <c r="G1270" s="5">
        <v>234.45</v>
      </c>
      <c r="H1270" s="5">
        <v>236.05</v>
      </c>
      <c r="I1270" s="5">
        <v>239.1</v>
      </c>
      <c r="J1270" s="5">
        <v>239.78</v>
      </c>
      <c r="K1270" s="5">
        <v>12371</v>
      </c>
      <c r="L1270" s="5">
        <v>29.66</v>
      </c>
      <c r="M1270" s="5">
        <v>554</v>
      </c>
      <c r="N1270" s="5">
        <v>7529</v>
      </c>
      <c r="O1270" s="5">
        <v>60.86</v>
      </c>
      <c r="P1270" s="5">
        <f t="shared" si="100"/>
        <v>-2.8499999999999943</v>
      </c>
      <c r="Q1270" s="6">
        <f t="shared" si="101"/>
        <v>-1.1779293242405432E-2</v>
      </c>
      <c r="R1270" s="5">
        <f t="shared" si="102"/>
        <v>13.25</v>
      </c>
      <c r="S1270" s="6">
        <f t="shared" si="103"/>
        <v>5.4763380863814839E-2</v>
      </c>
      <c r="T1270" s="6">
        <f t="shared" si="104"/>
        <v>-2.8233340253269955E-3</v>
      </c>
    </row>
    <row r="1271" spans="1:20" hidden="1" x14ac:dyDescent="0.25">
      <c r="A1271" s="4" t="s">
        <v>1208</v>
      </c>
      <c r="B1271" s="5" t="s">
        <v>39</v>
      </c>
      <c r="C1271" s="5" t="s">
        <v>1823</v>
      </c>
      <c r="D1271" s="5">
        <v>1</v>
      </c>
      <c r="E1271" s="5">
        <v>1.05</v>
      </c>
      <c r="F1271" s="5">
        <v>1.05</v>
      </c>
      <c r="G1271" s="5">
        <v>0.95</v>
      </c>
      <c r="H1271" s="5">
        <v>1.05</v>
      </c>
      <c r="I1271" s="5">
        <v>1.05</v>
      </c>
      <c r="J1271" s="5">
        <v>1.03</v>
      </c>
      <c r="K1271" s="5">
        <v>21900</v>
      </c>
      <c r="L1271" s="5">
        <v>0.22</v>
      </c>
      <c r="M1271" s="5">
        <v>36</v>
      </c>
      <c r="N1271" s="5" t="s">
        <v>25</v>
      </c>
      <c r="O1271" s="5" t="s">
        <v>25</v>
      </c>
      <c r="P1271" s="5">
        <f t="shared" si="100"/>
        <v>5.0000000000000044E-2</v>
      </c>
      <c r="Q1271" s="6">
        <f t="shared" si="101"/>
        <v>5.0000000000000044E-2</v>
      </c>
      <c r="R1271" s="5">
        <f t="shared" si="102"/>
        <v>0.10000000000000009</v>
      </c>
      <c r="S1271" s="6">
        <f t="shared" si="103"/>
        <v>0.10000000000000009</v>
      </c>
      <c r="T1271" s="6">
        <f t="shared" si="104"/>
        <v>1.9512195121951237E-2</v>
      </c>
    </row>
    <row r="1272" spans="1:20" hidden="1" x14ac:dyDescent="0.25">
      <c r="A1272" s="4" t="s">
        <v>1209</v>
      </c>
      <c r="B1272" s="5" t="s">
        <v>16</v>
      </c>
      <c r="C1272" s="5" t="s">
        <v>1823</v>
      </c>
      <c r="D1272" s="5">
        <v>9.5500000000000007</v>
      </c>
      <c r="E1272" s="5">
        <v>9.6999999999999993</v>
      </c>
      <c r="F1272" s="5">
        <v>9.6999999999999993</v>
      </c>
      <c r="G1272" s="5">
        <v>9.25</v>
      </c>
      <c r="H1272" s="5">
        <v>9.3000000000000007</v>
      </c>
      <c r="I1272" s="5">
        <v>9.3000000000000007</v>
      </c>
      <c r="J1272" s="5">
        <v>9.41</v>
      </c>
      <c r="K1272" s="5">
        <v>25661</v>
      </c>
      <c r="L1272" s="5">
        <v>2.42</v>
      </c>
      <c r="M1272" s="5">
        <v>82</v>
      </c>
      <c r="N1272" s="5">
        <v>21051</v>
      </c>
      <c r="O1272" s="5">
        <v>82.03</v>
      </c>
      <c r="P1272" s="5">
        <f t="shared" si="100"/>
        <v>-0.25</v>
      </c>
      <c r="Q1272" s="6">
        <f t="shared" si="101"/>
        <v>-2.6178010471204185E-2</v>
      </c>
      <c r="R1272" s="5">
        <f t="shared" si="102"/>
        <v>0.44999999999999929</v>
      </c>
      <c r="S1272" s="6">
        <f t="shared" si="103"/>
        <v>4.7120418848167464E-2</v>
      </c>
      <c r="T1272" s="6">
        <f t="shared" si="104"/>
        <v>-1.1594202898550664E-2</v>
      </c>
    </row>
    <row r="1273" spans="1:20" x14ac:dyDescent="0.25">
      <c r="A1273" s="4" t="s">
        <v>1054</v>
      </c>
      <c r="B1273" s="5" t="s">
        <v>16</v>
      </c>
      <c r="C1273" s="5" t="s">
        <v>1823</v>
      </c>
      <c r="D1273" s="5">
        <v>349</v>
      </c>
      <c r="E1273" s="5">
        <v>352</v>
      </c>
      <c r="F1273" s="5">
        <v>356.95</v>
      </c>
      <c r="G1273" s="5">
        <v>343.8</v>
      </c>
      <c r="H1273" s="5">
        <v>344.2</v>
      </c>
      <c r="I1273" s="5">
        <v>347.2</v>
      </c>
      <c r="J1273" s="5">
        <v>350.23</v>
      </c>
      <c r="K1273" s="5">
        <v>183137</v>
      </c>
      <c r="L1273" s="5">
        <v>641.39</v>
      </c>
      <c r="M1273" s="5">
        <v>6573</v>
      </c>
      <c r="N1273" s="5">
        <v>104292</v>
      </c>
      <c r="O1273" s="5">
        <v>56.95</v>
      </c>
      <c r="P1273" s="5">
        <f t="shared" si="100"/>
        <v>-1.8000000000000114</v>
      </c>
      <c r="Q1273" s="6">
        <f t="shared" si="101"/>
        <v>-5.1575931232092018E-3</v>
      </c>
      <c r="R1273" s="5">
        <f t="shared" si="102"/>
        <v>13.149999999999977</v>
      </c>
      <c r="S1273" s="6">
        <f t="shared" si="103"/>
        <v>3.767908309455581E-2</v>
      </c>
      <c r="T1273" s="6">
        <f t="shared" si="104"/>
        <v>-8.657452051859079E-3</v>
      </c>
    </row>
    <row r="1274" spans="1:20" hidden="1" x14ac:dyDescent="0.25">
      <c r="A1274" s="4" t="s">
        <v>1211</v>
      </c>
      <c r="B1274" s="5" t="s">
        <v>16</v>
      </c>
      <c r="C1274" s="5" t="s">
        <v>1823</v>
      </c>
      <c r="D1274" s="5">
        <v>2.9</v>
      </c>
      <c r="E1274" s="5">
        <v>2.9</v>
      </c>
      <c r="F1274" s="5">
        <v>2.95</v>
      </c>
      <c r="G1274" s="5">
        <v>2.8</v>
      </c>
      <c r="H1274" s="5">
        <v>2.85</v>
      </c>
      <c r="I1274" s="5">
        <v>2.85</v>
      </c>
      <c r="J1274" s="5">
        <v>2.86</v>
      </c>
      <c r="K1274" s="5">
        <v>47125</v>
      </c>
      <c r="L1274" s="5">
        <v>1.35</v>
      </c>
      <c r="M1274" s="5">
        <v>120</v>
      </c>
      <c r="N1274" s="5">
        <v>41017</v>
      </c>
      <c r="O1274" s="5">
        <v>87.04</v>
      </c>
      <c r="P1274" s="5">
        <f t="shared" si="100"/>
        <v>-4.9999999999999822E-2</v>
      </c>
      <c r="Q1274" s="6">
        <f t="shared" si="101"/>
        <v>-1.7241379310344768E-2</v>
      </c>
      <c r="R1274" s="5">
        <f t="shared" si="102"/>
        <v>0.15000000000000036</v>
      </c>
      <c r="S1274" s="6">
        <f t="shared" si="103"/>
        <v>5.1724137931034607E-2</v>
      </c>
      <c r="T1274" s="6">
        <f t="shared" si="104"/>
        <v>-3.4782608695651438E-3</v>
      </c>
    </row>
    <row r="1275" spans="1:20" x14ac:dyDescent="0.25">
      <c r="A1275" s="4" t="s">
        <v>100</v>
      </c>
      <c r="B1275" s="5" t="s">
        <v>16</v>
      </c>
      <c r="C1275" s="5" t="s">
        <v>1823</v>
      </c>
      <c r="D1275" s="5">
        <v>215.75</v>
      </c>
      <c r="E1275" s="5">
        <v>214.95</v>
      </c>
      <c r="F1275" s="5">
        <v>215.7</v>
      </c>
      <c r="G1275" s="5">
        <v>207.3</v>
      </c>
      <c r="H1275" s="5">
        <v>210</v>
      </c>
      <c r="I1275" s="5">
        <v>210.1</v>
      </c>
      <c r="J1275" s="5">
        <v>211.02</v>
      </c>
      <c r="K1275" s="5">
        <v>3960724</v>
      </c>
      <c r="L1275" s="5">
        <v>8357.89</v>
      </c>
      <c r="M1275" s="5">
        <v>38130</v>
      </c>
      <c r="N1275" s="5">
        <v>2259263</v>
      </c>
      <c r="O1275" s="5">
        <v>57.04</v>
      </c>
      <c r="P1275" s="5">
        <f t="shared" si="100"/>
        <v>-5.6500000000000057</v>
      </c>
      <c r="Q1275" s="6">
        <f t="shared" si="101"/>
        <v>-2.6187717265353443E-2</v>
      </c>
      <c r="R1275" s="5">
        <f t="shared" si="102"/>
        <v>8.3999999999999773</v>
      </c>
      <c r="S1275" s="6">
        <f t="shared" si="103"/>
        <v>3.893395133256073E-2</v>
      </c>
      <c r="T1275" s="6">
        <f t="shared" si="104"/>
        <v>-4.3393667826190242E-3</v>
      </c>
    </row>
    <row r="1276" spans="1:20" hidden="1" x14ac:dyDescent="0.25">
      <c r="A1276" s="4" t="s">
        <v>1213</v>
      </c>
      <c r="B1276" s="5" t="s">
        <v>16</v>
      </c>
      <c r="C1276" s="5" t="s">
        <v>1823</v>
      </c>
      <c r="D1276" s="5">
        <v>22.6</v>
      </c>
      <c r="E1276" s="5">
        <v>23.7</v>
      </c>
      <c r="F1276" s="5">
        <v>23.7</v>
      </c>
      <c r="G1276" s="5">
        <v>23</v>
      </c>
      <c r="H1276" s="5">
        <v>23.7</v>
      </c>
      <c r="I1276" s="5">
        <v>23.7</v>
      </c>
      <c r="J1276" s="5">
        <v>23.55</v>
      </c>
      <c r="K1276" s="5">
        <v>19873</v>
      </c>
      <c r="L1276" s="5">
        <v>4.68</v>
      </c>
      <c r="M1276" s="5">
        <v>138</v>
      </c>
      <c r="N1276" s="5">
        <v>16270</v>
      </c>
      <c r="O1276" s="5">
        <v>81.87</v>
      </c>
      <c r="P1276" s="5">
        <f t="shared" si="100"/>
        <v>1.0999999999999979</v>
      </c>
      <c r="Q1276" s="6">
        <f t="shared" si="101"/>
        <v>4.8672566371681318E-2</v>
      </c>
      <c r="R1276" s="5">
        <f t="shared" si="102"/>
        <v>0.69999999999999929</v>
      </c>
      <c r="S1276" s="6">
        <f t="shared" si="103"/>
        <v>3.0973451327433597E-2</v>
      </c>
      <c r="T1276" s="6">
        <f t="shared" si="104"/>
        <v>6.3761955366630632E-3</v>
      </c>
    </row>
    <row r="1277" spans="1:20" hidden="1" x14ac:dyDescent="0.25">
      <c r="A1277" s="4" t="s">
        <v>1214</v>
      </c>
      <c r="B1277" s="5" t="s">
        <v>16</v>
      </c>
      <c r="C1277" s="5" t="s">
        <v>1823</v>
      </c>
      <c r="D1277" s="5">
        <v>7.15</v>
      </c>
      <c r="E1277" s="5">
        <v>7.45</v>
      </c>
      <c r="F1277" s="5">
        <v>7.45</v>
      </c>
      <c r="G1277" s="5">
        <v>6.7</v>
      </c>
      <c r="H1277" s="5">
        <v>7</v>
      </c>
      <c r="I1277" s="5">
        <v>7</v>
      </c>
      <c r="J1277" s="5">
        <v>7.07</v>
      </c>
      <c r="K1277" s="5">
        <v>2314</v>
      </c>
      <c r="L1277" s="5">
        <v>0.16</v>
      </c>
      <c r="M1277" s="5">
        <v>38</v>
      </c>
      <c r="N1277" s="5">
        <v>1276</v>
      </c>
      <c r="O1277" s="5">
        <v>55.14</v>
      </c>
      <c r="P1277" s="5">
        <f t="shared" si="100"/>
        <v>-0.15000000000000036</v>
      </c>
      <c r="Q1277" s="6">
        <f t="shared" si="101"/>
        <v>-2.0979020979021028E-2</v>
      </c>
      <c r="R1277" s="5">
        <f t="shared" si="102"/>
        <v>0.75</v>
      </c>
      <c r="S1277" s="6">
        <f t="shared" si="103"/>
        <v>0.1048951048951049</v>
      </c>
      <c r="T1277" s="6">
        <f t="shared" si="104"/>
        <v>-9.7902097902098292E-3</v>
      </c>
    </row>
    <row r="1278" spans="1:20" x14ac:dyDescent="0.25">
      <c r="A1278" s="4" t="s">
        <v>796</v>
      </c>
      <c r="B1278" s="5" t="s">
        <v>16</v>
      </c>
      <c r="C1278" s="5" t="s">
        <v>1823</v>
      </c>
      <c r="D1278" s="5">
        <v>384.05</v>
      </c>
      <c r="E1278" s="5">
        <v>386.9</v>
      </c>
      <c r="F1278" s="5">
        <v>389</v>
      </c>
      <c r="G1278" s="5">
        <v>372</v>
      </c>
      <c r="H1278" s="5">
        <v>374.5</v>
      </c>
      <c r="I1278" s="5">
        <v>374.55</v>
      </c>
      <c r="J1278" s="5">
        <v>381.22</v>
      </c>
      <c r="K1278" s="5">
        <v>109999</v>
      </c>
      <c r="L1278" s="5">
        <v>419.34</v>
      </c>
      <c r="M1278" s="5">
        <v>2691</v>
      </c>
      <c r="N1278" s="5">
        <v>63054</v>
      </c>
      <c r="O1278" s="5">
        <v>57.32</v>
      </c>
      <c r="P1278" s="5">
        <f t="shared" si="100"/>
        <v>-9.5</v>
      </c>
      <c r="Q1278" s="6">
        <f t="shared" si="101"/>
        <v>-2.4736362452805624E-2</v>
      </c>
      <c r="R1278" s="5">
        <f t="shared" si="102"/>
        <v>17</v>
      </c>
      <c r="S1278" s="6">
        <f t="shared" si="103"/>
        <v>4.4265069652389008E-2</v>
      </c>
      <c r="T1278" s="6">
        <f t="shared" si="104"/>
        <v>-1.7524385037275485E-2</v>
      </c>
    </row>
    <row r="1279" spans="1:20" hidden="1" x14ac:dyDescent="0.25">
      <c r="A1279" s="4" t="s">
        <v>1216</v>
      </c>
      <c r="B1279" s="5" t="s">
        <v>16</v>
      </c>
      <c r="C1279" s="5" t="s">
        <v>1823</v>
      </c>
      <c r="D1279" s="5">
        <v>15.55</v>
      </c>
      <c r="E1279" s="5">
        <v>15.25</v>
      </c>
      <c r="F1279" s="5">
        <v>16</v>
      </c>
      <c r="G1279" s="5">
        <v>15.25</v>
      </c>
      <c r="H1279" s="5">
        <v>15.4</v>
      </c>
      <c r="I1279" s="5">
        <v>15.4</v>
      </c>
      <c r="J1279" s="5">
        <v>15.57</v>
      </c>
      <c r="K1279" s="5">
        <v>38842</v>
      </c>
      <c r="L1279" s="5">
        <v>6.05</v>
      </c>
      <c r="M1279" s="5">
        <v>240</v>
      </c>
      <c r="N1279" s="5">
        <v>25185</v>
      </c>
      <c r="O1279" s="5">
        <v>64.84</v>
      </c>
      <c r="P1279" s="5">
        <f t="shared" si="100"/>
        <v>-0.15000000000000036</v>
      </c>
      <c r="Q1279" s="6">
        <f t="shared" si="101"/>
        <v>-9.6463022508038801E-3</v>
      </c>
      <c r="R1279" s="5">
        <f t="shared" si="102"/>
        <v>0.75</v>
      </c>
      <c r="S1279" s="6">
        <f t="shared" si="103"/>
        <v>4.8231511254019289E-2</v>
      </c>
      <c r="T1279" s="6">
        <f t="shared" si="104"/>
        <v>-1.0985460420032307E-2</v>
      </c>
    </row>
    <row r="1280" spans="1:20" hidden="1" x14ac:dyDescent="0.25">
      <c r="A1280" s="4" t="s">
        <v>1217</v>
      </c>
      <c r="B1280" s="5" t="s">
        <v>39</v>
      </c>
      <c r="C1280" s="5" t="s">
        <v>1823</v>
      </c>
      <c r="D1280" s="5">
        <v>3.35</v>
      </c>
      <c r="E1280" s="5">
        <v>3.35</v>
      </c>
      <c r="F1280" s="5">
        <v>3.35</v>
      </c>
      <c r="G1280" s="5">
        <v>3.35</v>
      </c>
      <c r="H1280" s="5">
        <v>3.35</v>
      </c>
      <c r="I1280" s="5">
        <v>3.35</v>
      </c>
      <c r="J1280" s="5">
        <v>3.35</v>
      </c>
      <c r="K1280" s="5">
        <v>1</v>
      </c>
      <c r="L1280" s="5">
        <v>0</v>
      </c>
      <c r="M1280" s="5">
        <v>1</v>
      </c>
      <c r="N1280" s="5" t="s">
        <v>25</v>
      </c>
      <c r="O1280" s="5" t="s">
        <v>25</v>
      </c>
      <c r="P1280" s="5">
        <f t="shared" si="100"/>
        <v>0</v>
      </c>
      <c r="Q1280" s="6">
        <f t="shared" si="101"/>
        <v>0</v>
      </c>
      <c r="R1280" s="5">
        <f t="shared" si="102"/>
        <v>0</v>
      </c>
      <c r="S1280" s="6">
        <f t="shared" si="103"/>
        <v>0</v>
      </c>
      <c r="T1280" s="6">
        <f t="shared" si="104"/>
        <v>0</v>
      </c>
    </row>
    <row r="1281" spans="1:20" hidden="1" x14ac:dyDescent="0.25">
      <c r="A1281" s="4" t="s">
        <v>1218</v>
      </c>
      <c r="B1281" s="5" t="s">
        <v>16</v>
      </c>
      <c r="C1281" s="5" t="s">
        <v>1823</v>
      </c>
      <c r="D1281" s="5">
        <v>336.05</v>
      </c>
      <c r="E1281" s="5">
        <v>340.05</v>
      </c>
      <c r="F1281" s="5">
        <v>342.9</v>
      </c>
      <c r="G1281" s="5">
        <v>339</v>
      </c>
      <c r="H1281" s="5">
        <v>340</v>
      </c>
      <c r="I1281" s="5">
        <v>340</v>
      </c>
      <c r="J1281" s="5">
        <v>340.02</v>
      </c>
      <c r="K1281" s="5">
        <v>11962</v>
      </c>
      <c r="L1281" s="5">
        <v>40.67</v>
      </c>
      <c r="M1281" s="5">
        <v>29</v>
      </c>
      <c r="N1281" s="5">
        <v>11921</v>
      </c>
      <c r="O1281" s="5">
        <v>99.66</v>
      </c>
      <c r="P1281" s="5">
        <f t="shared" si="100"/>
        <v>3.9499999999999886</v>
      </c>
      <c r="Q1281" s="6">
        <f t="shared" si="101"/>
        <v>1.1754203243564911E-2</v>
      </c>
      <c r="R1281" s="5">
        <f t="shared" si="102"/>
        <v>3.8999999999999773</v>
      </c>
      <c r="S1281" s="6">
        <f t="shared" si="103"/>
        <v>1.1605415860734941E-2</v>
      </c>
      <c r="T1281" s="6">
        <f t="shared" si="104"/>
        <v>-5.8739307610358119E-5</v>
      </c>
    </row>
    <row r="1282" spans="1:20" hidden="1" x14ac:dyDescent="0.25">
      <c r="A1282" s="4" t="s">
        <v>1219</v>
      </c>
      <c r="B1282" s="5" t="s">
        <v>16</v>
      </c>
      <c r="C1282" s="5" t="s">
        <v>1823</v>
      </c>
      <c r="D1282" s="5">
        <v>10.25</v>
      </c>
      <c r="E1282" s="5">
        <v>9.8000000000000007</v>
      </c>
      <c r="F1282" s="5">
        <v>10.25</v>
      </c>
      <c r="G1282" s="5">
        <v>9.75</v>
      </c>
      <c r="H1282" s="5">
        <v>9.75</v>
      </c>
      <c r="I1282" s="5">
        <v>9.75</v>
      </c>
      <c r="J1282" s="5">
        <v>9.7799999999999994</v>
      </c>
      <c r="K1282" s="5">
        <v>22505</v>
      </c>
      <c r="L1282" s="5">
        <v>2.2000000000000002</v>
      </c>
      <c r="M1282" s="5">
        <v>28</v>
      </c>
      <c r="N1282" s="5">
        <v>16904</v>
      </c>
      <c r="O1282" s="5">
        <v>75.11</v>
      </c>
      <c r="P1282" s="5">
        <f t="shared" si="100"/>
        <v>-0.5</v>
      </c>
      <c r="Q1282" s="6">
        <f t="shared" si="101"/>
        <v>-4.878048780487805E-2</v>
      </c>
      <c r="R1282" s="5">
        <f t="shared" si="102"/>
        <v>0.5</v>
      </c>
      <c r="S1282" s="6">
        <f t="shared" si="103"/>
        <v>4.878048780487805E-2</v>
      </c>
      <c r="T1282" s="6">
        <f t="shared" si="104"/>
        <v>-3.0341340075852705E-3</v>
      </c>
    </row>
    <row r="1283" spans="1:20" x14ac:dyDescent="0.25">
      <c r="A1283" s="4" t="s">
        <v>1414</v>
      </c>
      <c r="B1283" s="5" t="s">
        <v>16</v>
      </c>
      <c r="C1283" s="5" t="s">
        <v>1823</v>
      </c>
      <c r="D1283" s="5">
        <v>83.65</v>
      </c>
      <c r="E1283" s="5">
        <v>84</v>
      </c>
      <c r="F1283" s="5">
        <v>85.9</v>
      </c>
      <c r="G1283" s="5">
        <v>78.45</v>
      </c>
      <c r="H1283" s="5">
        <v>85.6</v>
      </c>
      <c r="I1283" s="5">
        <v>83.9</v>
      </c>
      <c r="J1283" s="5">
        <v>81.83</v>
      </c>
      <c r="K1283" s="5">
        <v>148578</v>
      </c>
      <c r="L1283" s="5">
        <v>121.58</v>
      </c>
      <c r="M1283" s="5">
        <v>1444</v>
      </c>
      <c r="N1283" s="5">
        <v>85614</v>
      </c>
      <c r="O1283" s="5">
        <v>57.62</v>
      </c>
      <c r="P1283" s="5">
        <f t="shared" si="100"/>
        <v>0.25</v>
      </c>
      <c r="Q1283" s="6">
        <f t="shared" si="101"/>
        <v>2.9886431560071725E-3</v>
      </c>
      <c r="R1283" s="5">
        <f t="shared" si="102"/>
        <v>7.4500000000000028</v>
      </c>
      <c r="S1283" s="6">
        <f t="shared" si="103"/>
        <v>8.9061566049013774E-2</v>
      </c>
      <c r="T1283" s="6">
        <f t="shared" si="104"/>
        <v>2.4920993227991059E-2</v>
      </c>
    </row>
    <row r="1284" spans="1:20" x14ac:dyDescent="0.25">
      <c r="A1284" s="4" t="s">
        <v>1336</v>
      </c>
      <c r="B1284" s="5" t="s">
        <v>16</v>
      </c>
      <c r="C1284" s="5" t="s">
        <v>1823</v>
      </c>
      <c r="D1284" s="5">
        <v>317.25</v>
      </c>
      <c r="E1284" s="5">
        <v>317.2</v>
      </c>
      <c r="F1284" s="5">
        <v>326.85000000000002</v>
      </c>
      <c r="G1284" s="5">
        <v>307.75</v>
      </c>
      <c r="H1284" s="5">
        <v>312.35000000000002</v>
      </c>
      <c r="I1284" s="5">
        <v>316.25</v>
      </c>
      <c r="J1284" s="5">
        <v>315.2</v>
      </c>
      <c r="K1284" s="5">
        <v>180767</v>
      </c>
      <c r="L1284" s="5">
        <v>569.78</v>
      </c>
      <c r="M1284" s="5">
        <v>4385</v>
      </c>
      <c r="N1284" s="5">
        <v>104268</v>
      </c>
      <c r="O1284" s="5">
        <v>57.68</v>
      </c>
      <c r="P1284" s="5">
        <f t="shared" si="100"/>
        <v>-1</v>
      </c>
      <c r="Q1284" s="6">
        <f t="shared" si="101"/>
        <v>-3.1520882584712374E-3</v>
      </c>
      <c r="R1284" s="5">
        <f t="shared" si="102"/>
        <v>19.100000000000023</v>
      </c>
      <c r="S1284" s="6">
        <f t="shared" si="103"/>
        <v>6.0204885736800703E-2</v>
      </c>
      <c r="T1284" s="6">
        <f t="shared" si="104"/>
        <v>3.3121722329561495E-3</v>
      </c>
    </row>
    <row r="1285" spans="1:20" hidden="1" x14ac:dyDescent="0.25">
      <c r="A1285" s="4" t="s">
        <v>1222</v>
      </c>
      <c r="B1285" s="5" t="s">
        <v>16</v>
      </c>
      <c r="C1285" s="5" t="s">
        <v>1823</v>
      </c>
      <c r="D1285" s="5">
        <v>4.5</v>
      </c>
      <c r="E1285" s="5">
        <v>4.55</v>
      </c>
      <c r="F1285" s="5">
        <v>4.5999999999999996</v>
      </c>
      <c r="G1285" s="5">
        <v>4.3</v>
      </c>
      <c r="H1285" s="5">
        <v>4.3499999999999996</v>
      </c>
      <c r="I1285" s="5">
        <v>4.4000000000000004</v>
      </c>
      <c r="J1285" s="5">
        <v>4.41</v>
      </c>
      <c r="K1285" s="5">
        <v>137815</v>
      </c>
      <c r="L1285" s="5">
        <v>6.08</v>
      </c>
      <c r="M1285" s="5">
        <v>379</v>
      </c>
      <c r="N1285" s="5">
        <v>97237</v>
      </c>
      <c r="O1285" s="5">
        <v>70.56</v>
      </c>
      <c r="P1285" s="5">
        <f t="shared" si="100"/>
        <v>-9.9999999999999645E-2</v>
      </c>
      <c r="Q1285" s="6">
        <f t="shared" si="101"/>
        <v>-2.2222222222222143E-2</v>
      </c>
      <c r="R1285" s="5">
        <f t="shared" si="102"/>
        <v>0.29999999999999982</v>
      </c>
      <c r="S1285" s="6">
        <f t="shared" si="103"/>
        <v>6.6666666666666624E-2</v>
      </c>
      <c r="T1285" s="6">
        <f t="shared" si="104"/>
        <v>-2.2408963585433695E-3</v>
      </c>
    </row>
    <row r="1286" spans="1:20" x14ac:dyDescent="0.25">
      <c r="A1286" s="4" t="s">
        <v>633</v>
      </c>
      <c r="B1286" s="5" t="s">
        <v>16</v>
      </c>
      <c r="C1286" s="5" t="s">
        <v>1823</v>
      </c>
      <c r="D1286" s="5">
        <v>2130</v>
      </c>
      <c r="E1286" s="5">
        <v>2127.0500000000002</v>
      </c>
      <c r="F1286" s="5">
        <v>2127.0500000000002</v>
      </c>
      <c r="G1286" s="5">
        <v>2050.25</v>
      </c>
      <c r="H1286" s="5">
        <v>2067.85</v>
      </c>
      <c r="I1286" s="5">
        <v>2069.9499999999998</v>
      </c>
      <c r="J1286" s="5">
        <v>2071.36</v>
      </c>
      <c r="K1286" s="5">
        <v>6966228</v>
      </c>
      <c r="L1286" s="5">
        <v>144295.44</v>
      </c>
      <c r="M1286" s="5">
        <v>218163</v>
      </c>
      <c r="N1286" s="5">
        <v>4029011</v>
      </c>
      <c r="O1286" s="5">
        <v>57.84</v>
      </c>
      <c r="P1286" s="5">
        <f t="shared" si="100"/>
        <v>-60.050000000000182</v>
      </c>
      <c r="Q1286" s="6">
        <f t="shared" si="101"/>
        <v>-2.8192488262910882E-2</v>
      </c>
      <c r="R1286" s="5">
        <f t="shared" si="102"/>
        <v>76.800000000000182</v>
      </c>
      <c r="S1286" s="6">
        <f t="shared" si="103"/>
        <v>3.6056338028169099E-2</v>
      </c>
      <c r="T1286" s="6">
        <f t="shared" si="104"/>
        <v>-6.734891274496062E-4</v>
      </c>
    </row>
    <row r="1287" spans="1:20" hidden="1" x14ac:dyDescent="0.25">
      <c r="A1287" s="4" t="s">
        <v>1224</v>
      </c>
      <c r="B1287" s="5" t="s">
        <v>39</v>
      </c>
      <c r="C1287" s="5" t="s">
        <v>1823</v>
      </c>
      <c r="D1287" s="5">
        <v>8.1999999999999993</v>
      </c>
      <c r="E1287" s="5">
        <v>8.1999999999999993</v>
      </c>
      <c r="F1287" s="5">
        <v>8.6</v>
      </c>
      <c r="G1287" s="5">
        <v>7.8</v>
      </c>
      <c r="H1287" s="5">
        <v>8.0500000000000007</v>
      </c>
      <c r="I1287" s="5">
        <v>8.5500000000000007</v>
      </c>
      <c r="J1287" s="5">
        <v>8.25</v>
      </c>
      <c r="K1287" s="5">
        <v>2205</v>
      </c>
      <c r="L1287" s="5">
        <v>0.18</v>
      </c>
      <c r="M1287" s="5">
        <v>30</v>
      </c>
      <c r="N1287" s="5" t="s">
        <v>25</v>
      </c>
      <c r="O1287" s="5" t="s">
        <v>25</v>
      </c>
      <c r="P1287" s="5">
        <f t="shared" si="100"/>
        <v>0.35000000000000142</v>
      </c>
      <c r="Q1287" s="6">
        <f t="shared" si="101"/>
        <v>4.2682926829268469E-2</v>
      </c>
      <c r="R1287" s="5">
        <f t="shared" si="102"/>
        <v>0.79999999999999982</v>
      </c>
      <c r="S1287" s="6">
        <f t="shared" si="103"/>
        <v>9.7560975609756087E-2</v>
      </c>
      <c r="T1287" s="6">
        <f t="shared" si="104"/>
        <v>3.6199095022624521E-2</v>
      </c>
    </row>
    <row r="1288" spans="1:20" hidden="1" x14ac:dyDescent="0.25">
      <c r="A1288" s="4" t="s">
        <v>1225</v>
      </c>
      <c r="B1288" s="5" t="s">
        <v>16</v>
      </c>
      <c r="C1288" s="5" t="s">
        <v>1823</v>
      </c>
      <c r="D1288" s="5">
        <v>256.25</v>
      </c>
      <c r="E1288" s="5">
        <v>256.25</v>
      </c>
      <c r="F1288" s="5">
        <v>259.64999999999998</v>
      </c>
      <c r="G1288" s="5">
        <v>254.5</v>
      </c>
      <c r="H1288" s="5">
        <v>258.45</v>
      </c>
      <c r="I1288" s="5">
        <v>258.5</v>
      </c>
      <c r="J1288" s="5">
        <v>257.45</v>
      </c>
      <c r="K1288" s="5">
        <v>7170881</v>
      </c>
      <c r="L1288" s="5">
        <v>18461.32</v>
      </c>
      <c r="M1288" s="5">
        <v>116001</v>
      </c>
      <c r="N1288" s="5">
        <v>3713492</v>
      </c>
      <c r="O1288" s="5">
        <v>51.79</v>
      </c>
      <c r="P1288" s="5">
        <f t="shared" si="100"/>
        <v>2.25</v>
      </c>
      <c r="Q1288" s="6">
        <f t="shared" si="101"/>
        <v>8.7804878048780496E-3</v>
      </c>
      <c r="R1288" s="5">
        <f t="shared" si="102"/>
        <v>5.1499999999999773</v>
      </c>
      <c r="S1288" s="6">
        <f t="shared" si="103"/>
        <v>2.0097560975609666E-2</v>
      </c>
      <c r="T1288" s="6">
        <f t="shared" si="104"/>
        <v>4.082029351734906E-3</v>
      </c>
    </row>
    <row r="1289" spans="1:20" x14ac:dyDescent="0.25">
      <c r="A1289" s="4" t="s">
        <v>256</v>
      </c>
      <c r="B1289" s="5" t="s">
        <v>16</v>
      </c>
      <c r="C1289" s="5" t="s">
        <v>1823</v>
      </c>
      <c r="D1289" s="5">
        <v>85.1</v>
      </c>
      <c r="E1289" s="5">
        <v>86</v>
      </c>
      <c r="F1289" s="5">
        <v>87</v>
      </c>
      <c r="G1289" s="5">
        <v>82.4</v>
      </c>
      <c r="H1289" s="5">
        <v>83.25</v>
      </c>
      <c r="I1289" s="5">
        <v>84.2</v>
      </c>
      <c r="J1289" s="5">
        <v>84.78</v>
      </c>
      <c r="K1289" s="5">
        <v>239513</v>
      </c>
      <c r="L1289" s="5">
        <v>203.07</v>
      </c>
      <c r="M1289" s="5">
        <v>3051</v>
      </c>
      <c r="N1289" s="5">
        <v>138623</v>
      </c>
      <c r="O1289" s="5">
        <v>57.88</v>
      </c>
      <c r="P1289" s="5">
        <f t="shared" si="100"/>
        <v>-0.89999999999999147</v>
      </c>
      <c r="Q1289" s="6">
        <f t="shared" si="101"/>
        <v>-1.0575793184488737E-2</v>
      </c>
      <c r="R1289" s="5">
        <f t="shared" si="102"/>
        <v>4.5999999999999943</v>
      </c>
      <c r="S1289" s="6">
        <f t="shared" si="103"/>
        <v>5.4054054054053988E-2</v>
      </c>
      <c r="T1289" s="6">
        <f t="shared" si="104"/>
        <v>-6.831566548881016E-3</v>
      </c>
    </row>
    <row r="1290" spans="1:20" hidden="1" x14ac:dyDescent="0.25">
      <c r="A1290" s="4" t="s">
        <v>1226</v>
      </c>
      <c r="B1290" s="5" t="s">
        <v>254</v>
      </c>
      <c r="C1290" s="5" t="s">
        <v>1823</v>
      </c>
      <c r="D1290" s="5">
        <v>1240</v>
      </c>
      <c r="E1290" s="5">
        <v>1240</v>
      </c>
      <c r="F1290" s="5">
        <v>1240</v>
      </c>
      <c r="G1290" s="5">
        <v>1240</v>
      </c>
      <c r="H1290" s="5">
        <v>1240</v>
      </c>
      <c r="I1290" s="5">
        <v>1240</v>
      </c>
      <c r="J1290" s="5">
        <v>1240</v>
      </c>
      <c r="K1290" s="5">
        <v>9</v>
      </c>
      <c r="L1290" s="5">
        <v>0.11</v>
      </c>
      <c r="M1290" s="5">
        <v>1</v>
      </c>
      <c r="N1290" s="5">
        <v>9</v>
      </c>
      <c r="O1290" s="5">
        <v>100</v>
      </c>
      <c r="P1290" s="5">
        <f t="shared" si="100"/>
        <v>0</v>
      </c>
      <c r="Q1290" s="6">
        <f t="shared" si="101"/>
        <v>0</v>
      </c>
      <c r="R1290" s="5">
        <f t="shared" si="102"/>
        <v>0</v>
      </c>
      <c r="S1290" s="6">
        <f t="shared" si="103"/>
        <v>0</v>
      </c>
      <c r="T1290" s="6">
        <f t="shared" si="104"/>
        <v>0</v>
      </c>
    </row>
    <row r="1291" spans="1:20" hidden="1" x14ac:dyDescent="0.25">
      <c r="A1291" s="4" t="s">
        <v>1226</v>
      </c>
      <c r="B1291" s="5" t="s">
        <v>395</v>
      </c>
      <c r="C1291" s="5" t="s">
        <v>1823</v>
      </c>
      <c r="D1291" s="5">
        <v>1133.1400000000001</v>
      </c>
      <c r="E1291" s="5">
        <v>1135</v>
      </c>
      <c r="F1291" s="5">
        <v>1135</v>
      </c>
      <c r="G1291" s="5">
        <v>1134</v>
      </c>
      <c r="H1291" s="5">
        <v>1134.01</v>
      </c>
      <c r="I1291" s="5">
        <v>1134.01</v>
      </c>
      <c r="J1291" s="5">
        <v>1134.3800000000001</v>
      </c>
      <c r="K1291" s="5">
        <v>2726</v>
      </c>
      <c r="L1291" s="5">
        <v>30.92</v>
      </c>
      <c r="M1291" s="5">
        <v>14</v>
      </c>
      <c r="N1291" s="5">
        <v>2726</v>
      </c>
      <c r="O1291" s="5">
        <v>100</v>
      </c>
      <c r="P1291" s="5">
        <f t="shared" si="100"/>
        <v>0.86999999999989086</v>
      </c>
      <c r="Q1291" s="6">
        <f t="shared" si="101"/>
        <v>7.677780327231329E-4</v>
      </c>
      <c r="R1291" s="5">
        <f t="shared" si="102"/>
        <v>1</v>
      </c>
      <c r="S1291" s="6">
        <f t="shared" si="103"/>
        <v>8.8250348588876919E-4</v>
      </c>
      <c r="T1291" s="6">
        <f t="shared" si="104"/>
        <v>-3.2613414249868836E-4</v>
      </c>
    </row>
    <row r="1292" spans="1:20" hidden="1" x14ac:dyDescent="0.25">
      <c r="A1292" s="4" t="s">
        <v>1226</v>
      </c>
      <c r="B1292" s="5" t="s">
        <v>694</v>
      </c>
      <c r="C1292" s="5" t="s">
        <v>1823</v>
      </c>
      <c r="D1292" s="5">
        <v>1369.2</v>
      </c>
      <c r="E1292" s="5">
        <v>1367.25</v>
      </c>
      <c r="F1292" s="5">
        <v>1375.01</v>
      </c>
      <c r="G1292" s="5">
        <v>1367.25</v>
      </c>
      <c r="H1292" s="5">
        <v>1375.01</v>
      </c>
      <c r="I1292" s="5">
        <v>1374.97</v>
      </c>
      <c r="J1292" s="5">
        <v>1369.87</v>
      </c>
      <c r="K1292" s="5">
        <v>210</v>
      </c>
      <c r="L1292" s="5">
        <v>2.88</v>
      </c>
      <c r="M1292" s="5">
        <v>20</v>
      </c>
      <c r="N1292" s="5">
        <v>125</v>
      </c>
      <c r="O1292" s="5">
        <v>59.52</v>
      </c>
      <c r="P1292" s="5">
        <f t="shared" ref="P1292:P1355" si="105">I1292-D1292</f>
        <v>5.7699999999999818</v>
      </c>
      <c r="Q1292" s="6">
        <f t="shared" ref="Q1292:Q1355" si="106">P1292/D1292</f>
        <v>4.2141396435874832E-3</v>
      </c>
      <c r="R1292" s="5">
        <f t="shared" ref="R1292:R1355" si="107">ABS(F1292-G1292)</f>
        <v>7.7599999999999909</v>
      </c>
      <c r="S1292" s="6">
        <f t="shared" ref="S1292:S1355" si="108">R1292/D1292</f>
        <v>5.6675430908559674E-3</v>
      </c>
      <c r="T1292" s="6">
        <f t="shared" ref="T1292:T1355" si="109">(I1292-J1292)/AVERAGE(E1292:G1292,I1292)</f>
        <v>3.7195869070541865E-3</v>
      </c>
    </row>
    <row r="1293" spans="1:20" hidden="1" x14ac:dyDescent="0.25">
      <c r="A1293" s="4" t="s">
        <v>1227</v>
      </c>
      <c r="B1293" s="5" t="s">
        <v>16</v>
      </c>
      <c r="C1293" s="5" t="s">
        <v>1823</v>
      </c>
      <c r="D1293" s="5">
        <v>3362.9</v>
      </c>
      <c r="E1293" s="5">
        <v>3384.75</v>
      </c>
      <c r="F1293" s="5">
        <v>3397</v>
      </c>
      <c r="G1293" s="5">
        <v>3305.25</v>
      </c>
      <c r="H1293" s="5">
        <v>3322.1</v>
      </c>
      <c r="I1293" s="5">
        <v>3321.45</v>
      </c>
      <c r="J1293" s="5">
        <v>3327.41</v>
      </c>
      <c r="K1293" s="5">
        <v>49540</v>
      </c>
      <c r="L1293" s="5">
        <v>1648.4</v>
      </c>
      <c r="M1293" s="5">
        <v>5510</v>
      </c>
      <c r="N1293" s="5">
        <v>36120</v>
      </c>
      <c r="O1293" s="5">
        <v>72.91</v>
      </c>
      <c r="P1293" s="5">
        <f t="shared" si="105"/>
        <v>-41.450000000000273</v>
      </c>
      <c r="Q1293" s="6">
        <f t="shared" si="106"/>
        <v>-1.2325671295608038E-2</v>
      </c>
      <c r="R1293" s="5">
        <f t="shared" si="107"/>
        <v>91.75</v>
      </c>
      <c r="S1293" s="6">
        <f t="shared" si="108"/>
        <v>2.7282999791846323E-2</v>
      </c>
      <c r="T1293" s="6">
        <f t="shared" si="109"/>
        <v>-1.7779832866587969E-3</v>
      </c>
    </row>
    <row r="1294" spans="1:20" hidden="1" x14ac:dyDescent="0.25">
      <c r="A1294" s="4" t="s">
        <v>1228</v>
      </c>
      <c r="B1294" s="5" t="s">
        <v>16</v>
      </c>
      <c r="C1294" s="5" t="s">
        <v>1823</v>
      </c>
      <c r="D1294" s="5">
        <v>45.9</v>
      </c>
      <c r="E1294" s="5">
        <v>45.5</v>
      </c>
      <c r="F1294" s="5">
        <v>47.7</v>
      </c>
      <c r="G1294" s="5">
        <v>43.4</v>
      </c>
      <c r="H1294" s="5">
        <v>44</v>
      </c>
      <c r="I1294" s="5">
        <v>44.05</v>
      </c>
      <c r="J1294" s="5">
        <v>45.46</v>
      </c>
      <c r="K1294" s="5">
        <v>7611</v>
      </c>
      <c r="L1294" s="5">
        <v>3.46</v>
      </c>
      <c r="M1294" s="5">
        <v>166</v>
      </c>
      <c r="N1294" s="5">
        <v>5944</v>
      </c>
      <c r="O1294" s="5">
        <v>78.099999999999994</v>
      </c>
      <c r="P1294" s="5">
        <f t="shared" si="105"/>
        <v>-1.8500000000000014</v>
      </c>
      <c r="Q1294" s="6">
        <f t="shared" si="106"/>
        <v>-4.0305010893246222E-2</v>
      </c>
      <c r="R1294" s="5">
        <f t="shared" si="107"/>
        <v>4.3000000000000043</v>
      </c>
      <c r="S1294" s="6">
        <f t="shared" si="108"/>
        <v>9.3681917211329069E-2</v>
      </c>
      <c r="T1294" s="6">
        <f t="shared" si="109"/>
        <v>-3.122059230556333E-2</v>
      </c>
    </row>
    <row r="1295" spans="1:20" x14ac:dyDescent="0.25">
      <c r="A1295" s="4" t="s">
        <v>1815</v>
      </c>
      <c r="B1295" s="5" t="s">
        <v>16</v>
      </c>
      <c r="C1295" s="5" t="s">
        <v>1823</v>
      </c>
      <c r="D1295" s="5">
        <v>105</v>
      </c>
      <c r="E1295" s="5">
        <v>104</v>
      </c>
      <c r="F1295" s="5">
        <v>106.5</v>
      </c>
      <c r="G1295" s="5">
        <v>98.65</v>
      </c>
      <c r="H1295" s="5">
        <v>99.15</v>
      </c>
      <c r="I1295" s="5">
        <v>99.6</v>
      </c>
      <c r="J1295" s="5">
        <v>102.18</v>
      </c>
      <c r="K1295" s="5">
        <v>110812</v>
      </c>
      <c r="L1295" s="5">
        <v>113.23</v>
      </c>
      <c r="M1295" s="5">
        <v>2362</v>
      </c>
      <c r="N1295" s="5">
        <v>64299</v>
      </c>
      <c r="O1295" s="5">
        <v>58.03</v>
      </c>
      <c r="P1295" s="5">
        <f t="shared" si="105"/>
        <v>-5.4000000000000057</v>
      </c>
      <c r="Q1295" s="6">
        <f t="shared" si="106"/>
        <v>-5.1428571428571483E-2</v>
      </c>
      <c r="R1295" s="5">
        <f t="shared" si="107"/>
        <v>7.8499999999999943</v>
      </c>
      <c r="S1295" s="6">
        <f t="shared" si="108"/>
        <v>7.476190476190471E-2</v>
      </c>
      <c r="T1295" s="6">
        <f t="shared" si="109"/>
        <v>-2.524770642201847E-2</v>
      </c>
    </row>
    <row r="1296" spans="1:20" hidden="1" x14ac:dyDescent="0.25">
      <c r="A1296" s="4" t="s">
        <v>1230</v>
      </c>
      <c r="B1296" s="5" t="s">
        <v>16</v>
      </c>
      <c r="C1296" s="5" t="s">
        <v>1823</v>
      </c>
      <c r="D1296" s="5">
        <v>51.15</v>
      </c>
      <c r="E1296" s="5">
        <v>51.95</v>
      </c>
      <c r="F1296" s="5">
        <v>52</v>
      </c>
      <c r="G1296" s="5">
        <v>47.35</v>
      </c>
      <c r="H1296" s="5">
        <v>48.75</v>
      </c>
      <c r="I1296" s="5">
        <v>48.8</v>
      </c>
      <c r="J1296" s="5">
        <v>49.32</v>
      </c>
      <c r="K1296" s="5">
        <v>79278</v>
      </c>
      <c r="L1296" s="5">
        <v>39.1</v>
      </c>
      <c r="M1296" s="5">
        <v>1073</v>
      </c>
      <c r="N1296" s="5">
        <v>49504</v>
      </c>
      <c r="O1296" s="5">
        <v>62.44</v>
      </c>
      <c r="P1296" s="5">
        <f t="shared" si="105"/>
        <v>-2.3500000000000014</v>
      </c>
      <c r="Q1296" s="6">
        <f t="shared" si="106"/>
        <v>-4.5943304007820165E-2</v>
      </c>
      <c r="R1296" s="5">
        <f t="shared" si="107"/>
        <v>4.6499999999999986</v>
      </c>
      <c r="S1296" s="6">
        <f t="shared" si="108"/>
        <v>9.0909090909090884E-2</v>
      </c>
      <c r="T1296" s="6">
        <f t="shared" si="109"/>
        <v>-1.039480259870071E-2</v>
      </c>
    </row>
    <row r="1297" spans="1:20" hidden="1" x14ac:dyDescent="0.25">
      <c r="A1297" s="4" t="s">
        <v>1231</v>
      </c>
      <c r="B1297" s="5" t="s">
        <v>16</v>
      </c>
      <c r="C1297" s="5" t="s">
        <v>1823</v>
      </c>
      <c r="D1297" s="5">
        <v>11790.65</v>
      </c>
      <c r="E1297" s="5">
        <v>11789.95</v>
      </c>
      <c r="F1297" s="5">
        <v>11901</v>
      </c>
      <c r="G1297" s="5">
        <v>11361</v>
      </c>
      <c r="H1297" s="5">
        <v>11561</v>
      </c>
      <c r="I1297" s="5">
        <v>11578.95</v>
      </c>
      <c r="J1297" s="5">
        <v>11624.52</v>
      </c>
      <c r="K1297" s="5">
        <v>5933</v>
      </c>
      <c r="L1297" s="5">
        <v>689.68</v>
      </c>
      <c r="M1297" s="5">
        <v>1848</v>
      </c>
      <c r="N1297" s="5">
        <v>3738</v>
      </c>
      <c r="O1297" s="5">
        <v>63</v>
      </c>
      <c r="P1297" s="5">
        <f t="shared" si="105"/>
        <v>-211.69999999999891</v>
      </c>
      <c r="Q1297" s="6">
        <f t="shared" si="106"/>
        <v>-1.7954904945868034E-2</v>
      </c>
      <c r="R1297" s="5">
        <f t="shared" si="107"/>
        <v>540</v>
      </c>
      <c r="S1297" s="6">
        <f t="shared" si="108"/>
        <v>4.5799001751387756E-2</v>
      </c>
      <c r="T1297" s="6">
        <f t="shared" si="109"/>
        <v>-3.9089959661940659E-3</v>
      </c>
    </row>
    <row r="1298" spans="1:20" hidden="1" x14ac:dyDescent="0.25">
      <c r="A1298" s="4" t="s">
        <v>1232</v>
      </c>
      <c r="B1298" s="5" t="s">
        <v>16</v>
      </c>
      <c r="C1298" s="5" t="s">
        <v>1823</v>
      </c>
      <c r="D1298" s="5">
        <v>4634.8999999999996</v>
      </c>
      <c r="E1298" s="5">
        <v>4633.6499999999996</v>
      </c>
      <c r="F1298" s="5">
        <v>4669</v>
      </c>
      <c r="G1298" s="5">
        <v>4550.1000000000004</v>
      </c>
      <c r="H1298" s="5">
        <v>4633</v>
      </c>
      <c r="I1298" s="5">
        <v>4635.6000000000004</v>
      </c>
      <c r="J1298" s="5">
        <v>4601.2</v>
      </c>
      <c r="K1298" s="5">
        <v>8240</v>
      </c>
      <c r="L1298" s="5">
        <v>379.14</v>
      </c>
      <c r="M1298" s="5">
        <v>1851</v>
      </c>
      <c r="N1298" s="5">
        <v>3492</v>
      </c>
      <c r="O1298" s="5">
        <v>42.38</v>
      </c>
      <c r="P1298" s="5">
        <f t="shared" si="105"/>
        <v>0.7000000000007276</v>
      </c>
      <c r="Q1298" s="6">
        <f t="shared" si="106"/>
        <v>1.5102806964567255E-4</v>
      </c>
      <c r="R1298" s="5">
        <f t="shared" si="107"/>
        <v>118.89999999999964</v>
      </c>
      <c r="S1298" s="6">
        <f t="shared" si="108"/>
        <v>2.5653196401216778E-2</v>
      </c>
      <c r="T1298" s="6">
        <f t="shared" si="109"/>
        <v>7.4425246168534345E-3</v>
      </c>
    </row>
    <row r="1299" spans="1:20" hidden="1" x14ac:dyDescent="0.25">
      <c r="A1299" s="4" t="s">
        <v>1233</v>
      </c>
      <c r="B1299" s="5" t="s">
        <v>16</v>
      </c>
      <c r="C1299" s="5" t="s">
        <v>1823</v>
      </c>
      <c r="D1299" s="5">
        <v>145.85</v>
      </c>
      <c r="E1299" s="5">
        <v>150</v>
      </c>
      <c r="F1299" s="5">
        <v>159.9</v>
      </c>
      <c r="G1299" s="5">
        <v>146.94999999999999</v>
      </c>
      <c r="H1299" s="5">
        <v>153.30000000000001</v>
      </c>
      <c r="I1299" s="5">
        <v>153.44999999999999</v>
      </c>
      <c r="J1299" s="5">
        <v>155.06</v>
      </c>
      <c r="K1299" s="5">
        <v>14595</v>
      </c>
      <c r="L1299" s="5">
        <v>22.63</v>
      </c>
      <c r="M1299" s="5">
        <v>597</v>
      </c>
      <c r="N1299" s="5">
        <v>10259</v>
      </c>
      <c r="O1299" s="5">
        <v>70.290000000000006</v>
      </c>
      <c r="P1299" s="5">
        <f t="shared" si="105"/>
        <v>7.5999999999999943</v>
      </c>
      <c r="Q1299" s="6">
        <f t="shared" si="106"/>
        <v>5.2108330476516931E-2</v>
      </c>
      <c r="R1299" s="5">
        <f t="shared" si="107"/>
        <v>12.950000000000017</v>
      </c>
      <c r="S1299" s="6">
        <f t="shared" si="108"/>
        <v>8.878985258827575E-2</v>
      </c>
      <c r="T1299" s="6">
        <f t="shared" si="109"/>
        <v>-1.0552187448795764E-2</v>
      </c>
    </row>
    <row r="1300" spans="1:20" x14ac:dyDescent="0.25">
      <c r="A1300" s="4" t="s">
        <v>776</v>
      </c>
      <c r="B1300" s="5" t="s">
        <v>16</v>
      </c>
      <c r="C1300" s="5" t="s">
        <v>1823</v>
      </c>
      <c r="D1300" s="5">
        <v>257.64999999999998</v>
      </c>
      <c r="E1300" s="5">
        <v>256.75</v>
      </c>
      <c r="F1300" s="5">
        <v>259.35000000000002</v>
      </c>
      <c r="G1300" s="5">
        <v>251.55</v>
      </c>
      <c r="H1300" s="5">
        <v>258.35000000000002</v>
      </c>
      <c r="I1300" s="5">
        <v>257.35000000000002</v>
      </c>
      <c r="J1300" s="5">
        <v>256.07</v>
      </c>
      <c r="K1300" s="5">
        <v>4004448</v>
      </c>
      <c r="L1300" s="5">
        <v>10254.219999999999</v>
      </c>
      <c r="M1300" s="5">
        <v>61063</v>
      </c>
      <c r="N1300" s="5">
        <v>2324838</v>
      </c>
      <c r="O1300" s="5">
        <v>58.06</v>
      </c>
      <c r="P1300" s="5">
        <f t="shared" si="105"/>
        <v>-0.29999999999995453</v>
      </c>
      <c r="Q1300" s="6">
        <f t="shared" si="106"/>
        <v>-1.1643702697456027E-3</v>
      </c>
      <c r="R1300" s="5">
        <f t="shared" si="107"/>
        <v>7.8000000000000114</v>
      </c>
      <c r="S1300" s="6">
        <f t="shared" si="108"/>
        <v>3.0273627013390304E-2</v>
      </c>
      <c r="T1300" s="6">
        <f t="shared" si="109"/>
        <v>4.9951219512196273E-3</v>
      </c>
    </row>
    <row r="1301" spans="1:20" hidden="1" x14ac:dyDescent="0.25">
      <c r="A1301" s="4" t="s">
        <v>1235</v>
      </c>
      <c r="B1301" s="5" t="s">
        <v>16</v>
      </c>
      <c r="C1301" s="5" t="s">
        <v>1823</v>
      </c>
      <c r="D1301" s="5">
        <v>710.95</v>
      </c>
      <c r="E1301" s="5">
        <v>721.95</v>
      </c>
      <c r="F1301" s="5">
        <v>728.2</v>
      </c>
      <c r="G1301" s="5">
        <v>710.05</v>
      </c>
      <c r="H1301" s="5">
        <v>715.25</v>
      </c>
      <c r="I1301" s="5">
        <v>717.65</v>
      </c>
      <c r="J1301" s="5">
        <v>717.67</v>
      </c>
      <c r="K1301" s="5">
        <v>119391</v>
      </c>
      <c r="L1301" s="5">
        <v>856.83</v>
      </c>
      <c r="M1301" s="5">
        <v>3130</v>
      </c>
      <c r="N1301" s="5">
        <v>103655</v>
      </c>
      <c r="O1301" s="5">
        <v>86.82</v>
      </c>
      <c r="P1301" s="5">
        <f t="shared" si="105"/>
        <v>6.6999999999999318</v>
      </c>
      <c r="Q1301" s="6">
        <f t="shared" si="106"/>
        <v>9.4240101272943678E-3</v>
      </c>
      <c r="R1301" s="5">
        <f t="shared" si="107"/>
        <v>18.150000000000091</v>
      </c>
      <c r="S1301" s="6">
        <f t="shared" si="108"/>
        <v>2.5529221464238118E-2</v>
      </c>
      <c r="T1301" s="6">
        <f t="shared" si="109"/>
        <v>-2.7798530152692895E-5</v>
      </c>
    </row>
    <row r="1302" spans="1:20" x14ac:dyDescent="0.25">
      <c r="A1302" s="4" t="s">
        <v>375</v>
      </c>
      <c r="B1302" s="5" t="s">
        <v>16</v>
      </c>
      <c r="C1302" s="5" t="s">
        <v>1823</v>
      </c>
      <c r="D1302" s="5">
        <v>210.35</v>
      </c>
      <c r="E1302" s="5">
        <v>210.35</v>
      </c>
      <c r="F1302" s="5">
        <v>211.2</v>
      </c>
      <c r="G1302" s="5">
        <v>204</v>
      </c>
      <c r="H1302" s="5">
        <v>209.35</v>
      </c>
      <c r="I1302" s="5">
        <v>209.95</v>
      </c>
      <c r="J1302" s="5">
        <v>208.77</v>
      </c>
      <c r="K1302" s="5">
        <v>451323</v>
      </c>
      <c r="L1302" s="5">
        <v>942.2</v>
      </c>
      <c r="M1302" s="5">
        <v>7200</v>
      </c>
      <c r="N1302" s="5">
        <v>262357</v>
      </c>
      <c r="O1302" s="5">
        <v>58.13</v>
      </c>
      <c r="P1302" s="5">
        <f t="shared" si="105"/>
        <v>-0.40000000000000568</v>
      </c>
      <c r="Q1302" s="6">
        <f t="shared" si="106"/>
        <v>-1.9015925837889503E-3</v>
      </c>
      <c r="R1302" s="5">
        <f t="shared" si="107"/>
        <v>7.1999999999999886</v>
      </c>
      <c r="S1302" s="6">
        <f t="shared" si="108"/>
        <v>3.4228666508200563E-2</v>
      </c>
      <c r="T1302" s="6">
        <f t="shared" si="109"/>
        <v>5.6493117893475922E-3</v>
      </c>
    </row>
    <row r="1303" spans="1:20" x14ac:dyDescent="0.25">
      <c r="A1303" s="4" t="s">
        <v>1052</v>
      </c>
      <c r="B1303" s="5" t="s">
        <v>16</v>
      </c>
      <c r="C1303" s="5" t="s">
        <v>1823</v>
      </c>
      <c r="D1303" s="5">
        <v>130.4</v>
      </c>
      <c r="E1303" s="5">
        <v>129.6</v>
      </c>
      <c r="F1303" s="5">
        <v>136.44999999999999</v>
      </c>
      <c r="G1303" s="5">
        <v>129.1</v>
      </c>
      <c r="H1303" s="5">
        <v>129.5</v>
      </c>
      <c r="I1303" s="5">
        <v>130.05000000000001</v>
      </c>
      <c r="J1303" s="5">
        <v>133.26</v>
      </c>
      <c r="K1303" s="5">
        <v>202657</v>
      </c>
      <c r="L1303" s="5">
        <v>270.05</v>
      </c>
      <c r="M1303" s="5">
        <v>2446</v>
      </c>
      <c r="N1303" s="5">
        <v>118079</v>
      </c>
      <c r="O1303" s="5">
        <v>58.27</v>
      </c>
      <c r="P1303" s="5">
        <f t="shared" si="105"/>
        <v>-0.34999999999999432</v>
      </c>
      <c r="Q1303" s="6">
        <f t="shared" si="106"/>
        <v>-2.6840490797545575E-3</v>
      </c>
      <c r="R1303" s="5">
        <f t="shared" si="107"/>
        <v>7.3499999999999943</v>
      </c>
      <c r="S1303" s="6">
        <f t="shared" si="108"/>
        <v>5.6365030674846578E-2</v>
      </c>
      <c r="T1303" s="6">
        <f t="shared" si="109"/>
        <v>-2.4447829398324291E-2</v>
      </c>
    </row>
    <row r="1304" spans="1:20" hidden="1" x14ac:dyDescent="0.25">
      <c r="A1304" s="4" t="s">
        <v>1238</v>
      </c>
      <c r="B1304" s="5" t="s">
        <v>16</v>
      </c>
      <c r="C1304" s="5" t="s">
        <v>1823</v>
      </c>
      <c r="D1304" s="5">
        <v>2003.95</v>
      </c>
      <c r="E1304" s="5">
        <v>2048.9</v>
      </c>
      <c r="F1304" s="5">
        <v>2050</v>
      </c>
      <c r="G1304" s="5">
        <v>1925</v>
      </c>
      <c r="H1304" s="5">
        <v>1979.8</v>
      </c>
      <c r="I1304" s="5">
        <v>1975.1</v>
      </c>
      <c r="J1304" s="5">
        <v>1985.31</v>
      </c>
      <c r="K1304" s="5">
        <v>2338</v>
      </c>
      <c r="L1304" s="5">
        <v>46.42</v>
      </c>
      <c r="M1304" s="5">
        <v>142</v>
      </c>
      <c r="N1304" s="5">
        <v>166</v>
      </c>
      <c r="O1304" s="5">
        <v>7.1</v>
      </c>
      <c r="P1304" s="5">
        <f t="shared" si="105"/>
        <v>-28.850000000000136</v>
      </c>
      <c r="Q1304" s="6">
        <f t="shared" si="106"/>
        <v>-1.4396566780608366E-2</v>
      </c>
      <c r="R1304" s="5">
        <f t="shared" si="107"/>
        <v>125</v>
      </c>
      <c r="S1304" s="6">
        <f t="shared" si="108"/>
        <v>6.2376805808528155E-2</v>
      </c>
      <c r="T1304" s="6">
        <f t="shared" si="109"/>
        <v>-5.1056382047756149E-3</v>
      </c>
    </row>
    <row r="1305" spans="1:20" hidden="1" x14ac:dyDescent="0.25">
      <c r="A1305" s="4" t="s">
        <v>1239</v>
      </c>
      <c r="B1305" s="5" t="s">
        <v>16</v>
      </c>
      <c r="C1305" s="5" t="s">
        <v>1823</v>
      </c>
      <c r="D1305" s="5">
        <v>5.7</v>
      </c>
      <c r="E1305" s="5">
        <v>5.8</v>
      </c>
      <c r="F1305" s="5">
        <v>5.8</v>
      </c>
      <c r="G1305" s="5">
        <v>5.45</v>
      </c>
      <c r="H1305" s="5">
        <v>5.45</v>
      </c>
      <c r="I1305" s="5">
        <v>5.45</v>
      </c>
      <c r="J1305" s="5">
        <v>5.59</v>
      </c>
      <c r="K1305" s="5">
        <v>9941</v>
      </c>
      <c r="L1305" s="5">
        <v>0.56000000000000005</v>
      </c>
      <c r="M1305" s="5">
        <v>35</v>
      </c>
      <c r="N1305" s="5">
        <v>7646</v>
      </c>
      <c r="O1305" s="5">
        <v>76.91</v>
      </c>
      <c r="P1305" s="5">
        <f t="shared" si="105"/>
        <v>-0.25</v>
      </c>
      <c r="Q1305" s="6">
        <f t="shared" si="106"/>
        <v>-4.3859649122807015E-2</v>
      </c>
      <c r="R1305" s="5">
        <f t="shared" si="107"/>
        <v>0.34999999999999964</v>
      </c>
      <c r="S1305" s="6">
        <f t="shared" si="108"/>
        <v>6.1403508771929759E-2</v>
      </c>
      <c r="T1305" s="6">
        <f t="shared" si="109"/>
        <v>-2.4888888888888832E-2</v>
      </c>
    </row>
    <row r="1306" spans="1:20" hidden="1" x14ac:dyDescent="0.25">
      <c r="A1306" s="4" t="s">
        <v>1240</v>
      </c>
      <c r="B1306" s="5" t="s">
        <v>16</v>
      </c>
      <c r="C1306" s="5" t="s">
        <v>1823</v>
      </c>
      <c r="D1306" s="5">
        <v>127.4</v>
      </c>
      <c r="E1306" s="5">
        <v>125.5</v>
      </c>
      <c r="F1306" s="5">
        <v>131.1</v>
      </c>
      <c r="G1306" s="5">
        <v>121.4</v>
      </c>
      <c r="H1306" s="5">
        <v>128.44999999999999</v>
      </c>
      <c r="I1306" s="5">
        <v>129.94999999999999</v>
      </c>
      <c r="J1306" s="5">
        <v>127.27</v>
      </c>
      <c r="K1306" s="5">
        <v>21545</v>
      </c>
      <c r="L1306" s="5">
        <v>27.42</v>
      </c>
      <c r="M1306" s="5">
        <v>365</v>
      </c>
      <c r="N1306" s="5">
        <v>11942</v>
      </c>
      <c r="O1306" s="5">
        <v>55.43</v>
      </c>
      <c r="P1306" s="5">
        <f t="shared" si="105"/>
        <v>2.5499999999999829</v>
      </c>
      <c r="Q1306" s="6">
        <f t="shared" si="106"/>
        <v>2.0015698587127023E-2</v>
      </c>
      <c r="R1306" s="5">
        <f t="shared" si="107"/>
        <v>9.6999999999999886</v>
      </c>
      <c r="S1306" s="6">
        <f t="shared" si="108"/>
        <v>7.6138147566718897E-2</v>
      </c>
      <c r="T1306" s="6">
        <f t="shared" si="109"/>
        <v>2.1104439413328027E-2</v>
      </c>
    </row>
    <row r="1307" spans="1:20" hidden="1" x14ac:dyDescent="0.25">
      <c r="A1307" s="4" t="s">
        <v>1241</v>
      </c>
      <c r="B1307" s="5" t="s">
        <v>16</v>
      </c>
      <c r="C1307" s="5" t="s">
        <v>1823</v>
      </c>
      <c r="D1307" s="5">
        <v>23.2</v>
      </c>
      <c r="E1307" s="5">
        <v>23.1</v>
      </c>
      <c r="F1307" s="5">
        <v>23.95</v>
      </c>
      <c r="G1307" s="5">
        <v>22.5</v>
      </c>
      <c r="H1307" s="5">
        <v>23.65</v>
      </c>
      <c r="I1307" s="5">
        <v>23.1</v>
      </c>
      <c r="J1307" s="5">
        <v>23.22</v>
      </c>
      <c r="K1307" s="5">
        <v>5089</v>
      </c>
      <c r="L1307" s="5">
        <v>1.18</v>
      </c>
      <c r="M1307" s="5">
        <v>50</v>
      </c>
      <c r="N1307" s="5">
        <v>3525</v>
      </c>
      <c r="O1307" s="5">
        <v>69.27</v>
      </c>
      <c r="P1307" s="5">
        <f t="shared" si="105"/>
        <v>-9.9999999999997868E-2</v>
      </c>
      <c r="Q1307" s="6">
        <f t="shared" si="106"/>
        <v>-4.3103448275861149E-3</v>
      </c>
      <c r="R1307" s="5">
        <f t="shared" si="107"/>
        <v>1.4499999999999993</v>
      </c>
      <c r="S1307" s="6">
        <f t="shared" si="108"/>
        <v>6.2499999999999972E-2</v>
      </c>
      <c r="T1307" s="6">
        <f t="shared" si="109"/>
        <v>-5.1807879114947625E-3</v>
      </c>
    </row>
    <row r="1308" spans="1:20" hidden="1" x14ac:dyDescent="0.25">
      <c r="A1308" s="4" t="s">
        <v>1242</v>
      </c>
      <c r="B1308" s="5" t="s">
        <v>39</v>
      </c>
      <c r="C1308" s="5" t="s">
        <v>1823</v>
      </c>
      <c r="D1308" s="5">
        <v>24.1</v>
      </c>
      <c r="E1308" s="5">
        <v>24.1</v>
      </c>
      <c r="F1308" s="5">
        <v>25.25</v>
      </c>
      <c r="G1308" s="5">
        <v>24.1</v>
      </c>
      <c r="H1308" s="5">
        <v>24.15</v>
      </c>
      <c r="I1308" s="5">
        <v>24.15</v>
      </c>
      <c r="J1308" s="5">
        <v>24.68</v>
      </c>
      <c r="K1308" s="5">
        <v>1051</v>
      </c>
      <c r="L1308" s="5">
        <v>0.26</v>
      </c>
      <c r="M1308" s="5">
        <v>10</v>
      </c>
      <c r="N1308" s="5" t="s">
        <v>25</v>
      </c>
      <c r="O1308" s="5" t="s">
        <v>25</v>
      </c>
      <c r="P1308" s="5">
        <f t="shared" si="105"/>
        <v>4.9999999999997158E-2</v>
      </c>
      <c r="Q1308" s="6">
        <f t="shared" si="106"/>
        <v>2.07468879668038E-3</v>
      </c>
      <c r="R1308" s="5">
        <f t="shared" si="107"/>
        <v>1.1499999999999986</v>
      </c>
      <c r="S1308" s="6">
        <f t="shared" si="108"/>
        <v>4.7717842323651394E-2</v>
      </c>
      <c r="T1308" s="6">
        <f t="shared" si="109"/>
        <v>-2.1721311475409885E-2</v>
      </c>
    </row>
    <row r="1309" spans="1:20" hidden="1" x14ac:dyDescent="0.25">
      <c r="A1309" s="4" t="s">
        <v>1243</v>
      </c>
      <c r="B1309" s="5" t="s">
        <v>16</v>
      </c>
      <c r="C1309" s="5" t="s">
        <v>1823</v>
      </c>
      <c r="D1309" s="5">
        <v>45.9</v>
      </c>
      <c r="E1309" s="5">
        <v>46.75</v>
      </c>
      <c r="F1309" s="5">
        <v>46.75</v>
      </c>
      <c r="G1309" s="5">
        <v>43</v>
      </c>
      <c r="H1309" s="5">
        <v>44.25</v>
      </c>
      <c r="I1309" s="5">
        <v>43.8</v>
      </c>
      <c r="J1309" s="5">
        <v>44.91</v>
      </c>
      <c r="K1309" s="5">
        <v>34166</v>
      </c>
      <c r="L1309" s="5">
        <v>15.34</v>
      </c>
      <c r="M1309" s="5">
        <v>474</v>
      </c>
      <c r="N1309" s="5">
        <v>28883</v>
      </c>
      <c r="O1309" s="5">
        <v>84.54</v>
      </c>
      <c r="P1309" s="5">
        <f t="shared" si="105"/>
        <v>-2.1000000000000014</v>
      </c>
      <c r="Q1309" s="6">
        <f t="shared" si="106"/>
        <v>-4.5751633986928136E-2</v>
      </c>
      <c r="R1309" s="5">
        <f t="shared" si="107"/>
        <v>3.75</v>
      </c>
      <c r="S1309" s="6">
        <f t="shared" si="108"/>
        <v>8.1699346405228759E-2</v>
      </c>
      <c r="T1309" s="6">
        <f t="shared" si="109"/>
        <v>-2.4625623960066543E-2</v>
      </c>
    </row>
    <row r="1310" spans="1:20" hidden="1" x14ac:dyDescent="0.25">
      <c r="A1310" s="4" t="s">
        <v>1244</v>
      </c>
      <c r="B1310" s="5" t="s">
        <v>39</v>
      </c>
      <c r="C1310" s="5" t="s">
        <v>1823</v>
      </c>
      <c r="D1310" s="5">
        <v>131.69999999999999</v>
      </c>
      <c r="E1310" s="5">
        <v>127.05</v>
      </c>
      <c r="F1310" s="5">
        <v>135.85</v>
      </c>
      <c r="G1310" s="5">
        <v>127.05</v>
      </c>
      <c r="H1310" s="5">
        <v>131</v>
      </c>
      <c r="I1310" s="5">
        <v>131</v>
      </c>
      <c r="J1310" s="5">
        <v>128.37</v>
      </c>
      <c r="K1310" s="5">
        <v>234</v>
      </c>
      <c r="L1310" s="5">
        <v>0.3</v>
      </c>
      <c r="M1310" s="5">
        <v>12</v>
      </c>
      <c r="N1310" s="5" t="s">
        <v>25</v>
      </c>
      <c r="O1310" s="5" t="s">
        <v>25</v>
      </c>
      <c r="P1310" s="5">
        <f t="shared" si="105"/>
        <v>-0.69999999999998863</v>
      </c>
      <c r="Q1310" s="6">
        <f t="shared" si="106"/>
        <v>-5.3151100987091013E-3</v>
      </c>
      <c r="R1310" s="5">
        <f t="shared" si="107"/>
        <v>8.7999999999999972</v>
      </c>
      <c r="S1310" s="6">
        <f t="shared" si="108"/>
        <v>6.6818526955201199E-2</v>
      </c>
      <c r="T1310" s="6">
        <f t="shared" si="109"/>
        <v>2.0193876571647913E-2</v>
      </c>
    </row>
    <row r="1311" spans="1:20" hidden="1" x14ac:dyDescent="0.25">
      <c r="A1311" s="4" t="s">
        <v>1245</v>
      </c>
      <c r="B1311" s="5" t="s">
        <v>16</v>
      </c>
      <c r="C1311" s="5" t="s">
        <v>1823</v>
      </c>
      <c r="D1311" s="5">
        <v>190.05</v>
      </c>
      <c r="E1311" s="5">
        <v>190.1</v>
      </c>
      <c r="F1311" s="5">
        <v>193</v>
      </c>
      <c r="G1311" s="5">
        <v>183</v>
      </c>
      <c r="H1311" s="5">
        <v>186.1</v>
      </c>
      <c r="I1311" s="5">
        <v>188.1</v>
      </c>
      <c r="J1311" s="5">
        <v>187.59</v>
      </c>
      <c r="K1311" s="5">
        <v>4341</v>
      </c>
      <c r="L1311" s="5">
        <v>8.14</v>
      </c>
      <c r="M1311" s="5">
        <v>148</v>
      </c>
      <c r="N1311" s="5">
        <v>3512</v>
      </c>
      <c r="O1311" s="5">
        <v>80.900000000000006</v>
      </c>
      <c r="P1311" s="5">
        <f t="shared" si="105"/>
        <v>-1.9500000000000171</v>
      </c>
      <c r="Q1311" s="6">
        <f t="shared" si="106"/>
        <v>-1.0260457774270018E-2</v>
      </c>
      <c r="R1311" s="5">
        <f t="shared" si="107"/>
        <v>10</v>
      </c>
      <c r="S1311" s="6">
        <f t="shared" si="108"/>
        <v>5.2617732175743219E-2</v>
      </c>
      <c r="T1311" s="6">
        <f t="shared" si="109"/>
        <v>2.7048528241845182E-3</v>
      </c>
    </row>
    <row r="1312" spans="1:20" x14ac:dyDescent="0.25">
      <c r="A1312" s="4" t="s">
        <v>1266</v>
      </c>
      <c r="B1312" s="5" t="s">
        <v>16</v>
      </c>
      <c r="C1312" s="5" t="s">
        <v>1823</v>
      </c>
      <c r="D1312" s="5">
        <v>51.35</v>
      </c>
      <c r="E1312" s="5">
        <v>51.4</v>
      </c>
      <c r="F1312" s="5">
        <v>51.4</v>
      </c>
      <c r="G1312" s="5">
        <v>46</v>
      </c>
      <c r="H1312" s="5">
        <v>46.5</v>
      </c>
      <c r="I1312" s="5">
        <v>46.95</v>
      </c>
      <c r="J1312" s="5">
        <v>48.44</v>
      </c>
      <c r="K1312" s="5">
        <v>1085040</v>
      </c>
      <c r="L1312" s="5">
        <v>525.55999999999995</v>
      </c>
      <c r="M1312" s="5">
        <v>6485</v>
      </c>
      <c r="N1312" s="5">
        <v>634477</v>
      </c>
      <c r="O1312" s="5">
        <v>58.47</v>
      </c>
      <c r="P1312" s="5">
        <f t="shared" si="105"/>
        <v>-4.3999999999999986</v>
      </c>
      <c r="Q1312" s="6">
        <f t="shared" si="106"/>
        <v>-8.5686465433300843E-2</v>
      </c>
      <c r="R1312" s="5">
        <f t="shared" si="107"/>
        <v>5.3999999999999986</v>
      </c>
      <c r="S1312" s="6">
        <f t="shared" si="108"/>
        <v>0.1051606621226874</v>
      </c>
      <c r="T1312" s="6">
        <f t="shared" si="109"/>
        <v>-3.0446998722860687E-2</v>
      </c>
    </row>
    <row r="1313" spans="1:20" hidden="1" x14ac:dyDescent="0.25">
      <c r="A1313" s="4" t="s">
        <v>1247</v>
      </c>
      <c r="B1313" s="5" t="s">
        <v>16</v>
      </c>
      <c r="C1313" s="5" t="s">
        <v>1823</v>
      </c>
      <c r="D1313" s="5">
        <v>33.1</v>
      </c>
      <c r="E1313" s="5">
        <v>33.1</v>
      </c>
      <c r="F1313" s="5">
        <v>33.299999999999997</v>
      </c>
      <c r="G1313" s="5">
        <v>32.549999999999997</v>
      </c>
      <c r="H1313" s="5">
        <v>33.200000000000003</v>
      </c>
      <c r="I1313" s="5">
        <v>33.049999999999997</v>
      </c>
      <c r="J1313" s="5">
        <v>33.020000000000003</v>
      </c>
      <c r="K1313" s="5">
        <v>32803</v>
      </c>
      <c r="L1313" s="5">
        <v>10.83</v>
      </c>
      <c r="M1313" s="5">
        <v>259</v>
      </c>
      <c r="N1313" s="5">
        <v>21440</v>
      </c>
      <c r="O1313" s="5">
        <v>65.36</v>
      </c>
      <c r="P1313" s="5">
        <f t="shared" si="105"/>
        <v>-5.0000000000004263E-2</v>
      </c>
      <c r="Q1313" s="6">
        <f t="shared" si="106"/>
        <v>-1.510574018127017E-3</v>
      </c>
      <c r="R1313" s="5">
        <f t="shared" si="107"/>
        <v>0.75</v>
      </c>
      <c r="S1313" s="6">
        <f t="shared" si="108"/>
        <v>2.2658610271903322E-2</v>
      </c>
      <c r="T1313" s="6">
        <f t="shared" si="109"/>
        <v>9.0909090909072825E-4</v>
      </c>
    </row>
    <row r="1314" spans="1:20" hidden="1" x14ac:dyDescent="0.25">
      <c r="A1314" s="4" t="s">
        <v>1248</v>
      </c>
      <c r="B1314" s="5" t="s">
        <v>16</v>
      </c>
      <c r="C1314" s="5" t="s">
        <v>1823</v>
      </c>
      <c r="D1314" s="5">
        <v>640.65</v>
      </c>
      <c r="E1314" s="5">
        <v>639.54999999999995</v>
      </c>
      <c r="F1314" s="5">
        <v>651.6</v>
      </c>
      <c r="G1314" s="5">
        <v>637</v>
      </c>
      <c r="H1314" s="5">
        <v>647</v>
      </c>
      <c r="I1314" s="5">
        <v>642.4</v>
      </c>
      <c r="J1314" s="5">
        <v>643.97</v>
      </c>
      <c r="K1314" s="5">
        <v>72498</v>
      </c>
      <c r="L1314" s="5">
        <v>466.87</v>
      </c>
      <c r="M1314" s="5">
        <v>3003</v>
      </c>
      <c r="N1314" s="5">
        <v>32741</v>
      </c>
      <c r="O1314" s="5">
        <v>45.16</v>
      </c>
      <c r="P1314" s="5">
        <f t="shared" si="105"/>
        <v>1.75</v>
      </c>
      <c r="Q1314" s="6">
        <f t="shared" si="106"/>
        <v>2.7316007180207603E-3</v>
      </c>
      <c r="R1314" s="5">
        <f t="shared" si="107"/>
        <v>14.600000000000023</v>
      </c>
      <c r="S1314" s="6">
        <f t="shared" si="108"/>
        <v>2.2789354561773237E-2</v>
      </c>
      <c r="T1314" s="6">
        <f t="shared" si="109"/>
        <v>-2.4430569333411915E-3</v>
      </c>
    </row>
    <row r="1315" spans="1:20" hidden="1" x14ac:dyDescent="0.25">
      <c r="A1315" s="4" t="s">
        <v>1249</v>
      </c>
      <c r="B1315" s="5" t="s">
        <v>16</v>
      </c>
      <c r="C1315" s="5" t="s">
        <v>1823</v>
      </c>
      <c r="D1315" s="5">
        <v>15.05</v>
      </c>
      <c r="E1315" s="5">
        <v>16.8</v>
      </c>
      <c r="F1315" s="5">
        <v>16.8</v>
      </c>
      <c r="G1315" s="5">
        <v>13.3</v>
      </c>
      <c r="H1315" s="5">
        <v>14.5</v>
      </c>
      <c r="I1315" s="5">
        <v>14.1</v>
      </c>
      <c r="J1315" s="5">
        <v>14.92</v>
      </c>
      <c r="K1315" s="5">
        <v>67774</v>
      </c>
      <c r="L1315" s="5">
        <v>10.11</v>
      </c>
      <c r="M1315" s="5">
        <v>332</v>
      </c>
      <c r="N1315" s="5">
        <v>30224</v>
      </c>
      <c r="O1315" s="5">
        <v>44.6</v>
      </c>
      <c r="P1315" s="5">
        <f t="shared" si="105"/>
        <v>-0.95000000000000107</v>
      </c>
      <c r="Q1315" s="6">
        <f t="shared" si="106"/>
        <v>-6.3122923588039934E-2</v>
      </c>
      <c r="R1315" s="5">
        <f t="shared" si="107"/>
        <v>3.5</v>
      </c>
      <c r="S1315" s="6">
        <f t="shared" si="108"/>
        <v>0.23255813953488372</v>
      </c>
      <c r="T1315" s="6">
        <f t="shared" si="109"/>
        <v>-5.3770491803278704E-2</v>
      </c>
    </row>
    <row r="1316" spans="1:20" hidden="1" x14ac:dyDescent="0.25">
      <c r="A1316" s="4" t="s">
        <v>1250</v>
      </c>
      <c r="B1316" s="5" t="s">
        <v>16</v>
      </c>
      <c r="C1316" s="5" t="s">
        <v>1823</v>
      </c>
      <c r="D1316" s="5">
        <v>190.2</v>
      </c>
      <c r="E1316" s="5">
        <v>185.2</v>
      </c>
      <c r="F1316" s="5">
        <v>192.85</v>
      </c>
      <c r="G1316" s="5">
        <v>183.05</v>
      </c>
      <c r="H1316" s="5">
        <v>189.85</v>
      </c>
      <c r="I1316" s="5">
        <v>188.9</v>
      </c>
      <c r="J1316" s="5">
        <v>188.01</v>
      </c>
      <c r="K1316" s="5">
        <v>41226</v>
      </c>
      <c r="L1316" s="5">
        <v>77.510000000000005</v>
      </c>
      <c r="M1316" s="5">
        <v>1217</v>
      </c>
      <c r="N1316" s="5">
        <v>19291</v>
      </c>
      <c r="O1316" s="5">
        <v>46.79</v>
      </c>
      <c r="P1316" s="5">
        <f t="shared" si="105"/>
        <v>-1.2999999999999829</v>
      </c>
      <c r="Q1316" s="6">
        <f t="shared" si="106"/>
        <v>-6.8349106203994901E-3</v>
      </c>
      <c r="R1316" s="5">
        <f t="shared" si="107"/>
        <v>9.7999999999999829</v>
      </c>
      <c r="S1316" s="6">
        <f t="shared" si="108"/>
        <v>5.1524710830704437E-2</v>
      </c>
      <c r="T1316" s="6">
        <f t="shared" si="109"/>
        <v>4.7466666666667462E-3</v>
      </c>
    </row>
    <row r="1317" spans="1:20" hidden="1" x14ac:dyDescent="0.25">
      <c r="A1317" s="4" t="s">
        <v>1251</v>
      </c>
      <c r="B1317" s="5" t="s">
        <v>16</v>
      </c>
      <c r="C1317" s="5" t="s">
        <v>1823</v>
      </c>
      <c r="D1317" s="5">
        <v>387.85</v>
      </c>
      <c r="E1317" s="5">
        <v>370.1</v>
      </c>
      <c r="F1317" s="5">
        <v>385</v>
      </c>
      <c r="G1317" s="5">
        <v>370</v>
      </c>
      <c r="H1317" s="5">
        <v>372.25</v>
      </c>
      <c r="I1317" s="5">
        <v>373.5</v>
      </c>
      <c r="J1317" s="5">
        <v>371.59</v>
      </c>
      <c r="K1317" s="5">
        <v>35</v>
      </c>
      <c r="L1317" s="5">
        <v>0.13</v>
      </c>
      <c r="M1317" s="5">
        <v>7</v>
      </c>
      <c r="N1317" s="5">
        <v>23</v>
      </c>
      <c r="O1317" s="5">
        <v>65.709999999999994</v>
      </c>
      <c r="P1317" s="5">
        <f t="shared" si="105"/>
        <v>-14.350000000000023</v>
      </c>
      <c r="Q1317" s="6">
        <f t="shared" si="106"/>
        <v>-3.6998839757638319E-2</v>
      </c>
      <c r="R1317" s="5">
        <f t="shared" si="107"/>
        <v>15</v>
      </c>
      <c r="S1317" s="6">
        <f t="shared" si="108"/>
        <v>3.8674745391259507E-2</v>
      </c>
      <c r="T1317" s="6">
        <f t="shared" si="109"/>
        <v>5.098091552115375E-3</v>
      </c>
    </row>
    <row r="1318" spans="1:20" hidden="1" x14ac:dyDescent="0.25">
      <c r="A1318" s="4" t="s">
        <v>1252</v>
      </c>
      <c r="B1318" s="5" t="s">
        <v>16</v>
      </c>
      <c r="C1318" s="5" t="s">
        <v>1823</v>
      </c>
      <c r="D1318" s="5">
        <v>178.9</v>
      </c>
      <c r="E1318" s="5">
        <v>178</v>
      </c>
      <c r="F1318" s="5">
        <v>178</v>
      </c>
      <c r="G1318" s="5">
        <v>170</v>
      </c>
      <c r="H1318" s="5">
        <v>177.95</v>
      </c>
      <c r="I1318" s="5">
        <v>175.65</v>
      </c>
      <c r="J1318" s="5">
        <v>170.66</v>
      </c>
      <c r="K1318" s="5">
        <v>6916</v>
      </c>
      <c r="L1318" s="5">
        <v>11.8</v>
      </c>
      <c r="M1318" s="5">
        <v>155</v>
      </c>
      <c r="N1318" s="5">
        <v>5820</v>
      </c>
      <c r="O1318" s="5">
        <v>84.15</v>
      </c>
      <c r="P1318" s="5">
        <f t="shared" si="105"/>
        <v>-3.25</v>
      </c>
      <c r="Q1318" s="6">
        <f t="shared" si="106"/>
        <v>-1.8166573504751257E-2</v>
      </c>
      <c r="R1318" s="5">
        <f t="shared" si="107"/>
        <v>8</v>
      </c>
      <c r="S1318" s="6">
        <f t="shared" si="108"/>
        <v>4.4717719396310786E-2</v>
      </c>
      <c r="T1318" s="6">
        <f t="shared" si="109"/>
        <v>2.8447231525689499E-2</v>
      </c>
    </row>
    <row r="1319" spans="1:20" x14ac:dyDescent="0.25">
      <c r="A1319" s="4" t="s">
        <v>837</v>
      </c>
      <c r="B1319" s="5" t="s">
        <v>16</v>
      </c>
      <c r="C1319" s="5" t="s">
        <v>1823</v>
      </c>
      <c r="D1319" s="5">
        <v>50.15</v>
      </c>
      <c r="E1319" s="5">
        <v>50.2</v>
      </c>
      <c r="F1319" s="5">
        <v>50.35</v>
      </c>
      <c r="G1319" s="5">
        <v>48.2</v>
      </c>
      <c r="H1319" s="5">
        <v>48.4</v>
      </c>
      <c r="I1319" s="5">
        <v>48.65</v>
      </c>
      <c r="J1319" s="5">
        <v>49.37</v>
      </c>
      <c r="K1319" s="5">
        <v>123496</v>
      </c>
      <c r="L1319" s="5">
        <v>60.97</v>
      </c>
      <c r="M1319" s="5">
        <v>755</v>
      </c>
      <c r="N1319" s="5">
        <v>72340</v>
      </c>
      <c r="O1319" s="5">
        <v>58.58</v>
      </c>
      <c r="P1319" s="5">
        <f t="shared" si="105"/>
        <v>-1.5</v>
      </c>
      <c r="Q1319" s="6">
        <f t="shared" si="106"/>
        <v>-2.9910269192422734E-2</v>
      </c>
      <c r="R1319" s="5">
        <f t="shared" si="107"/>
        <v>2.1499999999999986</v>
      </c>
      <c r="S1319" s="6">
        <f t="shared" si="108"/>
        <v>4.2871385842472555E-2</v>
      </c>
      <c r="T1319" s="6">
        <f t="shared" si="109"/>
        <v>-1.4589665653495417E-2</v>
      </c>
    </row>
    <row r="1320" spans="1:20" x14ac:dyDescent="0.25">
      <c r="A1320" s="4" t="s">
        <v>572</v>
      </c>
      <c r="B1320" s="5" t="s">
        <v>16</v>
      </c>
      <c r="C1320" s="5" t="s">
        <v>1823</v>
      </c>
      <c r="D1320" s="5">
        <v>664</v>
      </c>
      <c r="E1320" s="5">
        <v>665</v>
      </c>
      <c r="F1320" s="5">
        <v>675.7</v>
      </c>
      <c r="G1320" s="5">
        <v>655</v>
      </c>
      <c r="H1320" s="5">
        <v>671</v>
      </c>
      <c r="I1320" s="5">
        <v>671.35</v>
      </c>
      <c r="J1320" s="5">
        <v>669.18</v>
      </c>
      <c r="K1320" s="5">
        <v>1624694</v>
      </c>
      <c r="L1320" s="5">
        <v>10872.19</v>
      </c>
      <c r="M1320" s="5">
        <v>44100</v>
      </c>
      <c r="N1320" s="5">
        <v>954161</v>
      </c>
      <c r="O1320" s="5">
        <v>58.73</v>
      </c>
      <c r="P1320" s="5">
        <f t="shared" si="105"/>
        <v>7.3500000000000227</v>
      </c>
      <c r="Q1320" s="6">
        <f t="shared" si="106"/>
        <v>1.106927710843377E-2</v>
      </c>
      <c r="R1320" s="5">
        <f t="shared" si="107"/>
        <v>20.700000000000045</v>
      </c>
      <c r="S1320" s="6">
        <f t="shared" si="108"/>
        <v>3.117469879518079E-2</v>
      </c>
      <c r="T1320" s="6">
        <f t="shared" si="109"/>
        <v>3.2545321610019649E-3</v>
      </c>
    </row>
    <row r="1321" spans="1:20" hidden="1" x14ac:dyDescent="0.25">
      <c r="A1321" s="4" t="s">
        <v>1255</v>
      </c>
      <c r="B1321" s="5" t="s">
        <v>16</v>
      </c>
      <c r="C1321" s="5" t="s">
        <v>1823</v>
      </c>
      <c r="D1321" s="5">
        <v>212.2</v>
      </c>
      <c r="E1321" s="5">
        <v>212.5</v>
      </c>
      <c r="F1321" s="5">
        <v>215</v>
      </c>
      <c r="G1321" s="5">
        <v>209</v>
      </c>
      <c r="H1321" s="5">
        <v>209</v>
      </c>
      <c r="I1321" s="5">
        <v>209</v>
      </c>
      <c r="J1321" s="5">
        <v>210.7</v>
      </c>
      <c r="K1321" s="5">
        <v>4206</v>
      </c>
      <c r="L1321" s="5">
        <v>8.86</v>
      </c>
      <c r="M1321" s="5">
        <v>60</v>
      </c>
      <c r="N1321" s="5">
        <v>4153</v>
      </c>
      <c r="O1321" s="5">
        <v>98.74</v>
      </c>
      <c r="P1321" s="5">
        <f t="shared" si="105"/>
        <v>-3.1999999999999886</v>
      </c>
      <c r="Q1321" s="6">
        <f t="shared" si="106"/>
        <v>-1.5080113100848204E-2</v>
      </c>
      <c r="R1321" s="5">
        <f t="shared" si="107"/>
        <v>6</v>
      </c>
      <c r="S1321" s="6">
        <f t="shared" si="108"/>
        <v>2.8275212064090484E-2</v>
      </c>
      <c r="T1321" s="6">
        <f t="shared" si="109"/>
        <v>-8.0425783560023108E-3</v>
      </c>
    </row>
    <row r="1322" spans="1:20" hidden="1" x14ac:dyDescent="0.25">
      <c r="A1322" s="4" t="s">
        <v>1256</v>
      </c>
      <c r="B1322" s="5" t="s">
        <v>16</v>
      </c>
      <c r="C1322" s="5" t="s">
        <v>1823</v>
      </c>
      <c r="D1322" s="5">
        <v>457.7</v>
      </c>
      <c r="E1322" s="5">
        <v>460.9</v>
      </c>
      <c r="F1322" s="5">
        <v>460.9</v>
      </c>
      <c r="G1322" s="5">
        <v>436.35</v>
      </c>
      <c r="H1322" s="5">
        <v>441.95</v>
      </c>
      <c r="I1322" s="5">
        <v>441.75</v>
      </c>
      <c r="J1322" s="5">
        <v>445.34</v>
      </c>
      <c r="K1322" s="5">
        <v>83044</v>
      </c>
      <c r="L1322" s="5">
        <v>369.82</v>
      </c>
      <c r="M1322" s="5">
        <v>3531</v>
      </c>
      <c r="N1322" s="5">
        <v>50475</v>
      </c>
      <c r="O1322" s="5">
        <v>60.78</v>
      </c>
      <c r="P1322" s="5">
        <f t="shared" si="105"/>
        <v>-15.949999999999989</v>
      </c>
      <c r="Q1322" s="6">
        <f t="shared" si="106"/>
        <v>-3.4848153812540944E-2</v>
      </c>
      <c r="R1322" s="5">
        <f t="shared" si="107"/>
        <v>24.549999999999955</v>
      </c>
      <c r="S1322" s="6">
        <f t="shared" si="108"/>
        <v>5.3637753987327848E-2</v>
      </c>
      <c r="T1322" s="6">
        <f t="shared" si="109"/>
        <v>-7.9782210122784046E-3</v>
      </c>
    </row>
    <row r="1323" spans="1:20" hidden="1" x14ac:dyDescent="0.25">
      <c r="A1323" s="4" t="s">
        <v>1257</v>
      </c>
      <c r="B1323" s="5" t="s">
        <v>16</v>
      </c>
      <c r="C1323" s="5" t="s">
        <v>1823</v>
      </c>
      <c r="D1323" s="5">
        <v>106.95</v>
      </c>
      <c r="E1323" s="5">
        <v>107.5</v>
      </c>
      <c r="F1323" s="5">
        <v>112.75</v>
      </c>
      <c r="G1323" s="5">
        <v>107.5</v>
      </c>
      <c r="H1323" s="5">
        <v>111</v>
      </c>
      <c r="I1323" s="5">
        <v>110.3</v>
      </c>
      <c r="J1323" s="5">
        <v>110.21</v>
      </c>
      <c r="K1323" s="5">
        <v>1441</v>
      </c>
      <c r="L1323" s="5">
        <v>1.59</v>
      </c>
      <c r="M1323" s="5">
        <v>75</v>
      </c>
      <c r="N1323" s="5">
        <v>847</v>
      </c>
      <c r="O1323" s="5">
        <v>58.78</v>
      </c>
      <c r="P1323" s="5">
        <f t="shared" si="105"/>
        <v>3.3499999999999943</v>
      </c>
      <c r="Q1323" s="6">
        <f t="shared" si="106"/>
        <v>3.1323048153342629E-2</v>
      </c>
      <c r="R1323" s="5">
        <f t="shared" si="107"/>
        <v>5.25</v>
      </c>
      <c r="S1323" s="6">
        <f t="shared" si="108"/>
        <v>4.9088359046283309E-2</v>
      </c>
      <c r="T1323" s="6">
        <f t="shared" si="109"/>
        <v>8.2182399269492893E-4</v>
      </c>
    </row>
    <row r="1324" spans="1:20" hidden="1" x14ac:dyDescent="0.25">
      <c r="A1324" s="4" t="s">
        <v>1258</v>
      </c>
      <c r="B1324" s="5" t="s">
        <v>28</v>
      </c>
      <c r="C1324" s="5" t="s">
        <v>1823</v>
      </c>
      <c r="D1324" s="5">
        <v>9.75</v>
      </c>
      <c r="E1324" s="5">
        <v>8.5</v>
      </c>
      <c r="F1324" s="5">
        <v>8.5</v>
      </c>
      <c r="G1324" s="5">
        <v>8.5</v>
      </c>
      <c r="H1324" s="5">
        <v>8.5</v>
      </c>
      <c r="I1324" s="5">
        <v>8.5</v>
      </c>
      <c r="J1324" s="5">
        <v>8.5</v>
      </c>
      <c r="K1324" s="5">
        <v>2000</v>
      </c>
      <c r="L1324" s="5">
        <v>0.17</v>
      </c>
      <c r="M1324" s="5">
        <v>1</v>
      </c>
      <c r="N1324" s="5">
        <v>2000</v>
      </c>
      <c r="O1324" s="5">
        <v>100</v>
      </c>
      <c r="P1324" s="5">
        <f t="shared" si="105"/>
        <v>-1.25</v>
      </c>
      <c r="Q1324" s="6">
        <f t="shared" si="106"/>
        <v>-0.12820512820512819</v>
      </c>
      <c r="R1324" s="5">
        <f t="shared" si="107"/>
        <v>0</v>
      </c>
      <c r="S1324" s="6">
        <f t="shared" si="108"/>
        <v>0</v>
      </c>
      <c r="T1324" s="6">
        <f t="shared" si="109"/>
        <v>0</v>
      </c>
    </row>
    <row r="1325" spans="1:20" x14ac:dyDescent="0.25">
      <c r="A1325" s="4" t="s">
        <v>1280</v>
      </c>
      <c r="B1325" s="5" t="s">
        <v>16</v>
      </c>
      <c r="C1325" s="5" t="s">
        <v>1823</v>
      </c>
      <c r="D1325" s="5">
        <v>89.2</v>
      </c>
      <c r="E1325" s="5">
        <v>89.7</v>
      </c>
      <c r="F1325" s="5">
        <v>89.7</v>
      </c>
      <c r="G1325" s="5">
        <v>85.95</v>
      </c>
      <c r="H1325" s="5">
        <v>86.05</v>
      </c>
      <c r="I1325" s="5">
        <v>86.25</v>
      </c>
      <c r="J1325" s="5">
        <v>87.09</v>
      </c>
      <c r="K1325" s="5">
        <v>126096</v>
      </c>
      <c r="L1325" s="5">
        <v>109.81</v>
      </c>
      <c r="M1325" s="5">
        <v>1510</v>
      </c>
      <c r="N1325" s="5">
        <v>75146</v>
      </c>
      <c r="O1325" s="5">
        <v>59.59</v>
      </c>
      <c r="P1325" s="5">
        <f t="shared" si="105"/>
        <v>-2.9500000000000028</v>
      </c>
      <c r="Q1325" s="6">
        <f t="shared" si="106"/>
        <v>-3.30717488789238E-2</v>
      </c>
      <c r="R1325" s="5">
        <f t="shared" si="107"/>
        <v>3.75</v>
      </c>
      <c r="S1325" s="6">
        <f t="shared" si="108"/>
        <v>4.2040358744394615E-2</v>
      </c>
      <c r="T1325" s="6">
        <f t="shared" si="109"/>
        <v>-9.5563139931740988E-3</v>
      </c>
    </row>
    <row r="1326" spans="1:20" hidden="1" x14ac:dyDescent="0.25">
      <c r="A1326" s="4" t="s">
        <v>1260</v>
      </c>
      <c r="B1326" s="5" t="s">
        <v>16</v>
      </c>
      <c r="C1326" s="5" t="s">
        <v>1823</v>
      </c>
      <c r="D1326" s="5">
        <v>773.6</v>
      </c>
      <c r="E1326" s="5">
        <v>789.9</v>
      </c>
      <c r="F1326" s="5">
        <v>789.95</v>
      </c>
      <c r="G1326" s="5">
        <v>746</v>
      </c>
      <c r="H1326" s="5">
        <v>760</v>
      </c>
      <c r="I1326" s="5">
        <v>752.75</v>
      </c>
      <c r="J1326" s="5">
        <v>770.16</v>
      </c>
      <c r="K1326" s="5">
        <v>8484</v>
      </c>
      <c r="L1326" s="5">
        <v>65.34</v>
      </c>
      <c r="M1326" s="5">
        <v>637</v>
      </c>
      <c r="N1326" s="5">
        <v>1587</v>
      </c>
      <c r="O1326" s="5">
        <v>18.71</v>
      </c>
      <c r="P1326" s="5">
        <f t="shared" si="105"/>
        <v>-20.850000000000023</v>
      </c>
      <c r="Q1326" s="6">
        <f t="shared" si="106"/>
        <v>-2.6951913133402304E-2</v>
      </c>
      <c r="R1326" s="5">
        <f t="shared" si="107"/>
        <v>43.950000000000045</v>
      </c>
      <c r="S1326" s="6">
        <f t="shared" si="108"/>
        <v>5.6812306101344419E-2</v>
      </c>
      <c r="T1326" s="6">
        <f t="shared" si="109"/>
        <v>-2.262067173390498E-2</v>
      </c>
    </row>
    <row r="1327" spans="1:20" hidden="1" x14ac:dyDescent="0.25">
      <c r="A1327" s="4" t="s">
        <v>1261</v>
      </c>
      <c r="B1327" s="5" t="s">
        <v>16</v>
      </c>
      <c r="C1327" s="5" t="s">
        <v>1823</v>
      </c>
      <c r="D1327" s="5">
        <v>190.65</v>
      </c>
      <c r="E1327" s="5">
        <v>191.75</v>
      </c>
      <c r="F1327" s="5">
        <v>191.75</v>
      </c>
      <c r="G1327" s="5">
        <v>179.1</v>
      </c>
      <c r="H1327" s="5">
        <v>180.05</v>
      </c>
      <c r="I1327" s="5">
        <v>180.6</v>
      </c>
      <c r="J1327" s="5">
        <v>184.01</v>
      </c>
      <c r="K1327" s="5">
        <v>9604</v>
      </c>
      <c r="L1327" s="5">
        <v>17.670000000000002</v>
      </c>
      <c r="M1327" s="5">
        <v>546</v>
      </c>
      <c r="N1327" s="5">
        <v>7456</v>
      </c>
      <c r="O1327" s="5">
        <v>77.63</v>
      </c>
      <c r="P1327" s="5">
        <f t="shared" si="105"/>
        <v>-10.050000000000011</v>
      </c>
      <c r="Q1327" s="6">
        <f t="shared" si="106"/>
        <v>-5.2714398111723113E-2</v>
      </c>
      <c r="R1327" s="5">
        <f t="shared" si="107"/>
        <v>12.650000000000006</v>
      </c>
      <c r="S1327" s="6">
        <f t="shared" si="108"/>
        <v>6.6351953842119088E-2</v>
      </c>
      <c r="T1327" s="6">
        <f t="shared" si="109"/>
        <v>-1.8353067814854664E-2</v>
      </c>
    </row>
    <row r="1328" spans="1:20" hidden="1" x14ac:dyDescent="0.25">
      <c r="A1328" s="4" t="s">
        <v>1262</v>
      </c>
      <c r="B1328" s="5" t="s">
        <v>16</v>
      </c>
      <c r="C1328" s="5" t="s">
        <v>1823</v>
      </c>
      <c r="D1328" s="5">
        <v>74.150000000000006</v>
      </c>
      <c r="E1328" s="5">
        <v>72</v>
      </c>
      <c r="F1328" s="5">
        <v>73.8</v>
      </c>
      <c r="G1328" s="5">
        <v>70.45</v>
      </c>
      <c r="H1328" s="5">
        <v>70.45</v>
      </c>
      <c r="I1328" s="5">
        <v>70.55</v>
      </c>
      <c r="J1328" s="5">
        <v>71.069999999999993</v>
      </c>
      <c r="K1328" s="5">
        <v>26448</v>
      </c>
      <c r="L1328" s="5">
        <v>18.8</v>
      </c>
      <c r="M1328" s="5">
        <v>1061</v>
      </c>
      <c r="N1328" s="5">
        <v>20341</v>
      </c>
      <c r="O1328" s="5">
        <v>76.91</v>
      </c>
      <c r="P1328" s="5">
        <f t="shared" si="105"/>
        <v>-3.6000000000000085</v>
      </c>
      <c r="Q1328" s="6">
        <f t="shared" si="106"/>
        <v>-4.8550236008091815E-2</v>
      </c>
      <c r="R1328" s="5">
        <f t="shared" si="107"/>
        <v>3.3499999999999943</v>
      </c>
      <c r="S1328" s="6">
        <f t="shared" si="108"/>
        <v>4.5178691840863032E-2</v>
      </c>
      <c r="T1328" s="6">
        <f t="shared" si="109"/>
        <v>-7.2524407252440165E-3</v>
      </c>
    </row>
    <row r="1329" spans="1:20" hidden="1" x14ac:dyDescent="0.25">
      <c r="A1329" s="4" t="s">
        <v>1263</v>
      </c>
      <c r="B1329" s="5" t="s">
        <v>16</v>
      </c>
      <c r="C1329" s="5" t="s">
        <v>1823</v>
      </c>
      <c r="D1329" s="5">
        <v>79.7</v>
      </c>
      <c r="E1329" s="5">
        <v>79.099999999999994</v>
      </c>
      <c r="F1329" s="5">
        <v>79.95</v>
      </c>
      <c r="G1329" s="5">
        <v>78.400000000000006</v>
      </c>
      <c r="H1329" s="5">
        <v>79.05</v>
      </c>
      <c r="I1329" s="5">
        <v>79</v>
      </c>
      <c r="J1329" s="5">
        <v>79</v>
      </c>
      <c r="K1329" s="5">
        <v>30576</v>
      </c>
      <c r="L1329" s="5">
        <v>24.16</v>
      </c>
      <c r="M1329" s="5">
        <v>246</v>
      </c>
      <c r="N1329" s="5">
        <v>26547</v>
      </c>
      <c r="O1329" s="5">
        <v>86.82</v>
      </c>
      <c r="P1329" s="5">
        <f t="shared" si="105"/>
        <v>-0.70000000000000284</v>
      </c>
      <c r="Q1329" s="6">
        <f t="shared" si="106"/>
        <v>-8.7829360100376772E-3</v>
      </c>
      <c r="R1329" s="5">
        <f t="shared" si="107"/>
        <v>1.5499999999999972</v>
      </c>
      <c r="S1329" s="6">
        <f t="shared" si="108"/>
        <v>1.9447929736511882E-2</v>
      </c>
      <c r="T1329" s="6">
        <f t="shared" si="109"/>
        <v>0</v>
      </c>
    </row>
    <row r="1330" spans="1:20" hidden="1" x14ac:dyDescent="0.25">
      <c r="A1330" s="4" t="s">
        <v>1264</v>
      </c>
      <c r="B1330" s="5" t="s">
        <v>16</v>
      </c>
      <c r="C1330" s="5" t="s">
        <v>1823</v>
      </c>
      <c r="D1330" s="5">
        <v>6.5</v>
      </c>
      <c r="E1330" s="5">
        <v>6.5</v>
      </c>
      <c r="F1330" s="5">
        <v>6.8</v>
      </c>
      <c r="G1330" s="5">
        <v>6.3</v>
      </c>
      <c r="H1330" s="5">
        <v>6.8</v>
      </c>
      <c r="I1330" s="5">
        <v>6.8</v>
      </c>
      <c r="J1330" s="5">
        <v>6.72</v>
      </c>
      <c r="K1330" s="5">
        <v>16206</v>
      </c>
      <c r="L1330" s="5">
        <v>1.0900000000000001</v>
      </c>
      <c r="M1330" s="5">
        <v>39</v>
      </c>
      <c r="N1330" s="5">
        <v>13831</v>
      </c>
      <c r="O1330" s="5">
        <v>85.34</v>
      </c>
      <c r="P1330" s="5">
        <f t="shared" si="105"/>
        <v>0.29999999999999982</v>
      </c>
      <c r="Q1330" s="6">
        <f t="shared" si="106"/>
        <v>4.6153846153846129E-2</v>
      </c>
      <c r="R1330" s="5">
        <f t="shared" si="107"/>
        <v>0.5</v>
      </c>
      <c r="S1330" s="6">
        <f t="shared" si="108"/>
        <v>7.6923076923076927E-2</v>
      </c>
      <c r="T1330" s="6">
        <f t="shared" si="109"/>
        <v>1.2121212121212132E-2</v>
      </c>
    </row>
    <row r="1331" spans="1:20" x14ac:dyDescent="0.25">
      <c r="A1331" s="4" t="s">
        <v>1223</v>
      </c>
      <c r="B1331" s="5" t="s">
        <v>16</v>
      </c>
      <c r="C1331" s="5" t="s">
        <v>1823</v>
      </c>
      <c r="D1331" s="5">
        <v>600.85</v>
      </c>
      <c r="E1331" s="5">
        <v>600.85</v>
      </c>
      <c r="F1331" s="5">
        <v>609.9</v>
      </c>
      <c r="G1331" s="5">
        <v>566.45000000000005</v>
      </c>
      <c r="H1331" s="5">
        <v>570</v>
      </c>
      <c r="I1331" s="5">
        <v>570.1</v>
      </c>
      <c r="J1331" s="5">
        <v>572.84</v>
      </c>
      <c r="K1331" s="5">
        <v>164939</v>
      </c>
      <c r="L1331" s="5">
        <v>944.84</v>
      </c>
      <c r="M1331" s="5">
        <v>10623</v>
      </c>
      <c r="N1331" s="5">
        <v>98349</v>
      </c>
      <c r="O1331" s="5">
        <v>59.63</v>
      </c>
      <c r="P1331" s="5">
        <f t="shared" si="105"/>
        <v>-30.75</v>
      </c>
      <c r="Q1331" s="6">
        <f t="shared" si="106"/>
        <v>-5.1177498543729716E-2</v>
      </c>
      <c r="R1331" s="5">
        <f t="shared" si="107"/>
        <v>43.449999999999932</v>
      </c>
      <c r="S1331" s="6">
        <f t="shared" si="108"/>
        <v>7.2314221519513902E-2</v>
      </c>
      <c r="T1331" s="6">
        <f t="shared" si="109"/>
        <v>-4.6691943935585718E-3</v>
      </c>
    </row>
    <row r="1332" spans="1:20" x14ac:dyDescent="0.25">
      <c r="A1332" s="4" t="s">
        <v>748</v>
      </c>
      <c r="B1332" s="5" t="s">
        <v>16</v>
      </c>
      <c r="C1332" s="5" t="s">
        <v>1823</v>
      </c>
      <c r="D1332" s="5">
        <v>159.85</v>
      </c>
      <c r="E1332" s="5">
        <v>158.9</v>
      </c>
      <c r="F1332" s="5">
        <v>159.5</v>
      </c>
      <c r="G1332" s="5">
        <v>154</v>
      </c>
      <c r="H1332" s="5">
        <v>154.30000000000001</v>
      </c>
      <c r="I1332" s="5">
        <v>154.94999999999999</v>
      </c>
      <c r="J1332" s="5">
        <v>156.6</v>
      </c>
      <c r="K1332" s="5">
        <v>444146</v>
      </c>
      <c r="L1332" s="5">
        <v>695.53</v>
      </c>
      <c r="M1332" s="5">
        <v>6598</v>
      </c>
      <c r="N1332" s="5">
        <v>266264</v>
      </c>
      <c r="O1332" s="5">
        <v>59.95</v>
      </c>
      <c r="P1332" s="5">
        <f t="shared" si="105"/>
        <v>-4.9000000000000057</v>
      </c>
      <c r="Q1332" s="6">
        <f t="shared" si="106"/>
        <v>-3.0653737879261844E-2</v>
      </c>
      <c r="R1332" s="5">
        <f t="shared" si="107"/>
        <v>5.5</v>
      </c>
      <c r="S1332" s="6">
        <f t="shared" si="108"/>
        <v>3.4407256803253052E-2</v>
      </c>
      <c r="T1332" s="6">
        <f t="shared" si="109"/>
        <v>-1.0520443133816887E-2</v>
      </c>
    </row>
    <row r="1333" spans="1:20" hidden="1" x14ac:dyDescent="0.25">
      <c r="A1333" s="4" t="s">
        <v>1267</v>
      </c>
      <c r="B1333" s="5" t="s">
        <v>16</v>
      </c>
      <c r="C1333" s="5" t="s">
        <v>1823</v>
      </c>
      <c r="D1333" s="5">
        <v>80</v>
      </c>
      <c r="E1333" s="5">
        <v>76.25</v>
      </c>
      <c r="F1333" s="5">
        <v>80</v>
      </c>
      <c r="G1333" s="5">
        <v>76.25</v>
      </c>
      <c r="H1333" s="5">
        <v>78.55</v>
      </c>
      <c r="I1333" s="5">
        <v>78.75</v>
      </c>
      <c r="J1333" s="5">
        <v>78.66</v>
      </c>
      <c r="K1333" s="5">
        <v>3153</v>
      </c>
      <c r="L1333" s="5">
        <v>2.48</v>
      </c>
      <c r="M1333" s="5">
        <v>83</v>
      </c>
      <c r="N1333" s="5">
        <v>2718</v>
      </c>
      <c r="O1333" s="5">
        <v>86.2</v>
      </c>
      <c r="P1333" s="5">
        <f t="shared" si="105"/>
        <v>-1.25</v>
      </c>
      <c r="Q1333" s="6">
        <f t="shared" si="106"/>
        <v>-1.5625E-2</v>
      </c>
      <c r="R1333" s="5">
        <f t="shared" si="107"/>
        <v>3.75</v>
      </c>
      <c r="S1333" s="6">
        <f t="shared" si="108"/>
        <v>4.6875E-2</v>
      </c>
      <c r="T1333" s="6">
        <f t="shared" si="109"/>
        <v>1.1566265060241401E-3</v>
      </c>
    </row>
    <row r="1334" spans="1:20" x14ac:dyDescent="0.25">
      <c r="A1334" s="4" t="s">
        <v>320</v>
      </c>
      <c r="B1334" s="5" t="s">
        <v>16</v>
      </c>
      <c r="C1334" s="5" t="s">
        <v>1823</v>
      </c>
      <c r="D1334" s="5">
        <v>303.14999999999998</v>
      </c>
      <c r="E1334" s="5">
        <v>304.45</v>
      </c>
      <c r="F1334" s="5">
        <v>305.5</v>
      </c>
      <c r="G1334" s="5">
        <v>294.05</v>
      </c>
      <c r="H1334" s="5">
        <v>295.95</v>
      </c>
      <c r="I1334" s="5">
        <v>296.05</v>
      </c>
      <c r="J1334" s="5">
        <v>298.5</v>
      </c>
      <c r="K1334" s="5">
        <v>1889525</v>
      </c>
      <c r="L1334" s="5">
        <v>5640.17</v>
      </c>
      <c r="M1334" s="5">
        <v>35080</v>
      </c>
      <c r="N1334" s="5">
        <v>1133527</v>
      </c>
      <c r="O1334" s="5">
        <v>59.99</v>
      </c>
      <c r="P1334" s="5">
        <f t="shared" si="105"/>
        <v>-7.0999999999999659</v>
      </c>
      <c r="Q1334" s="6">
        <f t="shared" si="106"/>
        <v>-2.3420748804222222E-2</v>
      </c>
      <c r="R1334" s="5">
        <f t="shared" si="107"/>
        <v>11.449999999999989</v>
      </c>
      <c r="S1334" s="6">
        <f t="shared" si="108"/>
        <v>3.7770080818076826E-2</v>
      </c>
      <c r="T1334" s="6">
        <f t="shared" si="109"/>
        <v>-8.1663264030665018E-3</v>
      </c>
    </row>
    <row r="1335" spans="1:20" hidden="1" x14ac:dyDescent="0.25">
      <c r="A1335" s="4" t="s">
        <v>1269</v>
      </c>
      <c r="B1335" s="5" t="s">
        <v>16</v>
      </c>
      <c r="C1335" s="5" t="s">
        <v>1823</v>
      </c>
      <c r="D1335" s="5">
        <v>30.55</v>
      </c>
      <c r="E1335" s="5">
        <v>29.2</v>
      </c>
      <c r="F1335" s="5">
        <v>34</v>
      </c>
      <c r="G1335" s="5">
        <v>29</v>
      </c>
      <c r="H1335" s="5">
        <v>31.65</v>
      </c>
      <c r="I1335" s="5">
        <v>31.65</v>
      </c>
      <c r="J1335" s="5">
        <v>30.19</v>
      </c>
      <c r="K1335" s="5">
        <v>1564</v>
      </c>
      <c r="L1335" s="5">
        <v>0.47</v>
      </c>
      <c r="M1335" s="5">
        <v>23</v>
      </c>
      <c r="N1335" s="5">
        <v>1125</v>
      </c>
      <c r="O1335" s="5">
        <v>71.930000000000007</v>
      </c>
      <c r="P1335" s="5">
        <f t="shared" si="105"/>
        <v>1.0999999999999979</v>
      </c>
      <c r="Q1335" s="6">
        <f t="shared" si="106"/>
        <v>3.6006546644844449E-2</v>
      </c>
      <c r="R1335" s="5">
        <f t="shared" si="107"/>
        <v>5</v>
      </c>
      <c r="S1335" s="6">
        <f t="shared" si="108"/>
        <v>0.16366612111292961</v>
      </c>
      <c r="T1335" s="6">
        <f t="shared" si="109"/>
        <v>4.7153815098909889E-2</v>
      </c>
    </row>
    <row r="1336" spans="1:20" hidden="1" x14ac:dyDescent="0.25">
      <c r="A1336" s="4" t="s">
        <v>1270</v>
      </c>
      <c r="B1336" s="5" t="s">
        <v>16</v>
      </c>
      <c r="C1336" s="5" t="s">
        <v>1823</v>
      </c>
      <c r="D1336" s="5">
        <v>172.35</v>
      </c>
      <c r="E1336" s="5">
        <v>173</v>
      </c>
      <c r="F1336" s="5">
        <v>173</v>
      </c>
      <c r="G1336" s="5">
        <v>167.25</v>
      </c>
      <c r="H1336" s="5">
        <v>168.1</v>
      </c>
      <c r="I1336" s="5">
        <v>169.05</v>
      </c>
      <c r="J1336" s="5">
        <v>170.11</v>
      </c>
      <c r="K1336" s="5">
        <v>3563</v>
      </c>
      <c r="L1336" s="5">
        <v>6.06</v>
      </c>
      <c r="M1336" s="5">
        <v>297</v>
      </c>
      <c r="N1336" s="5">
        <v>1995</v>
      </c>
      <c r="O1336" s="5">
        <v>55.99</v>
      </c>
      <c r="P1336" s="5">
        <f t="shared" si="105"/>
        <v>-3.2999999999999829</v>
      </c>
      <c r="Q1336" s="6">
        <f t="shared" si="106"/>
        <v>-1.914708442123576E-2</v>
      </c>
      <c r="R1336" s="5">
        <f t="shared" si="107"/>
        <v>5.75</v>
      </c>
      <c r="S1336" s="6">
        <f t="shared" si="108"/>
        <v>3.3362344067304907E-2</v>
      </c>
      <c r="T1336" s="6">
        <f t="shared" si="109"/>
        <v>-6.2142752454931987E-3</v>
      </c>
    </row>
    <row r="1337" spans="1:20" hidden="1" x14ac:dyDescent="0.25">
      <c r="A1337" s="4" t="s">
        <v>1271</v>
      </c>
      <c r="B1337" s="5" t="s">
        <v>16</v>
      </c>
      <c r="C1337" s="5" t="s">
        <v>1823</v>
      </c>
      <c r="D1337" s="5">
        <v>175.65</v>
      </c>
      <c r="E1337" s="5">
        <v>178.75</v>
      </c>
      <c r="F1337" s="5">
        <v>178.75</v>
      </c>
      <c r="G1337" s="5">
        <v>173</v>
      </c>
      <c r="H1337" s="5">
        <v>173.05</v>
      </c>
      <c r="I1337" s="5">
        <v>173.95</v>
      </c>
      <c r="J1337" s="5">
        <v>174.05</v>
      </c>
      <c r="K1337" s="5">
        <v>5922</v>
      </c>
      <c r="L1337" s="5">
        <v>10.31</v>
      </c>
      <c r="M1337" s="5">
        <v>191</v>
      </c>
      <c r="N1337" s="5">
        <v>5055</v>
      </c>
      <c r="O1337" s="5">
        <v>85.36</v>
      </c>
      <c r="P1337" s="5">
        <f t="shared" si="105"/>
        <v>-1.7000000000000171</v>
      </c>
      <c r="Q1337" s="6">
        <f t="shared" si="106"/>
        <v>-9.678337603188255E-3</v>
      </c>
      <c r="R1337" s="5">
        <f t="shared" si="107"/>
        <v>5.75</v>
      </c>
      <c r="S1337" s="6">
        <f t="shared" si="108"/>
        <v>3.2735553657842302E-2</v>
      </c>
      <c r="T1337" s="6">
        <f t="shared" si="109"/>
        <v>-5.6781886578194472E-4</v>
      </c>
    </row>
    <row r="1338" spans="1:20" hidden="1" x14ac:dyDescent="0.25">
      <c r="A1338" s="4" t="s">
        <v>1851</v>
      </c>
      <c r="B1338" s="5" t="s">
        <v>39</v>
      </c>
      <c r="C1338" s="5" t="s">
        <v>1823</v>
      </c>
      <c r="D1338" s="5">
        <v>2.5</v>
      </c>
      <c r="E1338" s="5">
        <v>2.4</v>
      </c>
      <c r="F1338" s="5">
        <v>2.4</v>
      </c>
      <c r="G1338" s="5">
        <v>2.4</v>
      </c>
      <c r="H1338" s="5">
        <v>2.4</v>
      </c>
      <c r="I1338" s="5">
        <v>2.4</v>
      </c>
      <c r="J1338" s="5">
        <v>2.4</v>
      </c>
      <c r="K1338" s="5">
        <v>1</v>
      </c>
      <c r="L1338" s="5">
        <v>0</v>
      </c>
      <c r="M1338" s="5">
        <v>1</v>
      </c>
      <c r="N1338" s="5" t="s">
        <v>25</v>
      </c>
      <c r="O1338" s="5" t="s">
        <v>25</v>
      </c>
      <c r="P1338" s="5">
        <f t="shared" si="105"/>
        <v>-0.10000000000000009</v>
      </c>
      <c r="Q1338" s="6">
        <f t="shared" si="106"/>
        <v>-4.0000000000000036E-2</v>
      </c>
      <c r="R1338" s="5">
        <f t="shared" si="107"/>
        <v>0</v>
      </c>
      <c r="S1338" s="6">
        <f t="shared" si="108"/>
        <v>0</v>
      </c>
      <c r="T1338" s="6">
        <f t="shared" si="109"/>
        <v>0</v>
      </c>
    </row>
    <row r="1339" spans="1:20" hidden="1" x14ac:dyDescent="0.25">
      <c r="A1339" s="4" t="s">
        <v>1272</v>
      </c>
      <c r="B1339" s="5" t="s">
        <v>16</v>
      </c>
      <c r="C1339" s="5" t="s">
        <v>1823</v>
      </c>
      <c r="D1339" s="5">
        <v>21.4</v>
      </c>
      <c r="E1339" s="5">
        <v>21.4</v>
      </c>
      <c r="F1339" s="5">
        <v>21.8</v>
      </c>
      <c r="G1339" s="5">
        <v>21.1</v>
      </c>
      <c r="H1339" s="5">
        <v>21.7</v>
      </c>
      <c r="I1339" s="5">
        <v>21.4</v>
      </c>
      <c r="J1339" s="5">
        <v>21.27</v>
      </c>
      <c r="K1339" s="5">
        <v>1030</v>
      </c>
      <c r="L1339" s="5">
        <v>0.22</v>
      </c>
      <c r="M1339" s="5">
        <v>12</v>
      </c>
      <c r="N1339" s="5">
        <v>555</v>
      </c>
      <c r="O1339" s="5">
        <v>53.88</v>
      </c>
      <c r="P1339" s="5">
        <f t="shared" si="105"/>
        <v>0</v>
      </c>
      <c r="Q1339" s="6">
        <f t="shared" si="106"/>
        <v>0</v>
      </c>
      <c r="R1339" s="5">
        <f t="shared" si="107"/>
        <v>0.69999999999999929</v>
      </c>
      <c r="S1339" s="6">
        <f t="shared" si="108"/>
        <v>3.2710280373831745E-2</v>
      </c>
      <c r="T1339" s="6">
        <f t="shared" si="109"/>
        <v>6.0676779463243397E-3</v>
      </c>
    </row>
    <row r="1340" spans="1:20" hidden="1" x14ac:dyDescent="0.25">
      <c r="A1340" s="4" t="s">
        <v>1273</v>
      </c>
      <c r="B1340" s="5" t="s">
        <v>16</v>
      </c>
      <c r="C1340" s="5" t="s">
        <v>1823</v>
      </c>
      <c r="D1340" s="5">
        <v>21.7</v>
      </c>
      <c r="E1340" s="5">
        <v>21.55</v>
      </c>
      <c r="F1340" s="5">
        <v>22.4</v>
      </c>
      <c r="G1340" s="5">
        <v>21.2</v>
      </c>
      <c r="H1340" s="5">
        <v>21.25</v>
      </c>
      <c r="I1340" s="5">
        <v>21.5</v>
      </c>
      <c r="J1340" s="5">
        <v>21.38</v>
      </c>
      <c r="K1340" s="5">
        <v>10065</v>
      </c>
      <c r="L1340" s="5">
        <v>2.15</v>
      </c>
      <c r="M1340" s="5">
        <v>109</v>
      </c>
      <c r="N1340" s="5">
        <v>5858</v>
      </c>
      <c r="O1340" s="5">
        <v>58.2</v>
      </c>
      <c r="P1340" s="5">
        <f t="shared" si="105"/>
        <v>-0.19999999999999929</v>
      </c>
      <c r="Q1340" s="6">
        <f t="shared" si="106"/>
        <v>-9.2165898617511191E-3</v>
      </c>
      <c r="R1340" s="5">
        <f t="shared" si="107"/>
        <v>1.1999999999999993</v>
      </c>
      <c r="S1340" s="6">
        <f t="shared" si="108"/>
        <v>5.5299539170506881E-2</v>
      </c>
      <c r="T1340" s="6">
        <f t="shared" si="109"/>
        <v>5.5395268320831388E-3</v>
      </c>
    </row>
    <row r="1341" spans="1:20" hidden="1" x14ac:dyDescent="0.25">
      <c r="A1341" s="4" t="s">
        <v>1274</v>
      </c>
      <c r="B1341" s="5" t="s">
        <v>16</v>
      </c>
      <c r="C1341" s="5" t="s">
        <v>1823</v>
      </c>
      <c r="D1341" s="5">
        <v>295.45</v>
      </c>
      <c r="E1341" s="5">
        <v>297</v>
      </c>
      <c r="F1341" s="5">
        <v>297.89999999999998</v>
      </c>
      <c r="G1341" s="5">
        <v>283.55</v>
      </c>
      <c r="H1341" s="5">
        <v>286.05</v>
      </c>
      <c r="I1341" s="5">
        <v>287.10000000000002</v>
      </c>
      <c r="J1341" s="5">
        <v>288.77</v>
      </c>
      <c r="K1341" s="5">
        <v>94055</v>
      </c>
      <c r="L1341" s="5">
        <v>271.60000000000002</v>
      </c>
      <c r="M1341" s="5">
        <v>8430</v>
      </c>
      <c r="N1341" s="5">
        <v>56966</v>
      </c>
      <c r="O1341" s="5">
        <v>60.57</v>
      </c>
      <c r="P1341" s="5">
        <f t="shared" si="105"/>
        <v>-8.3499999999999659</v>
      </c>
      <c r="Q1341" s="6">
        <f t="shared" si="106"/>
        <v>-2.826197326112698E-2</v>
      </c>
      <c r="R1341" s="5">
        <f t="shared" si="107"/>
        <v>14.349999999999966</v>
      </c>
      <c r="S1341" s="6">
        <f t="shared" si="108"/>
        <v>4.8569977999661416E-2</v>
      </c>
      <c r="T1341" s="6">
        <f t="shared" si="109"/>
        <v>-5.7311998627256108E-3</v>
      </c>
    </row>
    <row r="1342" spans="1:20" x14ac:dyDescent="0.25">
      <c r="A1342" s="4" t="s">
        <v>33</v>
      </c>
      <c r="B1342" s="5" t="s">
        <v>16</v>
      </c>
      <c r="C1342" s="5" t="s">
        <v>1823</v>
      </c>
      <c r="D1342" s="5">
        <v>30.6</v>
      </c>
      <c r="E1342" s="5">
        <v>29.15</v>
      </c>
      <c r="F1342" s="5">
        <v>32.1</v>
      </c>
      <c r="G1342" s="5">
        <v>29.15</v>
      </c>
      <c r="H1342" s="5">
        <v>30.1</v>
      </c>
      <c r="I1342" s="5">
        <v>30.15</v>
      </c>
      <c r="J1342" s="5">
        <v>30.68</v>
      </c>
      <c r="K1342" s="5">
        <v>138640</v>
      </c>
      <c r="L1342" s="5">
        <v>42.54</v>
      </c>
      <c r="M1342" s="5">
        <v>1136</v>
      </c>
      <c r="N1342" s="5">
        <v>83225</v>
      </c>
      <c r="O1342" s="5">
        <v>60.03</v>
      </c>
      <c r="P1342" s="5">
        <f t="shared" si="105"/>
        <v>-0.45000000000000284</v>
      </c>
      <c r="Q1342" s="6">
        <f t="shared" si="106"/>
        <v>-1.4705882352941268E-2</v>
      </c>
      <c r="R1342" s="5">
        <f t="shared" si="107"/>
        <v>2.9500000000000028</v>
      </c>
      <c r="S1342" s="6">
        <f t="shared" si="108"/>
        <v>9.6405228758170022E-2</v>
      </c>
      <c r="T1342" s="6">
        <f t="shared" si="109"/>
        <v>-1.7586063873911276E-2</v>
      </c>
    </row>
    <row r="1343" spans="1:20" hidden="1" x14ac:dyDescent="0.25">
      <c r="A1343" s="4" t="s">
        <v>1276</v>
      </c>
      <c r="B1343" s="5" t="s">
        <v>16</v>
      </c>
      <c r="C1343" s="5" t="s">
        <v>1823</v>
      </c>
      <c r="D1343" s="5">
        <v>36.65</v>
      </c>
      <c r="E1343" s="5">
        <v>36.6</v>
      </c>
      <c r="F1343" s="5">
        <v>36.950000000000003</v>
      </c>
      <c r="G1343" s="5">
        <v>36.049999999999997</v>
      </c>
      <c r="H1343" s="5">
        <v>36.15</v>
      </c>
      <c r="I1343" s="5">
        <v>36.15</v>
      </c>
      <c r="J1343" s="5">
        <v>36.39</v>
      </c>
      <c r="K1343" s="5">
        <v>4552</v>
      </c>
      <c r="L1343" s="5">
        <v>1.66</v>
      </c>
      <c r="M1343" s="5">
        <v>63</v>
      </c>
      <c r="N1343" s="5">
        <v>3894</v>
      </c>
      <c r="O1343" s="5">
        <v>85.54</v>
      </c>
      <c r="P1343" s="5">
        <f t="shared" si="105"/>
        <v>-0.5</v>
      </c>
      <c r="Q1343" s="6">
        <f t="shared" si="106"/>
        <v>-1.3642564802182811E-2</v>
      </c>
      <c r="R1343" s="5">
        <f t="shared" si="107"/>
        <v>0.90000000000000568</v>
      </c>
      <c r="S1343" s="6">
        <f t="shared" si="108"/>
        <v>2.4556616643929215E-2</v>
      </c>
      <c r="T1343" s="6">
        <f t="shared" si="109"/>
        <v>-6.5866209262436222E-3</v>
      </c>
    </row>
    <row r="1344" spans="1:20" hidden="1" x14ac:dyDescent="0.25">
      <c r="A1344" s="4" t="s">
        <v>1277</v>
      </c>
      <c r="B1344" s="5" t="s">
        <v>28</v>
      </c>
      <c r="C1344" s="5" t="s">
        <v>1823</v>
      </c>
      <c r="D1344" s="5">
        <v>84.95</v>
      </c>
      <c r="E1344" s="5">
        <v>100</v>
      </c>
      <c r="F1344" s="5">
        <v>100</v>
      </c>
      <c r="G1344" s="5">
        <v>100</v>
      </c>
      <c r="H1344" s="5">
        <v>100</v>
      </c>
      <c r="I1344" s="5">
        <v>100</v>
      </c>
      <c r="J1344" s="5">
        <v>100</v>
      </c>
      <c r="K1344" s="5">
        <v>1600</v>
      </c>
      <c r="L1344" s="5">
        <v>1.6</v>
      </c>
      <c r="M1344" s="5">
        <v>1</v>
      </c>
      <c r="N1344" s="5">
        <v>1600</v>
      </c>
      <c r="O1344" s="5">
        <v>100</v>
      </c>
      <c r="P1344" s="5">
        <f t="shared" si="105"/>
        <v>15.049999999999997</v>
      </c>
      <c r="Q1344" s="6">
        <f t="shared" si="106"/>
        <v>0.17716303708063563</v>
      </c>
      <c r="R1344" s="5">
        <f t="shared" si="107"/>
        <v>0</v>
      </c>
      <c r="S1344" s="6">
        <f t="shared" si="108"/>
        <v>0</v>
      </c>
      <c r="T1344" s="6">
        <f t="shared" si="109"/>
        <v>0</v>
      </c>
    </row>
    <row r="1345" spans="1:20" hidden="1" x14ac:dyDescent="0.25">
      <c r="A1345" s="4" t="s">
        <v>1278</v>
      </c>
      <c r="B1345" s="5" t="s">
        <v>16</v>
      </c>
      <c r="C1345" s="5" t="s">
        <v>1823</v>
      </c>
      <c r="D1345" s="5">
        <v>0.55000000000000004</v>
      </c>
      <c r="E1345" s="5">
        <v>0.55000000000000004</v>
      </c>
      <c r="F1345" s="5">
        <v>0.55000000000000004</v>
      </c>
      <c r="G1345" s="5">
        <v>0.5</v>
      </c>
      <c r="H1345" s="5">
        <v>0.55000000000000004</v>
      </c>
      <c r="I1345" s="5">
        <v>0.5</v>
      </c>
      <c r="J1345" s="5">
        <v>0.5</v>
      </c>
      <c r="K1345" s="5">
        <v>81337</v>
      </c>
      <c r="L1345" s="5">
        <v>0.41</v>
      </c>
      <c r="M1345" s="5">
        <v>106</v>
      </c>
      <c r="N1345" s="5">
        <v>71331</v>
      </c>
      <c r="O1345" s="5">
        <v>87.7</v>
      </c>
      <c r="P1345" s="5">
        <f t="shared" si="105"/>
        <v>-5.0000000000000044E-2</v>
      </c>
      <c r="Q1345" s="6">
        <f t="shared" si="106"/>
        <v>-9.0909090909090981E-2</v>
      </c>
      <c r="R1345" s="5">
        <f t="shared" si="107"/>
        <v>5.0000000000000044E-2</v>
      </c>
      <c r="S1345" s="6">
        <f t="shared" si="108"/>
        <v>9.0909090909090981E-2</v>
      </c>
      <c r="T1345" s="6">
        <f t="shared" si="109"/>
        <v>0</v>
      </c>
    </row>
    <row r="1346" spans="1:20" hidden="1" x14ac:dyDescent="0.25">
      <c r="A1346" s="4" t="s">
        <v>1279</v>
      </c>
      <c r="B1346" s="5" t="s">
        <v>16</v>
      </c>
      <c r="C1346" s="5" t="s">
        <v>1823</v>
      </c>
      <c r="D1346" s="5">
        <v>17.8</v>
      </c>
      <c r="E1346" s="5">
        <v>17.600000000000001</v>
      </c>
      <c r="F1346" s="5">
        <v>18.600000000000001</v>
      </c>
      <c r="G1346" s="5">
        <v>17.100000000000001</v>
      </c>
      <c r="H1346" s="5">
        <v>17.95</v>
      </c>
      <c r="I1346" s="5">
        <v>17.75</v>
      </c>
      <c r="J1346" s="5">
        <v>17.93</v>
      </c>
      <c r="K1346" s="5">
        <v>23102</v>
      </c>
      <c r="L1346" s="5">
        <v>4.1399999999999997</v>
      </c>
      <c r="M1346" s="5">
        <v>129</v>
      </c>
      <c r="N1346" s="5">
        <v>14114</v>
      </c>
      <c r="O1346" s="5">
        <v>61.09</v>
      </c>
      <c r="P1346" s="5">
        <f t="shared" si="105"/>
        <v>-5.0000000000000711E-2</v>
      </c>
      <c r="Q1346" s="6">
        <f t="shared" si="106"/>
        <v>-2.8089887640449836E-3</v>
      </c>
      <c r="R1346" s="5">
        <f t="shared" si="107"/>
        <v>1.5</v>
      </c>
      <c r="S1346" s="6">
        <f t="shared" si="108"/>
        <v>8.4269662921348312E-2</v>
      </c>
      <c r="T1346" s="6">
        <f t="shared" si="109"/>
        <v>-1.0133708655876126E-2</v>
      </c>
    </row>
    <row r="1347" spans="1:20" x14ac:dyDescent="0.25">
      <c r="A1347" s="4" t="s">
        <v>1645</v>
      </c>
      <c r="B1347" s="5" t="s">
        <v>16</v>
      </c>
      <c r="C1347" s="5" t="s">
        <v>1823</v>
      </c>
      <c r="D1347" s="5">
        <v>49.8</v>
      </c>
      <c r="E1347" s="5">
        <v>49.5</v>
      </c>
      <c r="F1347" s="5">
        <v>49.5</v>
      </c>
      <c r="G1347" s="5">
        <v>47.35</v>
      </c>
      <c r="H1347" s="5">
        <v>47.35</v>
      </c>
      <c r="I1347" s="5">
        <v>47.55</v>
      </c>
      <c r="J1347" s="5">
        <v>48</v>
      </c>
      <c r="K1347" s="5">
        <v>209234</v>
      </c>
      <c r="L1347" s="5">
        <v>100.43</v>
      </c>
      <c r="M1347" s="5">
        <v>1527</v>
      </c>
      <c r="N1347" s="5">
        <v>126070</v>
      </c>
      <c r="O1347" s="5">
        <v>60.25</v>
      </c>
      <c r="P1347" s="5">
        <f t="shared" si="105"/>
        <v>-2.25</v>
      </c>
      <c r="Q1347" s="6">
        <f t="shared" si="106"/>
        <v>-4.5180722891566265E-2</v>
      </c>
      <c r="R1347" s="5">
        <f t="shared" si="107"/>
        <v>2.1499999999999986</v>
      </c>
      <c r="S1347" s="6">
        <f t="shared" si="108"/>
        <v>4.3172690763052184E-2</v>
      </c>
      <c r="T1347" s="6">
        <f t="shared" si="109"/>
        <v>-9.28313563692631E-3</v>
      </c>
    </row>
    <row r="1348" spans="1:20" hidden="1" x14ac:dyDescent="0.25">
      <c r="A1348" s="4" t="s">
        <v>1281</v>
      </c>
      <c r="B1348" s="5" t="s">
        <v>16</v>
      </c>
      <c r="C1348" s="5" t="s">
        <v>1823</v>
      </c>
      <c r="D1348" s="5">
        <v>20.399999999999999</v>
      </c>
      <c r="E1348" s="5">
        <v>20.75</v>
      </c>
      <c r="F1348" s="5">
        <v>20.75</v>
      </c>
      <c r="G1348" s="5">
        <v>19.8</v>
      </c>
      <c r="H1348" s="5">
        <v>19.899999999999999</v>
      </c>
      <c r="I1348" s="5">
        <v>20</v>
      </c>
      <c r="J1348" s="5">
        <v>20.27</v>
      </c>
      <c r="K1348" s="5">
        <v>75566</v>
      </c>
      <c r="L1348" s="5">
        <v>15.32</v>
      </c>
      <c r="M1348" s="5">
        <v>463</v>
      </c>
      <c r="N1348" s="5">
        <v>46391</v>
      </c>
      <c r="O1348" s="5">
        <v>61.39</v>
      </c>
      <c r="P1348" s="5">
        <f t="shared" si="105"/>
        <v>-0.39999999999999858</v>
      </c>
      <c r="Q1348" s="6">
        <f t="shared" si="106"/>
        <v>-1.9607843137254832E-2</v>
      </c>
      <c r="R1348" s="5">
        <f t="shared" si="107"/>
        <v>0.94999999999999929</v>
      </c>
      <c r="S1348" s="6">
        <f t="shared" si="108"/>
        <v>4.6568627450980359E-2</v>
      </c>
      <c r="T1348" s="6">
        <f t="shared" si="109"/>
        <v>-1.3284132841328393E-2</v>
      </c>
    </row>
    <row r="1349" spans="1:20" hidden="1" x14ac:dyDescent="0.25">
      <c r="A1349" s="4" t="s">
        <v>1282</v>
      </c>
      <c r="B1349" s="5" t="s">
        <v>16</v>
      </c>
      <c r="C1349" s="5" t="s">
        <v>1823</v>
      </c>
      <c r="D1349" s="5">
        <v>0.7</v>
      </c>
      <c r="E1349" s="5">
        <v>0.75</v>
      </c>
      <c r="F1349" s="5">
        <v>0.75</v>
      </c>
      <c r="G1349" s="5">
        <v>0.7</v>
      </c>
      <c r="H1349" s="5">
        <v>0.7</v>
      </c>
      <c r="I1349" s="5">
        <v>0.7</v>
      </c>
      <c r="J1349" s="5">
        <v>0.71</v>
      </c>
      <c r="K1349" s="5">
        <v>65402</v>
      </c>
      <c r="L1349" s="5">
        <v>0.46</v>
      </c>
      <c r="M1349" s="5">
        <v>27</v>
      </c>
      <c r="N1349" s="5">
        <v>42201</v>
      </c>
      <c r="O1349" s="5">
        <v>64.53</v>
      </c>
      <c r="P1349" s="5">
        <f t="shared" si="105"/>
        <v>0</v>
      </c>
      <c r="Q1349" s="6">
        <f t="shared" si="106"/>
        <v>0</v>
      </c>
      <c r="R1349" s="5">
        <f t="shared" si="107"/>
        <v>5.0000000000000044E-2</v>
      </c>
      <c r="S1349" s="6">
        <f t="shared" si="108"/>
        <v>7.1428571428571494E-2</v>
      </c>
      <c r="T1349" s="6">
        <f t="shared" si="109"/>
        <v>-1.3793103448275872E-2</v>
      </c>
    </row>
    <row r="1350" spans="1:20" hidden="1" x14ac:dyDescent="0.25">
      <c r="A1350" s="4" t="s">
        <v>1283</v>
      </c>
      <c r="B1350" s="5" t="s">
        <v>16</v>
      </c>
      <c r="C1350" s="5" t="s">
        <v>1823</v>
      </c>
      <c r="D1350" s="5">
        <v>545.5</v>
      </c>
      <c r="E1350" s="5">
        <v>547.5</v>
      </c>
      <c r="F1350" s="5">
        <v>554.75</v>
      </c>
      <c r="G1350" s="5">
        <v>546.5</v>
      </c>
      <c r="H1350" s="5">
        <v>552</v>
      </c>
      <c r="I1350" s="5">
        <v>548.4</v>
      </c>
      <c r="J1350" s="5">
        <v>549.87</v>
      </c>
      <c r="K1350" s="5">
        <v>31772</v>
      </c>
      <c r="L1350" s="5">
        <v>174.7</v>
      </c>
      <c r="M1350" s="5">
        <v>610</v>
      </c>
      <c r="N1350" s="5">
        <v>16571</v>
      </c>
      <c r="O1350" s="5">
        <v>52.16</v>
      </c>
      <c r="P1350" s="5">
        <f t="shared" si="105"/>
        <v>2.8999999999999773</v>
      </c>
      <c r="Q1350" s="6">
        <f t="shared" si="106"/>
        <v>5.3162236480292892E-3</v>
      </c>
      <c r="R1350" s="5">
        <f t="shared" si="107"/>
        <v>8.25</v>
      </c>
      <c r="S1350" s="6">
        <f t="shared" si="108"/>
        <v>1.5123739688359304E-2</v>
      </c>
      <c r="T1350" s="6">
        <f t="shared" si="109"/>
        <v>-2.6761941606172129E-3</v>
      </c>
    </row>
    <row r="1351" spans="1:20" hidden="1" x14ac:dyDescent="0.25">
      <c r="A1351" s="4" t="s">
        <v>1284</v>
      </c>
      <c r="B1351" s="5" t="s">
        <v>16</v>
      </c>
      <c r="C1351" s="5" t="s">
        <v>1823</v>
      </c>
      <c r="D1351" s="5">
        <v>278.04000000000002</v>
      </c>
      <c r="E1351" s="5">
        <v>275.5</v>
      </c>
      <c r="F1351" s="5">
        <v>275.5</v>
      </c>
      <c r="G1351" s="5">
        <v>261.51</v>
      </c>
      <c r="H1351" s="5">
        <v>261.51</v>
      </c>
      <c r="I1351" s="5">
        <v>262.73</v>
      </c>
      <c r="J1351" s="5">
        <v>266.52</v>
      </c>
      <c r="K1351" s="5">
        <v>3564</v>
      </c>
      <c r="L1351" s="5">
        <v>9.5</v>
      </c>
      <c r="M1351" s="5">
        <v>190</v>
      </c>
      <c r="N1351" s="5">
        <v>2632</v>
      </c>
      <c r="O1351" s="5">
        <v>73.849999999999994</v>
      </c>
      <c r="P1351" s="5">
        <f t="shared" si="105"/>
        <v>-15.310000000000002</v>
      </c>
      <c r="Q1351" s="6">
        <f t="shared" si="106"/>
        <v>-5.5064019565530142E-2</v>
      </c>
      <c r="R1351" s="5">
        <f t="shared" si="107"/>
        <v>13.990000000000009</v>
      </c>
      <c r="S1351" s="6">
        <f t="shared" si="108"/>
        <v>5.0316501222845665E-2</v>
      </c>
      <c r="T1351" s="6">
        <f t="shared" si="109"/>
        <v>-1.4099177857966457E-2</v>
      </c>
    </row>
    <row r="1352" spans="1:20" x14ac:dyDescent="0.25">
      <c r="A1352" s="4" t="s">
        <v>803</v>
      </c>
      <c r="B1352" s="5" t="s">
        <v>16</v>
      </c>
      <c r="C1352" s="5" t="s">
        <v>1823</v>
      </c>
      <c r="D1352" s="5">
        <v>256</v>
      </c>
      <c r="E1352" s="5">
        <v>255.1</v>
      </c>
      <c r="F1352" s="5">
        <v>256.25</v>
      </c>
      <c r="G1352" s="5">
        <v>242.7</v>
      </c>
      <c r="H1352" s="5">
        <v>245</v>
      </c>
      <c r="I1352" s="5">
        <v>247.55</v>
      </c>
      <c r="J1352" s="5">
        <v>251.89</v>
      </c>
      <c r="K1352" s="5">
        <v>20597095</v>
      </c>
      <c r="L1352" s="5">
        <v>51881.42</v>
      </c>
      <c r="M1352" s="5">
        <v>200544</v>
      </c>
      <c r="N1352" s="5">
        <v>12420696</v>
      </c>
      <c r="O1352" s="5">
        <v>60.3</v>
      </c>
      <c r="P1352" s="5">
        <f t="shared" si="105"/>
        <v>-8.4499999999999886</v>
      </c>
      <c r="Q1352" s="6">
        <f t="shared" si="106"/>
        <v>-3.3007812499999956E-2</v>
      </c>
      <c r="R1352" s="5">
        <f t="shared" si="107"/>
        <v>13.550000000000011</v>
      </c>
      <c r="S1352" s="6">
        <f t="shared" si="108"/>
        <v>5.2929687500000044E-2</v>
      </c>
      <c r="T1352" s="6">
        <f t="shared" si="109"/>
        <v>-1.7332268370606932E-2</v>
      </c>
    </row>
    <row r="1353" spans="1:20" hidden="1" x14ac:dyDescent="0.25">
      <c r="A1353" s="4" t="s">
        <v>1286</v>
      </c>
      <c r="B1353" s="5" t="s">
        <v>16</v>
      </c>
      <c r="C1353" s="5" t="s">
        <v>1823</v>
      </c>
      <c r="D1353" s="5">
        <v>36.450000000000003</v>
      </c>
      <c r="E1353" s="5">
        <v>36.450000000000003</v>
      </c>
      <c r="F1353" s="5">
        <v>36.85</v>
      </c>
      <c r="G1353" s="5">
        <v>35.6</v>
      </c>
      <c r="H1353" s="5">
        <v>36</v>
      </c>
      <c r="I1353" s="5">
        <v>35.85</v>
      </c>
      <c r="J1353" s="5">
        <v>35.869999999999997</v>
      </c>
      <c r="K1353" s="5">
        <v>14415</v>
      </c>
      <c r="L1353" s="5">
        <v>5.17</v>
      </c>
      <c r="M1353" s="5">
        <v>93</v>
      </c>
      <c r="N1353" s="5">
        <v>9975</v>
      </c>
      <c r="O1353" s="5">
        <v>69.2</v>
      </c>
      <c r="P1353" s="5">
        <f t="shared" si="105"/>
        <v>-0.60000000000000142</v>
      </c>
      <c r="Q1353" s="6">
        <f t="shared" si="106"/>
        <v>-1.6460905349794275E-2</v>
      </c>
      <c r="R1353" s="5">
        <f t="shared" si="107"/>
        <v>1.25</v>
      </c>
      <c r="S1353" s="6">
        <f t="shared" si="108"/>
        <v>3.4293552812071325E-2</v>
      </c>
      <c r="T1353" s="6">
        <f t="shared" si="109"/>
        <v>-5.5267702936085718E-4</v>
      </c>
    </row>
    <row r="1354" spans="1:20" hidden="1" x14ac:dyDescent="0.25">
      <c r="A1354" s="4" t="s">
        <v>1287</v>
      </c>
      <c r="B1354" s="5" t="s">
        <v>28</v>
      </c>
      <c r="C1354" s="5" t="s">
        <v>1823</v>
      </c>
      <c r="D1354" s="5">
        <v>40</v>
      </c>
      <c r="E1354" s="5">
        <v>42</v>
      </c>
      <c r="F1354" s="5">
        <v>42</v>
      </c>
      <c r="G1354" s="5">
        <v>40</v>
      </c>
      <c r="H1354" s="5">
        <v>40</v>
      </c>
      <c r="I1354" s="5">
        <v>40</v>
      </c>
      <c r="J1354" s="5">
        <v>41</v>
      </c>
      <c r="K1354" s="5">
        <v>8000</v>
      </c>
      <c r="L1354" s="5">
        <v>3.28</v>
      </c>
      <c r="M1354" s="5">
        <v>4</v>
      </c>
      <c r="N1354" s="5">
        <v>6000</v>
      </c>
      <c r="O1354" s="5">
        <v>75</v>
      </c>
      <c r="P1354" s="5">
        <f t="shared" si="105"/>
        <v>0</v>
      </c>
      <c r="Q1354" s="6">
        <f t="shared" si="106"/>
        <v>0</v>
      </c>
      <c r="R1354" s="5">
        <f t="shared" si="107"/>
        <v>2</v>
      </c>
      <c r="S1354" s="6">
        <f t="shared" si="108"/>
        <v>0.05</v>
      </c>
      <c r="T1354" s="6">
        <f t="shared" si="109"/>
        <v>-2.4390243902439025E-2</v>
      </c>
    </row>
    <row r="1355" spans="1:20" hidden="1" x14ac:dyDescent="0.25">
      <c r="A1355" s="4" t="s">
        <v>1288</v>
      </c>
      <c r="B1355" s="5" t="s">
        <v>16</v>
      </c>
      <c r="C1355" s="5" t="s">
        <v>1823</v>
      </c>
      <c r="D1355" s="5">
        <v>543.5</v>
      </c>
      <c r="E1355" s="5">
        <v>535</v>
      </c>
      <c r="F1355" s="5">
        <v>547</v>
      </c>
      <c r="G1355" s="5">
        <v>535</v>
      </c>
      <c r="H1355" s="5">
        <v>543</v>
      </c>
      <c r="I1355" s="5">
        <v>543</v>
      </c>
      <c r="J1355" s="5">
        <v>542.01</v>
      </c>
      <c r="K1355" s="5">
        <v>182</v>
      </c>
      <c r="L1355" s="5">
        <v>0.99</v>
      </c>
      <c r="M1355" s="5">
        <v>71</v>
      </c>
      <c r="N1355" s="5">
        <v>112</v>
      </c>
      <c r="O1355" s="5">
        <v>61.54</v>
      </c>
      <c r="P1355" s="5">
        <f t="shared" si="105"/>
        <v>-0.5</v>
      </c>
      <c r="Q1355" s="6">
        <f t="shared" si="106"/>
        <v>-9.1996320147194111E-4</v>
      </c>
      <c r="R1355" s="5">
        <f t="shared" si="107"/>
        <v>12</v>
      </c>
      <c r="S1355" s="6">
        <f t="shared" si="108"/>
        <v>2.2079116835326588E-2</v>
      </c>
      <c r="T1355" s="6">
        <f t="shared" si="109"/>
        <v>1.8333333333333502E-3</v>
      </c>
    </row>
    <row r="1356" spans="1:20" hidden="1" x14ac:dyDescent="0.25">
      <c r="A1356" s="4" t="s">
        <v>1289</v>
      </c>
      <c r="B1356" s="5" t="s">
        <v>24</v>
      </c>
      <c r="C1356" s="5" t="s">
        <v>1823</v>
      </c>
      <c r="D1356" s="5">
        <v>1.1499999999999999</v>
      </c>
      <c r="E1356" s="5">
        <v>1.1499999999999999</v>
      </c>
      <c r="F1356" s="5">
        <v>1.2</v>
      </c>
      <c r="G1356" s="5">
        <v>1.1499999999999999</v>
      </c>
      <c r="H1356" s="5">
        <v>1.2</v>
      </c>
      <c r="I1356" s="5">
        <v>1.2</v>
      </c>
      <c r="J1356" s="5">
        <v>1.17</v>
      </c>
      <c r="K1356" s="5">
        <v>63996</v>
      </c>
      <c r="L1356" s="5">
        <v>0.75</v>
      </c>
      <c r="M1356" s="5">
        <v>101</v>
      </c>
      <c r="N1356" s="5" t="s">
        <v>25</v>
      </c>
      <c r="O1356" s="5" t="s">
        <v>25</v>
      </c>
      <c r="P1356" s="5">
        <f t="shared" ref="P1356:P1419" si="110">I1356-D1356</f>
        <v>5.0000000000000044E-2</v>
      </c>
      <c r="Q1356" s="6">
        <f t="shared" ref="Q1356:Q1419" si="111">P1356/D1356</f>
        <v>4.3478260869565258E-2</v>
      </c>
      <c r="R1356" s="5">
        <f t="shared" ref="R1356:R1419" si="112">ABS(F1356-G1356)</f>
        <v>5.0000000000000044E-2</v>
      </c>
      <c r="S1356" s="6">
        <f t="shared" ref="S1356:S1419" si="113">R1356/D1356</f>
        <v>4.3478260869565258E-2</v>
      </c>
      <c r="T1356" s="6">
        <f t="shared" ref="T1356:T1419" si="114">(I1356-J1356)/AVERAGE(E1356:G1356,I1356)</f>
        <v>2.5531914893617048E-2</v>
      </c>
    </row>
    <row r="1357" spans="1:20" hidden="1" x14ac:dyDescent="0.25">
      <c r="A1357" s="4" t="s">
        <v>1290</v>
      </c>
      <c r="B1357" s="5" t="s">
        <v>16</v>
      </c>
      <c r="C1357" s="5" t="s">
        <v>1823</v>
      </c>
      <c r="D1357" s="5">
        <v>71.599999999999994</v>
      </c>
      <c r="E1357" s="5">
        <v>71.599999999999994</v>
      </c>
      <c r="F1357" s="5">
        <v>72.650000000000006</v>
      </c>
      <c r="G1357" s="5">
        <v>68.900000000000006</v>
      </c>
      <c r="H1357" s="5">
        <v>69.55</v>
      </c>
      <c r="I1357" s="5">
        <v>69.75</v>
      </c>
      <c r="J1357" s="5">
        <v>70.48</v>
      </c>
      <c r="K1357" s="5">
        <v>53643</v>
      </c>
      <c r="L1357" s="5">
        <v>37.81</v>
      </c>
      <c r="M1357" s="5">
        <v>1062</v>
      </c>
      <c r="N1357" s="5">
        <v>34948</v>
      </c>
      <c r="O1357" s="5">
        <v>65.150000000000006</v>
      </c>
      <c r="P1357" s="5">
        <f t="shared" si="110"/>
        <v>-1.8499999999999943</v>
      </c>
      <c r="Q1357" s="6">
        <f t="shared" si="111"/>
        <v>-2.5837988826815567E-2</v>
      </c>
      <c r="R1357" s="5">
        <f t="shared" si="112"/>
        <v>3.75</v>
      </c>
      <c r="S1357" s="6">
        <f t="shared" si="113"/>
        <v>5.2374301675977661E-2</v>
      </c>
      <c r="T1357" s="6">
        <f t="shared" si="114"/>
        <v>-1.0321668434075702E-2</v>
      </c>
    </row>
    <row r="1358" spans="1:20" hidden="1" x14ac:dyDescent="0.25">
      <c r="A1358" s="4" t="s">
        <v>1291</v>
      </c>
      <c r="B1358" s="5" t="s">
        <v>28</v>
      </c>
      <c r="C1358" s="5" t="s">
        <v>1823</v>
      </c>
      <c r="D1358" s="5">
        <v>4.8</v>
      </c>
      <c r="E1358" s="5">
        <v>5</v>
      </c>
      <c r="F1358" s="5">
        <v>5</v>
      </c>
      <c r="G1358" s="5">
        <v>5</v>
      </c>
      <c r="H1358" s="5">
        <v>5</v>
      </c>
      <c r="I1358" s="5">
        <v>5</v>
      </c>
      <c r="J1358" s="5">
        <v>5</v>
      </c>
      <c r="K1358" s="5">
        <v>2000</v>
      </c>
      <c r="L1358" s="5">
        <v>0.1</v>
      </c>
      <c r="M1358" s="5">
        <v>1</v>
      </c>
      <c r="N1358" s="5">
        <v>2000</v>
      </c>
      <c r="O1358" s="5">
        <v>100</v>
      </c>
      <c r="P1358" s="5">
        <f t="shared" si="110"/>
        <v>0.20000000000000018</v>
      </c>
      <c r="Q1358" s="6">
        <f t="shared" si="111"/>
        <v>4.1666666666666706E-2</v>
      </c>
      <c r="R1358" s="5">
        <f t="shared" si="112"/>
        <v>0</v>
      </c>
      <c r="S1358" s="6">
        <f t="shared" si="113"/>
        <v>0</v>
      </c>
      <c r="T1358" s="6">
        <f t="shared" si="114"/>
        <v>0</v>
      </c>
    </row>
    <row r="1359" spans="1:20" x14ac:dyDescent="0.25">
      <c r="A1359" s="4" t="s">
        <v>457</v>
      </c>
      <c r="B1359" s="5" t="s">
        <v>16</v>
      </c>
      <c r="C1359" s="5" t="s">
        <v>1823</v>
      </c>
      <c r="D1359" s="5">
        <v>28.2</v>
      </c>
      <c r="E1359" s="5">
        <v>28.15</v>
      </c>
      <c r="F1359" s="5">
        <v>28.3</v>
      </c>
      <c r="G1359" s="5">
        <v>26.5</v>
      </c>
      <c r="H1359" s="5">
        <v>26.65</v>
      </c>
      <c r="I1359" s="5">
        <v>26.7</v>
      </c>
      <c r="J1359" s="5">
        <v>27.19</v>
      </c>
      <c r="K1359" s="5">
        <v>161388</v>
      </c>
      <c r="L1359" s="5">
        <v>43.88</v>
      </c>
      <c r="M1359" s="5">
        <v>943</v>
      </c>
      <c r="N1359" s="5">
        <v>97830</v>
      </c>
      <c r="O1359" s="5">
        <v>60.62</v>
      </c>
      <c r="P1359" s="5">
        <f t="shared" si="110"/>
        <v>-1.5</v>
      </c>
      <c r="Q1359" s="6">
        <f t="shared" si="111"/>
        <v>-5.3191489361702128E-2</v>
      </c>
      <c r="R1359" s="5">
        <f t="shared" si="112"/>
        <v>1.8000000000000007</v>
      </c>
      <c r="S1359" s="6">
        <f t="shared" si="113"/>
        <v>6.3829787234042576E-2</v>
      </c>
      <c r="T1359" s="6">
        <f t="shared" si="114"/>
        <v>-1.7875056999544076E-2</v>
      </c>
    </row>
    <row r="1360" spans="1:20" hidden="1" x14ac:dyDescent="0.25">
      <c r="A1360" s="4" t="s">
        <v>1293</v>
      </c>
      <c r="B1360" s="5" t="s">
        <v>16</v>
      </c>
      <c r="C1360" s="5" t="s">
        <v>1823</v>
      </c>
      <c r="D1360" s="5">
        <v>1647.1</v>
      </c>
      <c r="E1360" s="5">
        <v>1650.25</v>
      </c>
      <c r="F1360" s="5">
        <v>1664.95</v>
      </c>
      <c r="G1360" s="5">
        <v>1650.25</v>
      </c>
      <c r="H1360" s="5">
        <v>1662</v>
      </c>
      <c r="I1360" s="5">
        <v>1663</v>
      </c>
      <c r="J1360" s="5">
        <v>1661.02</v>
      </c>
      <c r="K1360" s="5">
        <v>730</v>
      </c>
      <c r="L1360" s="5">
        <v>12.13</v>
      </c>
      <c r="M1360" s="5">
        <v>97</v>
      </c>
      <c r="N1360" s="5">
        <v>320</v>
      </c>
      <c r="O1360" s="5">
        <v>43.84</v>
      </c>
      <c r="P1360" s="5">
        <f t="shared" si="110"/>
        <v>15.900000000000091</v>
      </c>
      <c r="Q1360" s="6">
        <f t="shared" si="111"/>
        <v>9.6533300953191015E-3</v>
      </c>
      <c r="R1360" s="5">
        <f t="shared" si="112"/>
        <v>14.700000000000045</v>
      </c>
      <c r="S1360" s="6">
        <f t="shared" si="113"/>
        <v>8.9247768805780139E-3</v>
      </c>
      <c r="T1360" s="6">
        <f t="shared" si="114"/>
        <v>1.1948494746132313E-3</v>
      </c>
    </row>
    <row r="1361" spans="1:20" hidden="1" x14ac:dyDescent="0.25">
      <c r="A1361" s="4" t="s">
        <v>1294</v>
      </c>
      <c r="B1361" s="5" t="s">
        <v>16</v>
      </c>
      <c r="C1361" s="5" t="s">
        <v>1823</v>
      </c>
      <c r="D1361" s="5">
        <v>1189</v>
      </c>
      <c r="E1361" s="5">
        <v>1179.5</v>
      </c>
      <c r="F1361" s="5">
        <v>1179.5</v>
      </c>
      <c r="G1361" s="5">
        <v>1174.5</v>
      </c>
      <c r="H1361" s="5">
        <v>1176</v>
      </c>
      <c r="I1361" s="5">
        <v>1176</v>
      </c>
      <c r="J1361" s="5">
        <v>1175.56</v>
      </c>
      <c r="K1361" s="5">
        <v>9</v>
      </c>
      <c r="L1361" s="5">
        <v>0.11</v>
      </c>
      <c r="M1361" s="5">
        <v>9</v>
      </c>
      <c r="N1361" s="5">
        <v>8</v>
      </c>
      <c r="O1361" s="5">
        <v>88.89</v>
      </c>
      <c r="P1361" s="5">
        <f t="shared" si="110"/>
        <v>-13</v>
      </c>
      <c r="Q1361" s="6">
        <f t="shared" si="111"/>
        <v>-1.0933557611438183E-2</v>
      </c>
      <c r="R1361" s="5">
        <f t="shared" si="112"/>
        <v>5</v>
      </c>
      <c r="S1361" s="6">
        <f t="shared" si="113"/>
        <v>4.2052144659377629E-3</v>
      </c>
      <c r="T1361" s="6">
        <f t="shared" si="114"/>
        <v>3.7371270835549812E-4</v>
      </c>
    </row>
    <row r="1362" spans="1:20" x14ac:dyDescent="0.25">
      <c r="A1362" s="4" t="s">
        <v>853</v>
      </c>
      <c r="B1362" s="5" t="s">
        <v>16</v>
      </c>
      <c r="C1362" s="5" t="s">
        <v>1823</v>
      </c>
      <c r="D1362" s="5">
        <v>67.8</v>
      </c>
      <c r="E1362" s="5">
        <v>67.2</v>
      </c>
      <c r="F1362" s="5">
        <v>68.95</v>
      </c>
      <c r="G1362" s="5">
        <v>65.8</v>
      </c>
      <c r="H1362" s="5">
        <v>66.2</v>
      </c>
      <c r="I1362" s="5">
        <v>66.349999999999994</v>
      </c>
      <c r="J1362" s="5">
        <v>67.319999999999993</v>
      </c>
      <c r="K1362" s="5">
        <v>153554</v>
      </c>
      <c r="L1362" s="5">
        <v>103.37</v>
      </c>
      <c r="M1362" s="5">
        <v>1644</v>
      </c>
      <c r="N1362" s="5">
        <v>93400</v>
      </c>
      <c r="O1362" s="5">
        <v>60.83</v>
      </c>
      <c r="P1362" s="5">
        <f t="shared" si="110"/>
        <v>-1.4500000000000028</v>
      </c>
      <c r="Q1362" s="6">
        <f t="shared" si="111"/>
        <v>-2.1386430678466118E-2</v>
      </c>
      <c r="R1362" s="5">
        <f t="shared" si="112"/>
        <v>3.1500000000000057</v>
      </c>
      <c r="S1362" s="6">
        <f t="shared" si="113"/>
        <v>4.6460176991150529E-2</v>
      </c>
      <c r="T1362" s="6">
        <f t="shared" si="114"/>
        <v>-1.4461423779351458E-2</v>
      </c>
    </row>
    <row r="1363" spans="1:20" x14ac:dyDescent="0.25">
      <c r="A1363" s="4" t="s">
        <v>1080</v>
      </c>
      <c r="B1363" s="5" t="s">
        <v>16</v>
      </c>
      <c r="C1363" s="5" t="s">
        <v>1823</v>
      </c>
      <c r="D1363" s="5">
        <v>104.85</v>
      </c>
      <c r="E1363" s="5">
        <v>106.9</v>
      </c>
      <c r="F1363" s="5">
        <v>106.9</v>
      </c>
      <c r="G1363" s="5">
        <v>98</v>
      </c>
      <c r="H1363" s="5">
        <v>100.4</v>
      </c>
      <c r="I1363" s="5">
        <v>100.6</v>
      </c>
      <c r="J1363" s="5">
        <v>100.99</v>
      </c>
      <c r="K1363" s="5">
        <v>104832</v>
      </c>
      <c r="L1363" s="5">
        <v>105.86</v>
      </c>
      <c r="M1363" s="5">
        <v>1844</v>
      </c>
      <c r="N1363" s="5">
        <v>63884</v>
      </c>
      <c r="O1363" s="5">
        <v>60.94</v>
      </c>
      <c r="P1363" s="5">
        <f t="shared" si="110"/>
        <v>-4.25</v>
      </c>
      <c r="Q1363" s="6">
        <f t="shared" si="111"/>
        <v>-4.053409632808775E-2</v>
      </c>
      <c r="R1363" s="5">
        <f t="shared" si="112"/>
        <v>8.9000000000000057</v>
      </c>
      <c r="S1363" s="6">
        <f t="shared" si="113"/>
        <v>8.4883166428230863E-2</v>
      </c>
      <c r="T1363" s="6">
        <f t="shared" si="114"/>
        <v>-3.7827352085354083E-3</v>
      </c>
    </row>
    <row r="1364" spans="1:20" hidden="1" x14ac:dyDescent="0.25">
      <c r="A1364" s="4" t="s">
        <v>1297</v>
      </c>
      <c r="B1364" s="5" t="s">
        <v>39</v>
      </c>
      <c r="C1364" s="5" t="s">
        <v>1823</v>
      </c>
      <c r="D1364" s="5">
        <v>0.4</v>
      </c>
      <c r="E1364" s="5">
        <v>0.4</v>
      </c>
      <c r="F1364" s="5">
        <v>0.4</v>
      </c>
      <c r="G1364" s="5">
        <v>0.4</v>
      </c>
      <c r="H1364" s="5">
        <v>0.4</v>
      </c>
      <c r="I1364" s="5">
        <v>0.4</v>
      </c>
      <c r="J1364" s="5">
        <v>0.4</v>
      </c>
      <c r="K1364" s="5">
        <v>5000</v>
      </c>
      <c r="L1364" s="5">
        <v>0.02</v>
      </c>
      <c r="M1364" s="5">
        <v>11</v>
      </c>
      <c r="N1364" s="5" t="s">
        <v>25</v>
      </c>
      <c r="O1364" s="5" t="s">
        <v>25</v>
      </c>
      <c r="P1364" s="5">
        <f t="shared" si="110"/>
        <v>0</v>
      </c>
      <c r="Q1364" s="6">
        <f t="shared" si="111"/>
        <v>0</v>
      </c>
      <c r="R1364" s="5">
        <f t="shared" si="112"/>
        <v>0</v>
      </c>
      <c r="S1364" s="6">
        <f t="shared" si="113"/>
        <v>0</v>
      </c>
      <c r="T1364" s="6">
        <f t="shared" si="114"/>
        <v>0</v>
      </c>
    </row>
    <row r="1365" spans="1:20" hidden="1" x14ac:dyDescent="0.25">
      <c r="A1365" s="4" t="s">
        <v>1298</v>
      </c>
      <c r="B1365" s="5" t="s">
        <v>16</v>
      </c>
      <c r="C1365" s="5" t="s">
        <v>1823</v>
      </c>
      <c r="D1365" s="5">
        <v>1.4</v>
      </c>
      <c r="E1365" s="5">
        <v>1.4</v>
      </c>
      <c r="F1365" s="5">
        <v>1.45</v>
      </c>
      <c r="G1365" s="5">
        <v>1.35</v>
      </c>
      <c r="H1365" s="5">
        <v>1.45</v>
      </c>
      <c r="I1365" s="5">
        <v>1.45</v>
      </c>
      <c r="J1365" s="5">
        <v>1.41</v>
      </c>
      <c r="K1365" s="5">
        <v>26678</v>
      </c>
      <c r="L1365" s="5">
        <v>0.38</v>
      </c>
      <c r="M1365" s="5">
        <v>24</v>
      </c>
      <c r="N1365" s="5">
        <v>25638</v>
      </c>
      <c r="O1365" s="5">
        <v>96.1</v>
      </c>
      <c r="P1365" s="5">
        <f t="shared" si="110"/>
        <v>5.0000000000000044E-2</v>
      </c>
      <c r="Q1365" s="6">
        <f t="shared" si="111"/>
        <v>3.5714285714285747E-2</v>
      </c>
      <c r="R1365" s="5">
        <f t="shared" si="112"/>
        <v>9.9999999999999867E-2</v>
      </c>
      <c r="S1365" s="6">
        <f t="shared" si="113"/>
        <v>7.1428571428571341E-2</v>
      </c>
      <c r="T1365" s="6">
        <f t="shared" si="114"/>
        <v>2.8318584070796488E-2</v>
      </c>
    </row>
    <row r="1366" spans="1:20" x14ac:dyDescent="0.25">
      <c r="A1366" s="4" t="s">
        <v>723</v>
      </c>
      <c r="B1366" s="5" t="s">
        <v>16</v>
      </c>
      <c r="C1366" s="5" t="s">
        <v>1823</v>
      </c>
      <c r="D1366" s="5">
        <v>38.049999999999997</v>
      </c>
      <c r="E1366" s="5">
        <v>37.799999999999997</v>
      </c>
      <c r="F1366" s="5">
        <v>38.700000000000003</v>
      </c>
      <c r="G1366" s="5">
        <v>37.5</v>
      </c>
      <c r="H1366" s="5">
        <v>37.549999999999997</v>
      </c>
      <c r="I1366" s="5">
        <v>37.6</v>
      </c>
      <c r="J1366" s="5">
        <v>37.979999999999997</v>
      </c>
      <c r="K1366" s="5">
        <v>1800587</v>
      </c>
      <c r="L1366" s="5">
        <v>683.9</v>
      </c>
      <c r="M1366" s="5">
        <v>10788</v>
      </c>
      <c r="N1366" s="5">
        <v>1102913</v>
      </c>
      <c r="O1366" s="5">
        <v>61.25</v>
      </c>
      <c r="P1366" s="5">
        <f t="shared" si="110"/>
        <v>-0.44999999999999574</v>
      </c>
      <c r="Q1366" s="6">
        <f t="shared" si="111"/>
        <v>-1.1826544021024857E-2</v>
      </c>
      <c r="R1366" s="5">
        <f t="shared" si="112"/>
        <v>1.2000000000000028</v>
      </c>
      <c r="S1366" s="6">
        <f t="shared" si="113"/>
        <v>3.1537450722733326E-2</v>
      </c>
      <c r="T1366" s="6">
        <f t="shared" si="114"/>
        <v>-1.0026385224274287E-2</v>
      </c>
    </row>
    <row r="1367" spans="1:20" hidden="1" x14ac:dyDescent="0.25">
      <c r="A1367" s="4" t="s">
        <v>1300</v>
      </c>
      <c r="B1367" s="5" t="s">
        <v>16</v>
      </c>
      <c r="C1367" s="5" t="s">
        <v>1823</v>
      </c>
      <c r="D1367" s="5">
        <v>37.4</v>
      </c>
      <c r="E1367" s="5">
        <v>38.85</v>
      </c>
      <c r="F1367" s="5">
        <v>38.85</v>
      </c>
      <c r="G1367" s="5">
        <v>36</v>
      </c>
      <c r="H1367" s="5">
        <v>36.700000000000003</v>
      </c>
      <c r="I1367" s="5">
        <v>36.9</v>
      </c>
      <c r="J1367" s="5">
        <v>36.69</v>
      </c>
      <c r="K1367" s="5">
        <v>98404</v>
      </c>
      <c r="L1367" s="5">
        <v>36.11</v>
      </c>
      <c r="M1367" s="5">
        <v>511</v>
      </c>
      <c r="N1367" s="5">
        <v>87299</v>
      </c>
      <c r="O1367" s="5">
        <v>88.71</v>
      </c>
      <c r="P1367" s="5">
        <f t="shared" si="110"/>
        <v>-0.5</v>
      </c>
      <c r="Q1367" s="6">
        <f t="shared" si="111"/>
        <v>-1.3368983957219251E-2</v>
      </c>
      <c r="R1367" s="5">
        <f t="shared" si="112"/>
        <v>2.8500000000000014</v>
      </c>
      <c r="S1367" s="6">
        <f t="shared" si="113"/>
        <v>7.6203208556149774E-2</v>
      </c>
      <c r="T1367" s="6">
        <f t="shared" si="114"/>
        <v>5.5776892430279114E-3</v>
      </c>
    </row>
    <row r="1368" spans="1:20" x14ac:dyDescent="0.25">
      <c r="A1368" s="4" t="s">
        <v>551</v>
      </c>
      <c r="B1368" s="5" t="s">
        <v>16</v>
      </c>
      <c r="C1368" s="5" t="s">
        <v>1823</v>
      </c>
      <c r="D1368" s="5">
        <v>197.4</v>
      </c>
      <c r="E1368" s="5">
        <v>197.4</v>
      </c>
      <c r="F1368" s="5">
        <v>201</v>
      </c>
      <c r="G1368" s="5">
        <v>190.05</v>
      </c>
      <c r="H1368" s="5">
        <v>198.2</v>
      </c>
      <c r="I1368" s="5">
        <v>197.2</v>
      </c>
      <c r="J1368" s="5">
        <v>194.25</v>
      </c>
      <c r="K1368" s="5">
        <v>122967</v>
      </c>
      <c r="L1368" s="5">
        <v>238.86</v>
      </c>
      <c r="M1368" s="5">
        <v>3155</v>
      </c>
      <c r="N1368" s="5">
        <v>75366</v>
      </c>
      <c r="O1368" s="5">
        <v>61.29</v>
      </c>
      <c r="P1368" s="5">
        <f t="shared" si="110"/>
        <v>-0.20000000000001705</v>
      </c>
      <c r="Q1368" s="6">
        <f t="shared" si="111"/>
        <v>-1.0131712259372698E-3</v>
      </c>
      <c r="R1368" s="5">
        <f t="shared" si="112"/>
        <v>10.949999999999989</v>
      </c>
      <c r="S1368" s="6">
        <f t="shared" si="113"/>
        <v>5.5471124620060729E-2</v>
      </c>
      <c r="T1368" s="6">
        <f t="shared" si="114"/>
        <v>1.50194106790555E-2</v>
      </c>
    </row>
    <row r="1369" spans="1:20" hidden="1" x14ac:dyDescent="0.25">
      <c r="A1369" s="4" t="s">
        <v>1302</v>
      </c>
      <c r="B1369" s="5" t="s">
        <v>16</v>
      </c>
      <c r="C1369" s="5" t="s">
        <v>1823</v>
      </c>
      <c r="D1369" s="5">
        <v>670.85</v>
      </c>
      <c r="E1369" s="5">
        <v>671.95</v>
      </c>
      <c r="F1369" s="5">
        <v>673.55</v>
      </c>
      <c r="G1369" s="5">
        <v>663.5</v>
      </c>
      <c r="H1369" s="5">
        <v>667.5</v>
      </c>
      <c r="I1369" s="5">
        <v>665.7</v>
      </c>
      <c r="J1369" s="5">
        <v>669.25</v>
      </c>
      <c r="K1369" s="5">
        <v>114360</v>
      </c>
      <c r="L1369" s="5">
        <v>765.35</v>
      </c>
      <c r="M1369" s="5">
        <v>5259</v>
      </c>
      <c r="N1369" s="5">
        <v>66196</v>
      </c>
      <c r="O1369" s="5">
        <v>57.88</v>
      </c>
      <c r="P1369" s="5">
        <f t="shared" si="110"/>
        <v>-5.1499999999999773</v>
      </c>
      <c r="Q1369" s="6">
        <f t="shared" si="111"/>
        <v>-7.6768279048967389E-3</v>
      </c>
      <c r="R1369" s="5">
        <f t="shared" si="112"/>
        <v>10.049999999999955</v>
      </c>
      <c r="S1369" s="6">
        <f t="shared" si="113"/>
        <v>1.4980994261012081E-2</v>
      </c>
      <c r="T1369" s="6">
        <f t="shared" si="114"/>
        <v>-5.3090066175645193E-3</v>
      </c>
    </row>
    <row r="1370" spans="1:20" hidden="1" x14ac:dyDescent="0.25">
      <c r="A1370" s="4" t="s">
        <v>1303</v>
      </c>
      <c r="B1370" s="5" t="s">
        <v>24</v>
      </c>
      <c r="C1370" s="5" t="s">
        <v>1823</v>
      </c>
      <c r="D1370" s="5">
        <v>0.05</v>
      </c>
      <c r="E1370" s="5">
        <v>0.05</v>
      </c>
      <c r="F1370" s="5">
        <v>0.05</v>
      </c>
      <c r="G1370" s="5">
        <v>0.05</v>
      </c>
      <c r="H1370" s="5">
        <v>0.05</v>
      </c>
      <c r="I1370" s="5">
        <v>0.05</v>
      </c>
      <c r="J1370" s="5">
        <v>0.05</v>
      </c>
      <c r="K1370" s="5">
        <v>39691</v>
      </c>
      <c r="L1370" s="5">
        <v>0.02</v>
      </c>
      <c r="M1370" s="5">
        <v>22</v>
      </c>
      <c r="N1370" s="5" t="s">
        <v>25</v>
      </c>
      <c r="O1370" s="5" t="s">
        <v>25</v>
      </c>
      <c r="P1370" s="5">
        <f t="shared" si="110"/>
        <v>0</v>
      </c>
      <c r="Q1370" s="6">
        <f t="shared" si="111"/>
        <v>0</v>
      </c>
      <c r="R1370" s="5">
        <f t="shared" si="112"/>
        <v>0</v>
      </c>
      <c r="S1370" s="6">
        <f t="shared" si="113"/>
        <v>0</v>
      </c>
      <c r="T1370" s="6">
        <f t="shared" si="114"/>
        <v>0</v>
      </c>
    </row>
    <row r="1371" spans="1:20" hidden="1" x14ac:dyDescent="0.25">
      <c r="A1371" s="4" t="s">
        <v>1304</v>
      </c>
      <c r="B1371" s="5" t="s">
        <v>16</v>
      </c>
      <c r="C1371" s="5" t="s">
        <v>1823</v>
      </c>
      <c r="D1371" s="5">
        <v>17.55</v>
      </c>
      <c r="E1371" s="5">
        <v>17.850000000000001</v>
      </c>
      <c r="F1371" s="5">
        <v>18.25</v>
      </c>
      <c r="G1371" s="5">
        <v>17.600000000000001</v>
      </c>
      <c r="H1371" s="5">
        <v>17.95</v>
      </c>
      <c r="I1371" s="5">
        <v>17.95</v>
      </c>
      <c r="J1371" s="5">
        <v>17.88</v>
      </c>
      <c r="K1371" s="5">
        <v>6379</v>
      </c>
      <c r="L1371" s="5">
        <v>1.1399999999999999</v>
      </c>
      <c r="M1371" s="5">
        <v>55</v>
      </c>
      <c r="N1371" s="5">
        <v>5864</v>
      </c>
      <c r="O1371" s="5">
        <v>91.93</v>
      </c>
      <c r="P1371" s="5">
        <f t="shared" si="110"/>
        <v>0.39999999999999858</v>
      </c>
      <c r="Q1371" s="6">
        <f t="shared" si="111"/>
        <v>2.279202279202271E-2</v>
      </c>
      <c r="R1371" s="5">
        <f t="shared" si="112"/>
        <v>0.64999999999999858</v>
      </c>
      <c r="S1371" s="6">
        <f t="shared" si="113"/>
        <v>3.7037037037036952E-2</v>
      </c>
      <c r="T1371" s="6">
        <f t="shared" si="114"/>
        <v>3.9078855547801973E-3</v>
      </c>
    </row>
    <row r="1372" spans="1:20" hidden="1" x14ac:dyDescent="0.25">
      <c r="A1372" s="4" t="s">
        <v>1305</v>
      </c>
      <c r="B1372" s="5" t="s">
        <v>16</v>
      </c>
      <c r="C1372" s="5" t="s">
        <v>1823</v>
      </c>
      <c r="D1372" s="5">
        <v>41.5</v>
      </c>
      <c r="E1372" s="5">
        <v>42.5</v>
      </c>
      <c r="F1372" s="5">
        <v>42.65</v>
      </c>
      <c r="G1372" s="5">
        <v>41</v>
      </c>
      <c r="H1372" s="5">
        <v>41.1</v>
      </c>
      <c r="I1372" s="5">
        <v>41.3</v>
      </c>
      <c r="J1372" s="5">
        <v>41.3</v>
      </c>
      <c r="K1372" s="5">
        <v>1055</v>
      </c>
      <c r="L1372" s="5">
        <v>0.44</v>
      </c>
      <c r="M1372" s="5">
        <v>27</v>
      </c>
      <c r="N1372" s="5">
        <v>919</v>
      </c>
      <c r="O1372" s="5">
        <v>87.11</v>
      </c>
      <c r="P1372" s="5">
        <f t="shared" si="110"/>
        <v>-0.20000000000000284</v>
      </c>
      <c r="Q1372" s="6">
        <f t="shared" si="111"/>
        <v>-4.819277108433803E-3</v>
      </c>
      <c r="R1372" s="5">
        <f t="shared" si="112"/>
        <v>1.6499999999999986</v>
      </c>
      <c r="S1372" s="6">
        <f t="shared" si="113"/>
        <v>3.9759036144578278E-2</v>
      </c>
      <c r="T1372" s="6">
        <f t="shared" si="114"/>
        <v>0</v>
      </c>
    </row>
    <row r="1373" spans="1:20" hidden="1" x14ac:dyDescent="0.25">
      <c r="A1373" s="4" t="s">
        <v>1306</v>
      </c>
      <c r="B1373" s="5" t="s">
        <v>16</v>
      </c>
      <c r="C1373" s="5" t="s">
        <v>1823</v>
      </c>
      <c r="D1373" s="5">
        <v>172.8</v>
      </c>
      <c r="E1373" s="5">
        <v>174.8</v>
      </c>
      <c r="F1373" s="5">
        <v>174.8</v>
      </c>
      <c r="G1373" s="5">
        <v>172.5</v>
      </c>
      <c r="H1373" s="5">
        <v>173.15</v>
      </c>
      <c r="I1373" s="5">
        <v>173.1</v>
      </c>
      <c r="J1373" s="5">
        <v>173.14</v>
      </c>
      <c r="K1373" s="5">
        <v>77335</v>
      </c>
      <c r="L1373" s="5">
        <v>133.9</v>
      </c>
      <c r="M1373" s="5">
        <v>1191</v>
      </c>
      <c r="N1373" s="5">
        <v>50139</v>
      </c>
      <c r="O1373" s="5">
        <v>64.83</v>
      </c>
      <c r="P1373" s="5">
        <f t="shared" si="110"/>
        <v>0.29999999999998295</v>
      </c>
      <c r="Q1373" s="6">
        <f t="shared" si="111"/>
        <v>1.7361111111110124E-3</v>
      </c>
      <c r="R1373" s="5">
        <f t="shared" si="112"/>
        <v>2.3000000000000114</v>
      </c>
      <c r="S1373" s="6">
        <f t="shared" si="113"/>
        <v>1.3310185185185249E-2</v>
      </c>
      <c r="T1373" s="6">
        <f t="shared" si="114"/>
        <v>-2.3014959723815904E-4</v>
      </c>
    </row>
    <row r="1374" spans="1:20" hidden="1" x14ac:dyDescent="0.25">
      <c r="A1374" s="4" t="s">
        <v>1307</v>
      </c>
      <c r="B1374" s="5" t="s">
        <v>16</v>
      </c>
      <c r="C1374" s="5" t="s">
        <v>1823</v>
      </c>
      <c r="D1374" s="5">
        <v>17.55</v>
      </c>
      <c r="E1374" s="5">
        <v>17.95</v>
      </c>
      <c r="F1374" s="5">
        <v>17.95</v>
      </c>
      <c r="G1374" s="5">
        <v>17.149999999999999</v>
      </c>
      <c r="H1374" s="5">
        <v>17.2</v>
      </c>
      <c r="I1374" s="5">
        <v>17.350000000000001</v>
      </c>
      <c r="J1374" s="5">
        <v>17.34</v>
      </c>
      <c r="K1374" s="5">
        <v>16192</v>
      </c>
      <c r="L1374" s="5">
        <v>2.81</v>
      </c>
      <c r="M1374" s="5">
        <v>100</v>
      </c>
      <c r="N1374" s="5">
        <v>8303</v>
      </c>
      <c r="O1374" s="5">
        <v>51.28</v>
      </c>
      <c r="P1374" s="5">
        <f t="shared" si="110"/>
        <v>-0.19999999999999929</v>
      </c>
      <c r="Q1374" s="6">
        <f t="shared" si="111"/>
        <v>-1.1396011396011355E-2</v>
      </c>
      <c r="R1374" s="5">
        <f t="shared" si="112"/>
        <v>0.80000000000000071</v>
      </c>
      <c r="S1374" s="6">
        <f t="shared" si="113"/>
        <v>4.5584045584045621E-2</v>
      </c>
      <c r="T1374" s="6">
        <f t="shared" si="114"/>
        <v>5.6818181818190695E-4</v>
      </c>
    </row>
    <row r="1375" spans="1:20" hidden="1" x14ac:dyDescent="0.25">
      <c r="A1375" s="4" t="s">
        <v>1308</v>
      </c>
      <c r="B1375" s="5" t="s">
        <v>16</v>
      </c>
      <c r="C1375" s="5" t="s">
        <v>1823</v>
      </c>
      <c r="D1375" s="5">
        <v>59.05</v>
      </c>
      <c r="E1375" s="5">
        <v>58.05</v>
      </c>
      <c r="F1375" s="5">
        <v>60</v>
      </c>
      <c r="G1375" s="5">
        <v>56.4</v>
      </c>
      <c r="H1375" s="5">
        <v>57.6</v>
      </c>
      <c r="I1375" s="5">
        <v>56.9</v>
      </c>
      <c r="J1375" s="5">
        <v>57.33</v>
      </c>
      <c r="K1375" s="5">
        <v>3936</v>
      </c>
      <c r="L1375" s="5">
        <v>2.2599999999999998</v>
      </c>
      <c r="M1375" s="5">
        <v>81</v>
      </c>
      <c r="N1375" s="5">
        <v>3004</v>
      </c>
      <c r="O1375" s="5">
        <v>76.319999999999993</v>
      </c>
      <c r="P1375" s="5">
        <f t="shared" si="110"/>
        <v>-2.1499999999999986</v>
      </c>
      <c r="Q1375" s="6">
        <f t="shared" si="111"/>
        <v>-3.6409822184589311E-2</v>
      </c>
      <c r="R1375" s="5">
        <f t="shared" si="112"/>
        <v>3.6000000000000014</v>
      </c>
      <c r="S1375" s="6">
        <f t="shared" si="113"/>
        <v>6.0965283657917049E-2</v>
      </c>
      <c r="T1375" s="6">
        <f t="shared" si="114"/>
        <v>-7.4346228657877628E-3</v>
      </c>
    </row>
    <row r="1376" spans="1:20" hidden="1" x14ac:dyDescent="0.25">
      <c r="A1376" s="4" t="s">
        <v>1309</v>
      </c>
      <c r="B1376" s="5" t="s">
        <v>16</v>
      </c>
      <c r="C1376" s="5" t="s">
        <v>1823</v>
      </c>
      <c r="D1376" s="5">
        <v>764.85</v>
      </c>
      <c r="E1376" s="5">
        <v>760</v>
      </c>
      <c r="F1376" s="5">
        <v>766.6</v>
      </c>
      <c r="G1376" s="5">
        <v>747.65</v>
      </c>
      <c r="H1376" s="5">
        <v>758</v>
      </c>
      <c r="I1376" s="5">
        <v>754.65</v>
      </c>
      <c r="J1376" s="5">
        <v>755.81</v>
      </c>
      <c r="K1376" s="5">
        <v>162749</v>
      </c>
      <c r="L1376" s="5">
        <v>1230.07</v>
      </c>
      <c r="M1376" s="5">
        <v>6997</v>
      </c>
      <c r="N1376" s="5">
        <v>69880</v>
      </c>
      <c r="O1376" s="5">
        <v>42.94</v>
      </c>
      <c r="P1376" s="5">
        <f t="shared" si="110"/>
        <v>-10.200000000000045</v>
      </c>
      <c r="Q1376" s="6">
        <f t="shared" si="111"/>
        <v>-1.3335948225142244E-2</v>
      </c>
      <c r="R1376" s="5">
        <f t="shared" si="112"/>
        <v>18.950000000000045</v>
      </c>
      <c r="S1376" s="6">
        <f t="shared" si="113"/>
        <v>2.4776099888867156E-2</v>
      </c>
      <c r="T1376" s="6">
        <f t="shared" si="114"/>
        <v>-1.5319092739938171E-3</v>
      </c>
    </row>
    <row r="1377" spans="1:20" hidden="1" x14ac:dyDescent="0.25">
      <c r="A1377" s="4" t="s">
        <v>1310</v>
      </c>
      <c r="B1377" s="5" t="s">
        <v>16</v>
      </c>
      <c r="C1377" s="5" t="s">
        <v>1823</v>
      </c>
      <c r="D1377" s="5">
        <v>189.65</v>
      </c>
      <c r="E1377" s="5">
        <v>189</v>
      </c>
      <c r="F1377" s="5">
        <v>193</v>
      </c>
      <c r="G1377" s="5">
        <v>184.25</v>
      </c>
      <c r="H1377" s="5">
        <v>184.25</v>
      </c>
      <c r="I1377" s="5">
        <v>185.8</v>
      </c>
      <c r="J1377" s="5">
        <v>189.01</v>
      </c>
      <c r="K1377" s="5">
        <v>36074</v>
      </c>
      <c r="L1377" s="5">
        <v>68.180000000000007</v>
      </c>
      <c r="M1377" s="5">
        <v>578</v>
      </c>
      <c r="N1377" s="5">
        <v>20414</v>
      </c>
      <c r="O1377" s="5">
        <v>56.59</v>
      </c>
      <c r="P1377" s="5">
        <f t="shared" si="110"/>
        <v>-3.8499999999999943</v>
      </c>
      <c r="Q1377" s="6">
        <f t="shared" si="111"/>
        <v>-2.0300553651463191E-2</v>
      </c>
      <c r="R1377" s="5">
        <f t="shared" si="112"/>
        <v>8.75</v>
      </c>
      <c r="S1377" s="6">
        <f t="shared" si="113"/>
        <v>4.6137621935143681E-2</v>
      </c>
      <c r="T1377" s="6">
        <f t="shared" si="114"/>
        <v>-1.7073332890100285E-2</v>
      </c>
    </row>
    <row r="1378" spans="1:20" hidden="1" x14ac:dyDescent="0.25">
      <c r="A1378" s="4" t="s">
        <v>1311</v>
      </c>
      <c r="B1378" s="5" t="s">
        <v>16</v>
      </c>
      <c r="C1378" s="5" t="s">
        <v>1823</v>
      </c>
      <c r="D1378" s="5">
        <v>173.65</v>
      </c>
      <c r="E1378" s="5">
        <v>174.4</v>
      </c>
      <c r="F1378" s="5">
        <v>174.75</v>
      </c>
      <c r="G1378" s="5">
        <v>165</v>
      </c>
      <c r="H1378" s="5">
        <v>168</v>
      </c>
      <c r="I1378" s="5">
        <v>166.85</v>
      </c>
      <c r="J1378" s="5">
        <v>168.96</v>
      </c>
      <c r="K1378" s="5">
        <v>19660</v>
      </c>
      <c r="L1378" s="5">
        <v>33.22</v>
      </c>
      <c r="M1378" s="5">
        <v>1110</v>
      </c>
      <c r="N1378" s="5">
        <v>15103</v>
      </c>
      <c r="O1378" s="5">
        <v>76.819999999999993</v>
      </c>
      <c r="P1378" s="5">
        <f t="shared" si="110"/>
        <v>-6.8000000000000114</v>
      </c>
      <c r="Q1378" s="6">
        <f t="shared" si="111"/>
        <v>-3.9159228332853506E-2</v>
      </c>
      <c r="R1378" s="5">
        <f t="shared" si="112"/>
        <v>9.75</v>
      </c>
      <c r="S1378" s="6">
        <f t="shared" si="113"/>
        <v>5.6147422977253093E-2</v>
      </c>
      <c r="T1378" s="6">
        <f t="shared" si="114"/>
        <v>-1.2393538913362782E-2</v>
      </c>
    </row>
    <row r="1379" spans="1:20" hidden="1" x14ac:dyDescent="0.25">
      <c r="A1379" s="4" t="s">
        <v>1312</v>
      </c>
      <c r="B1379" s="5" t="s">
        <v>16</v>
      </c>
      <c r="C1379" s="5" t="s">
        <v>1823</v>
      </c>
      <c r="D1379" s="5">
        <v>62.55</v>
      </c>
      <c r="E1379" s="5">
        <v>63.4</v>
      </c>
      <c r="F1379" s="5">
        <v>64.7</v>
      </c>
      <c r="G1379" s="5">
        <v>62.1</v>
      </c>
      <c r="H1379" s="5">
        <v>63</v>
      </c>
      <c r="I1379" s="5">
        <v>63.4</v>
      </c>
      <c r="J1379" s="5">
        <v>63.28</v>
      </c>
      <c r="K1379" s="5">
        <v>45386</v>
      </c>
      <c r="L1379" s="5">
        <v>28.72</v>
      </c>
      <c r="M1379" s="5">
        <v>593</v>
      </c>
      <c r="N1379" s="5">
        <v>30229</v>
      </c>
      <c r="O1379" s="5">
        <v>66.599999999999994</v>
      </c>
      <c r="P1379" s="5">
        <f t="shared" si="110"/>
        <v>0.85000000000000142</v>
      </c>
      <c r="Q1379" s="6">
        <f t="shared" si="111"/>
        <v>1.358912869704239E-2</v>
      </c>
      <c r="R1379" s="5">
        <f t="shared" si="112"/>
        <v>2.6000000000000014</v>
      </c>
      <c r="S1379" s="6">
        <f t="shared" si="113"/>
        <v>4.1566746602717849E-2</v>
      </c>
      <c r="T1379" s="6">
        <f t="shared" si="114"/>
        <v>1.8927444794952278E-3</v>
      </c>
    </row>
    <row r="1380" spans="1:20" hidden="1" x14ac:dyDescent="0.25">
      <c r="A1380" s="4" t="s">
        <v>1313</v>
      </c>
      <c r="B1380" s="5" t="s">
        <v>16</v>
      </c>
      <c r="C1380" s="5" t="s">
        <v>1823</v>
      </c>
      <c r="D1380" s="5">
        <v>2.35</v>
      </c>
      <c r="E1380" s="5">
        <v>2.35</v>
      </c>
      <c r="F1380" s="5">
        <v>2.5</v>
      </c>
      <c r="G1380" s="5">
        <v>2.2999999999999998</v>
      </c>
      <c r="H1380" s="5">
        <v>2.35</v>
      </c>
      <c r="I1380" s="5">
        <v>2.2999999999999998</v>
      </c>
      <c r="J1380" s="5">
        <v>2.39</v>
      </c>
      <c r="K1380" s="5">
        <v>252457</v>
      </c>
      <c r="L1380" s="5">
        <v>6.03</v>
      </c>
      <c r="M1380" s="5">
        <v>208</v>
      </c>
      <c r="N1380" s="5">
        <v>121528</v>
      </c>
      <c r="O1380" s="5">
        <v>48.14</v>
      </c>
      <c r="P1380" s="5">
        <f t="shared" si="110"/>
        <v>-5.0000000000000266E-2</v>
      </c>
      <c r="Q1380" s="6">
        <f t="shared" si="111"/>
        <v>-2.1276595744680965E-2</v>
      </c>
      <c r="R1380" s="5">
        <f t="shared" si="112"/>
        <v>0.20000000000000018</v>
      </c>
      <c r="S1380" s="6">
        <f t="shared" si="113"/>
        <v>8.5106382978723472E-2</v>
      </c>
      <c r="T1380" s="6">
        <f t="shared" si="114"/>
        <v>-3.8095238095238224E-2</v>
      </c>
    </row>
    <row r="1381" spans="1:20" hidden="1" x14ac:dyDescent="0.25">
      <c r="A1381" s="4" t="s">
        <v>1314</v>
      </c>
      <c r="B1381" s="5" t="s">
        <v>16</v>
      </c>
      <c r="C1381" s="5" t="s">
        <v>1823</v>
      </c>
      <c r="D1381" s="5">
        <v>282</v>
      </c>
      <c r="E1381" s="5">
        <v>285</v>
      </c>
      <c r="F1381" s="5">
        <v>303.89999999999998</v>
      </c>
      <c r="G1381" s="5">
        <v>285</v>
      </c>
      <c r="H1381" s="5">
        <v>291</v>
      </c>
      <c r="I1381" s="5">
        <v>290.60000000000002</v>
      </c>
      <c r="J1381" s="5">
        <v>292.89</v>
      </c>
      <c r="K1381" s="5">
        <v>7537</v>
      </c>
      <c r="L1381" s="5">
        <v>22.07</v>
      </c>
      <c r="M1381" s="5">
        <v>459</v>
      </c>
      <c r="N1381" s="5">
        <v>5316</v>
      </c>
      <c r="O1381" s="5">
        <v>70.53</v>
      </c>
      <c r="P1381" s="5">
        <f t="shared" si="110"/>
        <v>8.6000000000000227</v>
      </c>
      <c r="Q1381" s="6">
        <f t="shared" si="111"/>
        <v>3.0496453900709302E-2</v>
      </c>
      <c r="R1381" s="5">
        <f t="shared" si="112"/>
        <v>18.899999999999977</v>
      </c>
      <c r="S1381" s="6">
        <f t="shared" si="113"/>
        <v>6.7021276595744597E-2</v>
      </c>
      <c r="T1381" s="6">
        <f t="shared" si="114"/>
        <v>-7.8660369257190672E-3</v>
      </c>
    </row>
    <row r="1382" spans="1:20" hidden="1" x14ac:dyDescent="0.25">
      <c r="A1382" s="4" t="s">
        <v>1315</v>
      </c>
      <c r="B1382" s="5" t="s">
        <v>16</v>
      </c>
      <c r="C1382" s="5" t="s">
        <v>1823</v>
      </c>
      <c r="D1382" s="5">
        <v>947.7</v>
      </c>
      <c r="E1382" s="5">
        <v>941.05</v>
      </c>
      <c r="F1382" s="5">
        <v>961.95</v>
      </c>
      <c r="G1382" s="5">
        <v>941</v>
      </c>
      <c r="H1382" s="5">
        <v>949.45</v>
      </c>
      <c r="I1382" s="5">
        <v>945.05</v>
      </c>
      <c r="J1382" s="5">
        <v>947.5</v>
      </c>
      <c r="K1382" s="5">
        <v>950</v>
      </c>
      <c r="L1382" s="5">
        <v>9</v>
      </c>
      <c r="M1382" s="5">
        <v>105</v>
      </c>
      <c r="N1382" s="5">
        <v>790</v>
      </c>
      <c r="O1382" s="5">
        <v>83.16</v>
      </c>
      <c r="P1382" s="5">
        <f t="shared" si="110"/>
        <v>-2.6500000000000909</v>
      </c>
      <c r="Q1382" s="6">
        <f t="shared" si="111"/>
        <v>-2.7962435369843735E-3</v>
      </c>
      <c r="R1382" s="5">
        <f t="shared" si="112"/>
        <v>20.950000000000045</v>
      </c>
      <c r="S1382" s="6">
        <f t="shared" si="113"/>
        <v>2.2106151735781412E-2</v>
      </c>
      <c r="T1382" s="6">
        <f t="shared" si="114"/>
        <v>-2.586400285031916E-3</v>
      </c>
    </row>
    <row r="1383" spans="1:20" hidden="1" x14ac:dyDescent="0.25">
      <c r="A1383" s="4" t="s">
        <v>1316</v>
      </c>
      <c r="B1383" s="5" t="s">
        <v>16</v>
      </c>
      <c r="C1383" s="5" t="s">
        <v>1823</v>
      </c>
      <c r="D1383" s="5">
        <v>971.55</v>
      </c>
      <c r="E1383" s="5">
        <v>974.5</v>
      </c>
      <c r="F1383" s="5">
        <v>986.2</v>
      </c>
      <c r="G1383" s="5">
        <v>951.4</v>
      </c>
      <c r="H1383" s="5">
        <v>968.65</v>
      </c>
      <c r="I1383" s="5">
        <v>955.4</v>
      </c>
      <c r="J1383" s="5">
        <v>970.42</v>
      </c>
      <c r="K1383" s="5">
        <v>2276</v>
      </c>
      <c r="L1383" s="5">
        <v>22.09</v>
      </c>
      <c r="M1383" s="5">
        <v>236</v>
      </c>
      <c r="N1383" s="5">
        <v>1612</v>
      </c>
      <c r="O1383" s="5">
        <v>70.83</v>
      </c>
      <c r="P1383" s="5">
        <f t="shared" si="110"/>
        <v>-16.149999999999977</v>
      </c>
      <c r="Q1383" s="6">
        <f t="shared" si="111"/>
        <v>-1.6622922134733136E-2</v>
      </c>
      <c r="R1383" s="5">
        <f t="shared" si="112"/>
        <v>34.800000000000068</v>
      </c>
      <c r="S1383" s="6">
        <f t="shared" si="113"/>
        <v>3.5819052030260992E-2</v>
      </c>
      <c r="T1383" s="6">
        <f t="shared" si="114"/>
        <v>-1.5534583063994811E-2</v>
      </c>
    </row>
    <row r="1384" spans="1:20" hidden="1" x14ac:dyDescent="0.25">
      <c r="A1384" s="4" t="s">
        <v>1317</v>
      </c>
      <c r="B1384" s="5" t="s">
        <v>16</v>
      </c>
      <c r="C1384" s="5" t="s">
        <v>1823</v>
      </c>
      <c r="D1384" s="5">
        <v>590.4</v>
      </c>
      <c r="E1384" s="5">
        <v>594.04999999999995</v>
      </c>
      <c r="F1384" s="5">
        <v>599.45000000000005</v>
      </c>
      <c r="G1384" s="5">
        <v>582.20000000000005</v>
      </c>
      <c r="H1384" s="5">
        <v>583.20000000000005</v>
      </c>
      <c r="I1384" s="5">
        <v>586.85</v>
      </c>
      <c r="J1384" s="5">
        <v>590.47</v>
      </c>
      <c r="K1384" s="5">
        <v>1170162</v>
      </c>
      <c r="L1384" s="5">
        <v>6909.51</v>
      </c>
      <c r="M1384" s="5">
        <v>19532</v>
      </c>
      <c r="N1384" s="5">
        <v>141238</v>
      </c>
      <c r="O1384" s="5">
        <v>12.07</v>
      </c>
      <c r="P1384" s="5">
        <f t="shared" si="110"/>
        <v>-3.5499999999999545</v>
      </c>
      <c r="Q1384" s="6">
        <f t="shared" si="111"/>
        <v>-6.0128726287262107E-3</v>
      </c>
      <c r="R1384" s="5">
        <f t="shared" si="112"/>
        <v>17.25</v>
      </c>
      <c r="S1384" s="6">
        <f t="shared" si="113"/>
        <v>2.9217479674796751E-2</v>
      </c>
      <c r="T1384" s="6">
        <f t="shared" si="114"/>
        <v>-6.1289708154324846E-3</v>
      </c>
    </row>
    <row r="1385" spans="1:20" hidden="1" x14ac:dyDescent="0.25">
      <c r="A1385" s="4" t="s">
        <v>1318</v>
      </c>
      <c r="B1385" s="5" t="s">
        <v>16</v>
      </c>
      <c r="C1385" s="5" t="s">
        <v>1823</v>
      </c>
      <c r="D1385" s="5">
        <v>535.29999999999995</v>
      </c>
      <c r="E1385" s="5">
        <v>535</v>
      </c>
      <c r="F1385" s="5">
        <v>535</v>
      </c>
      <c r="G1385" s="5">
        <v>518.1</v>
      </c>
      <c r="H1385" s="5">
        <v>520</v>
      </c>
      <c r="I1385" s="5">
        <v>524.1</v>
      </c>
      <c r="J1385" s="5">
        <v>529.47</v>
      </c>
      <c r="K1385" s="5">
        <v>13414</v>
      </c>
      <c r="L1385" s="5">
        <v>71.02</v>
      </c>
      <c r="M1385" s="5">
        <v>1141</v>
      </c>
      <c r="N1385" s="5">
        <v>1889</v>
      </c>
      <c r="O1385" s="5">
        <v>14.08</v>
      </c>
      <c r="P1385" s="5">
        <f t="shared" si="110"/>
        <v>-11.199999999999932</v>
      </c>
      <c r="Q1385" s="6">
        <f t="shared" si="111"/>
        <v>-2.0922847001681174E-2</v>
      </c>
      <c r="R1385" s="5">
        <f t="shared" si="112"/>
        <v>16.899999999999977</v>
      </c>
      <c r="S1385" s="6">
        <f t="shared" si="113"/>
        <v>3.1571081636465492E-2</v>
      </c>
      <c r="T1385" s="6">
        <f t="shared" si="114"/>
        <v>-1.0169491525423738E-2</v>
      </c>
    </row>
    <row r="1386" spans="1:20" x14ac:dyDescent="0.25">
      <c r="A1386" s="4" t="s">
        <v>358</v>
      </c>
      <c r="B1386" s="5" t="s">
        <v>16</v>
      </c>
      <c r="C1386" s="5" t="s">
        <v>1823</v>
      </c>
      <c r="D1386" s="5">
        <v>222.45</v>
      </c>
      <c r="E1386" s="5">
        <v>222</v>
      </c>
      <c r="F1386" s="5">
        <v>227</v>
      </c>
      <c r="G1386" s="5">
        <v>220</v>
      </c>
      <c r="H1386" s="5">
        <v>220</v>
      </c>
      <c r="I1386" s="5">
        <v>222.4</v>
      </c>
      <c r="J1386" s="5">
        <v>224.92</v>
      </c>
      <c r="K1386" s="5">
        <v>1247206</v>
      </c>
      <c r="L1386" s="5">
        <v>2805.26</v>
      </c>
      <c r="M1386" s="5">
        <v>22810</v>
      </c>
      <c r="N1386" s="5">
        <v>765925</v>
      </c>
      <c r="O1386" s="5">
        <v>61.41</v>
      </c>
      <c r="P1386" s="5">
        <f t="shared" si="110"/>
        <v>-4.9999999999982947E-2</v>
      </c>
      <c r="Q1386" s="6">
        <f t="shared" si="111"/>
        <v>-2.2476961114849606E-4</v>
      </c>
      <c r="R1386" s="5">
        <f t="shared" si="112"/>
        <v>7</v>
      </c>
      <c r="S1386" s="6">
        <f t="shared" si="113"/>
        <v>3.1467745560800182E-2</v>
      </c>
      <c r="T1386" s="6">
        <f t="shared" si="114"/>
        <v>-1.1308054745344321E-2</v>
      </c>
    </row>
    <row r="1387" spans="1:20" x14ac:dyDescent="0.25">
      <c r="A1387" s="4" t="s">
        <v>242</v>
      </c>
      <c r="B1387" s="5" t="s">
        <v>16</v>
      </c>
      <c r="C1387" s="5" t="s">
        <v>1823</v>
      </c>
      <c r="D1387" s="5">
        <v>224.4</v>
      </c>
      <c r="E1387" s="5">
        <v>224.95</v>
      </c>
      <c r="F1387" s="5">
        <v>225.5</v>
      </c>
      <c r="G1387" s="5">
        <v>216.5</v>
      </c>
      <c r="H1387" s="5">
        <v>217.7</v>
      </c>
      <c r="I1387" s="5">
        <v>218.25</v>
      </c>
      <c r="J1387" s="5">
        <v>220.21</v>
      </c>
      <c r="K1387" s="5">
        <v>4216139</v>
      </c>
      <c r="L1387" s="5">
        <v>9284.44</v>
      </c>
      <c r="M1387" s="5">
        <v>32305</v>
      </c>
      <c r="N1387" s="5">
        <v>2591564</v>
      </c>
      <c r="O1387" s="5">
        <v>61.47</v>
      </c>
      <c r="P1387" s="5">
        <f t="shared" si="110"/>
        <v>-6.1500000000000057</v>
      </c>
      <c r="Q1387" s="6">
        <f t="shared" si="111"/>
        <v>-2.7406417112299492E-2</v>
      </c>
      <c r="R1387" s="5">
        <f t="shared" si="112"/>
        <v>9</v>
      </c>
      <c r="S1387" s="6">
        <f t="shared" si="113"/>
        <v>4.0106951871657755E-2</v>
      </c>
      <c r="T1387" s="6">
        <f t="shared" si="114"/>
        <v>-8.8567555354722455E-3</v>
      </c>
    </row>
    <row r="1388" spans="1:20" hidden="1" x14ac:dyDescent="0.25">
      <c r="A1388" s="4" t="s">
        <v>1321</v>
      </c>
      <c r="B1388" s="5" t="s">
        <v>16</v>
      </c>
      <c r="C1388" s="5" t="s">
        <v>1823</v>
      </c>
      <c r="D1388" s="5">
        <v>0.75</v>
      </c>
      <c r="E1388" s="5">
        <v>0.75</v>
      </c>
      <c r="F1388" s="5">
        <v>0.75</v>
      </c>
      <c r="G1388" s="5">
        <v>0.7</v>
      </c>
      <c r="H1388" s="5">
        <v>0.7</v>
      </c>
      <c r="I1388" s="5">
        <v>0.7</v>
      </c>
      <c r="J1388" s="5">
        <v>0.72</v>
      </c>
      <c r="K1388" s="5">
        <v>7427873</v>
      </c>
      <c r="L1388" s="5">
        <v>53.69</v>
      </c>
      <c r="M1388" s="5">
        <v>2696</v>
      </c>
      <c r="N1388" s="5">
        <v>5109997</v>
      </c>
      <c r="O1388" s="5">
        <v>68.790000000000006</v>
      </c>
      <c r="P1388" s="5">
        <f t="shared" si="110"/>
        <v>-5.0000000000000044E-2</v>
      </c>
      <c r="Q1388" s="6">
        <f t="shared" si="111"/>
        <v>-6.6666666666666721E-2</v>
      </c>
      <c r="R1388" s="5">
        <f t="shared" si="112"/>
        <v>5.0000000000000044E-2</v>
      </c>
      <c r="S1388" s="6">
        <f t="shared" si="113"/>
        <v>6.6666666666666721E-2</v>
      </c>
      <c r="T1388" s="6">
        <f t="shared" si="114"/>
        <v>-2.7586206896551745E-2</v>
      </c>
    </row>
    <row r="1389" spans="1:20" x14ac:dyDescent="0.25">
      <c r="A1389" s="4" t="s">
        <v>481</v>
      </c>
      <c r="B1389" s="5" t="s">
        <v>16</v>
      </c>
      <c r="C1389" s="5" t="s">
        <v>1823</v>
      </c>
      <c r="D1389" s="5">
        <v>442.2</v>
      </c>
      <c r="E1389" s="5">
        <v>442.25</v>
      </c>
      <c r="F1389" s="5">
        <v>445.75</v>
      </c>
      <c r="G1389" s="5">
        <v>412.25</v>
      </c>
      <c r="H1389" s="5">
        <v>422</v>
      </c>
      <c r="I1389" s="5">
        <v>423.5</v>
      </c>
      <c r="J1389" s="5">
        <v>423.8</v>
      </c>
      <c r="K1389" s="5">
        <v>146919</v>
      </c>
      <c r="L1389" s="5">
        <v>622.64</v>
      </c>
      <c r="M1389" s="5">
        <v>13661</v>
      </c>
      <c r="N1389" s="5">
        <v>91010</v>
      </c>
      <c r="O1389" s="5">
        <v>61.95</v>
      </c>
      <c r="P1389" s="5">
        <f t="shared" si="110"/>
        <v>-18.699999999999989</v>
      </c>
      <c r="Q1389" s="6">
        <f t="shared" si="111"/>
        <v>-4.2288557213930322E-2</v>
      </c>
      <c r="R1389" s="5">
        <f t="shared" si="112"/>
        <v>33.5</v>
      </c>
      <c r="S1389" s="6">
        <f t="shared" si="113"/>
        <v>7.575757575757576E-2</v>
      </c>
      <c r="T1389" s="6">
        <f t="shared" si="114"/>
        <v>-6.9615663524295608E-4</v>
      </c>
    </row>
    <row r="1390" spans="1:20" hidden="1" x14ac:dyDescent="0.25">
      <c r="A1390" s="4" t="s">
        <v>1322</v>
      </c>
      <c r="B1390" s="5" t="s">
        <v>700</v>
      </c>
      <c r="C1390" s="5" t="s">
        <v>1823</v>
      </c>
      <c r="D1390" s="5">
        <v>1114.9000000000001</v>
      </c>
      <c r="E1390" s="5">
        <v>1100.25</v>
      </c>
      <c r="F1390" s="5">
        <v>1100.25</v>
      </c>
      <c r="G1390" s="5">
        <v>1100</v>
      </c>
      <c r="H1390" s="5">
        <v>1100</v>
      </c>
      <c r="I1390" s="5">
        <v>1100</v>
      </c>
      <c r="J1390" s="5">
        <v>1100.02</v>
      </c>
      <c r="K1390" s="5">
        <v>307</v>
      </c>
      <c r="L1390" s="5">
        <v>3.38</v>
      </c>
      <c r="M1390" s="5">
        <v>2</v>
      </c>
      <c r="N1390" s="5">
        <v>307</v>
      </c>
      <c r="O1390" s="5">
        <v>100</v>
      </c>
      <c r="P1390" s="5">
        <f t="shared" si="110"/>
        <v>-14.900000000000091</v>
      </c>
      <c r="Q1390" s="6">
        <f t="shared" si="111"/>
        <v>-1.3364427302897202E-2</v>
      </c>
      <c r="R1390" s="5">
        <f t="shared" si="112"/>
        <v>0.25</v>
      </c>
      <c r="S1390" s="6">
        <f t="shared" si="113"/>
        <v>2.2423535743115974E-4</v>
      </c>
      <c r="T1390" s="6">
        <f t="shared" si="114"/>
        <v>-1.8179752300858365E-5</v>
      </c>
    </row>
    <row r="1391" spans="1:20" hidden="1" x14ac:dyDescent="0.25">
      <c r="A1391" s="4" t="s">
        <v>1322</v>
      </c>
      <c r="B1391" s="5" t="s">
        <v>395</v>
      </c>
      <c r="C1391" s="5" t="s">
        <v>1823</v>
      </c>
      <c r="D1391" s="5">
        <v>1035.2</v>
      </c>
      <c r="E1391" s="5">
        <v>1109</v>
      </c>
      <c r="F1391" s="5">
        <v>1109</v>
      </c>
      <c r="G1391" s="5">
        <v>1109</v>
      </c>
      <c r="H1391" s="5">
        <v>1109</v>
      </c>
      <c r="I1391" s="5">
        <v>1109</v>
      </c>
      <c r="J1391" s="5">
        <v>1109</v>
      </c>
      <c r="K1391" s="5">
        <v>240</v>
      </c>
      <c r="L1391" s="5">
        <v>2.66</v>
      </c>
      <c r="M1391" s="5">
        <v>1</v>
      </c>
      <c r="N1391" s="5">
        <v>240</v>
      </c>
      <c r="O1391" s="5">
        <v>100</v>
      </c>
      <c r="P1391" s="5">
        <f t="shared" si="110"/>
        <v>73.799999999999955</v>
      </c>
      <c r="Q1391" s="6">
        <f t="shared" si="111"/>
        <v>7.1290571870169975E-2</v>
      </c>
      <c r="R1391" s="5">
        <f t="shared" si="112"/>
        <v>0</v>
      </c>
      <c r="S1391" s="6">
        <f t="shared" si="113"/>
        <v>0</v>
      </c>
      <c r="T1391" s="6">
        <f t="shared" si="114"/>
        <v>0</v>
      </c>
    </row>
    <row r="1392" spans="1:20" hidden="1" x14ac:dyDescent="0.25">
      <c r="A1392" s="4" t="s">
        <v>1322</v>
      </c>
      <c r="B1392" s="5" t="s">
        <v>396</v>
      </c>
      <c r="C1392" s="5" t="s">
        <v>1823</v>
      </c>
      <c r="D1392" s="5">
        <v>1239</v>
      </c>
      <c r="E1392" s="5">
        <v>1230</v>
      </c>
      <c r="F1392" s="5">
        <v>1230</v>
      </c>
      <c r="G1392" s="5">
        <v>1230</v>
      </c>
      <c r="H1392" s="5">
        <v>1230</v>
      </c>
      <c r="I1392" s="5">
        <v>1230</v>
      </c>
      <c r="J1392" s="5">
        <v>1230</v>
      </c>
      <c r="K1392" s="5">
        <v>3000</v>
      </c>
      <c r="L1392" s="5">
        <v>36.9</v>
      </c>
      <c r="M1392" s="5">
        <v>3</v>
      </c>
      <c r="N1392" s="5">
        <v>3000</v>
      </c>
      <c r="O1392" s="5">
        <v>100</v>
      </c>
      <c r="P1392" s="5">
        <f t="shared" si="110"/>
        <v>-9</v>
      </c>
      <c r="Q1392" s="6">
        <f t="shared" si="111"/>
        <v>-7.2639225181598066E-3</v>
      </c>
      <c r="R1392" s="5">
        <f t="shared" si="112"/>
        <v>0</v>
      </c>
      <c r="S1392" s="6">
        <f t="shared" si="113"/>
        <v>0</v>
      </c>
      <c r="T1392" s="6">
        <f t="shared" si="114"/>
        <v>0</v>
      </c>
    </row>
    <row r="1393" spans="1:20" hidden="1" x14ac:dyDescent="0.25">
      <c r="A1393" s="4" t="s">
        <v>1322</v>
      </c>
      <c r="B1393" s="5" t="s">
        <v>687</v>
      </c>
      <c r="C1393" s="5" t="s">
        <v>1823</v>
      </c>
      <c r="D1393" s="5">
        <v>1270.1099999999999</v>
      </c>
      <c r="E1393" s="5">
        <v>1270</v>
      </c>
      <c r="F1393" s="5">
        <v>1270</v>
      </c>
      <c r="G1393" s="5">
        <v>1270</v>
      </c>
      <c r="H1393" s="5">
        <v>1270</v>
      </c>
      <c r="I1393" s="5">
        <v>1270</v>
      </c>
      <c r="J1393" s="5">
        <v>1270</v>
      </c>
      <c r="K1393" s="5">
        <v>244</v>
      </c>
      <c r="L1393" s="5">
        <v>3.1</v>
      </c>
      <c r="M1393" s="5">
        <v>2</v>
      </c>
      <c r="N1393" s="5">
        <v>244</v>
      </c>
      <c r="O1393" s="5">
        <v>100</v>
      </c>
      <c r="P1393" s="5">
        <f t="shared" si="110"/>
        <v>-0.10999999999989996</v>
      </c>
      <c r="Q1393" s="6">
        <f t="shared" si="111"/>
        <v>-8.6606671862988222E-5</v>
      </c>
      <c r="R1393" s="5">
        <f t="shared" si="112"/>
        <v>0</v>
      </c>
      <c r="S1393" s="6">
        <f t="shared" si="113"/>
        <v>0</v>
      </c>
      <c r="T1393" s="6">
        <f t="shared" si="114"/>
        <v>0</v>
      </c>
    </row>
    <row r="1394" spans="1:20" hidden="1" x14ac:dyDescent="0.25">
      <c r="A1394" s="4" t="s">
        <v>1322</v>
      </c>
      <c r="B1394" s="5" t="s">
        <v>398</v>
      </c>
      <c r="C1394" s="5" t="s">
        <v>1823</v>
      </c>
      <c r="D1394" s="5">
        <v>1270</v>
      </c>
      <c r="E1394" s="5">
        <v>1280</v>
      </c>
      <c r="F1394" s="5">
        <v>1280</v>
      </c>
      <c r="G1394" s="5">
        <v>1280</v>
      </c>
      <c r="H1394" s="5">
        <v>1280</v>
      </c>
      <c r="I1394" s="5">
        <v>1280</v>
      </c>
      <c r="J1394" s="5">
        <v>1280</v>
      </c>
      <c r="K1394" s="5">
        <v>10</v>
      </c>
      <c r="L1394" s="5">
        <v>0.13</v>
      </c>
      <c r="M1394" s="5">
        <v>1</v>
      </c>
      <c r="N1394" s="5">
        <v>10</v>
      </c>
      <c r="O1394" s="5">
        <v>100</v>
      </c>
      <c r="P1394" s="5">
        <f t="shared" si="110"/>
        <v>10</v>
      </c>
      <c r="Q1394" s="6">
        <f t="shared" si="111"/>
        <v>7.874015748031496E-3</v>
      </c>
      <c r="R1394" s="5">
        <f t="shared" si="112"/>
        <v>0</v>
      </c>
      <c r="S1394" s="6">
        <f t="shared" si="113"/>
        <v>0</v>
      </c>
      <c r="T1394" s="6">
        <f t="shared" si="114"/>
        <v>0</v>
      </c>
    </row>
    <row r="1395" spans="1:20" hidden="1" x14ac:dyDescent="0.25">
      <c r="A1395" s="4" t="s">
        <v>1322</v>
      </c>
      <c r="B1395" s="5" t="s">
        <v>399</v>
      </c>
      <c r="C1395" s="5" t="s">
        <v>1823</v>
      </c>
      <c r="D1395" s="5">
        <v>1299.98</v>
      </c>
      <c r="E1395" s="5">
        <v>1287</v>
      </c>
      <c r="F1395" s="5">
        <v>1287</v>
      </c>
      <c r="G1395" s="5">
        <v>1287</v>
      </c>
      <c r="H1395" s="5">
        <v>1287</v>
      </c>
      <c r="I1395" s="5">
        <v>1287</v>
      </c>
      <c r="J1395" s="5">
        <v>1287</v>
      </c>
      <c r="K1395" s="5">
        <v>480</v>
      </c>
      <c r="L1395" s="5">
        <v>6.18</v>
      </c>
      <c r="M1395" s="5">
        <v>1</v>
      </c>
      <c r="N1395" s="5">
        <v>480</v>
      </c>
      <c r="O1395" s="5">
        <v>100</v>
      </c>
      <c r="P1395" s="5">
        <f t="shared" si="110"/>
        <v>-12.980000000000018</v>
      </c>
      <c r="Q1395" s="6">
        <f t="shared" si="111"/>
        <v>-9.9847689964461129E-3</v>
      </c>
      <c r="R1395" s="5">
        <f t="shared" si="112"/>
        <v>0</v>
      </c>
      <c r="S1395" s="6">
        <f t="shared" si="113"/>
        <v>0</v>
      </c>
      <c r="T1395" s="6">
        <f t="shared" si="114"/>
        <v>0</v>
      </c>
    </row>
    <row r="1396" spans="1:20" hidden="1" x14ac:dyDescent="0.25">
      <c r="A1396" s="4" t="s">
        <v>1323</v>
      </c>
      <c r="B1396" s="5" t="s">
        <v>16</v>
      </c>
      <c r="C1396" s="5" t="s">
        <v>1823</v>
      </c>
      <c r="D1396" s="5">
        <v>113</v>
      </c>
      <c r="E1396" s="5">
        <v>114.65</v>
      </c>
      <c r="F1396" s="5">
        <v>114.65</v>
      </c>
      <c r="G1396" s="5">
        <v>108.6</v>
      </c>
      <c r="H1396" s="5">
        <v>110.15</v>
      </c>
      <c r="I1396" s="5">
        <v>109.95</v>
      </c>
      <c r="J1396" s="5">
        <v>110.94</v>
      </c>
      <c r="K1396" s="5">
        <v>88953</v>
      </c>
      <c r="L1396" s="5">
        <v>98.69</v>
      </c>
      <c r="M1396" s="5">
        <v>3797</v>
      </c>
      <c r="N1396" s="5">
        <v>45450</v>
      </c>
      <c r="O1396" s="5">
        <v>51.09</v>
      </c>
      <c r="P1396" s="5">
        <f t="shared" si="110"/>
        <v>-3.0499999999999972</v>
      </c>
      <c r="Q1396" s="6">
        <f t="shared" si="111"/>
        <v>-2.6991150442477851E-2</v>
      </c>
      <c r="R1396" s="5">
        <f t="shared" si="112"/>
        <v>6.0500000000000114</v>
      </c>
      <c r="S1396" s="6">
        <f t="shared" si="113"/>
        <v>5.3539823008849657E-2</v>
      </c>
      <c r="T1396" s="6">
        <f t="shared" si="114"/>
        <v>-8.8422462878195371E-3</v>
      </c>
    </row>
    <row r="1397" spans="1:20" x14ac:dyDescent="0.25">
      <c r="A1397" s="4" t="s">
        <v>1526</v>
      </c>
      <c r="B1397" s="5" t="s">
        <v>16</v>
      </c>
      <c r="C1397" s="5" t="s">
        <v>1823</v>
      </c>
      <c r="D1397" s="5">
        <v>20.7</v>
      </c>
      <c r="E1397" s="5">
        <v>20.85</v>
      </c>
      <c r="F1397" s="5">
        <v>21.7</v>
      </c>
      <c r="G1397" s="5">
        <v>20.399999999999999</v>
      </c>
      <c r="H1397" s="5">
        <v>20.8</v>
      </c>
      <c r="I1397" s="5">
        <v>20.85</v>
      </c>
      <c r="J1397" s="5">
        <v>20.87</v>
      </c>
      <c r="K1397" s="5">
        <v>129590</v>
      </c>
      <c r="L1397" s="5">
        <v>27.04</v>
      </c>
      <c r="M1397" s="5">
        <v>952</v>
      </c>
      <c r="N1397" s="5">
        <v>80461</v>
      </c>
      <c r="O1397" s="5">
        <v>62.09</v>
      </c>
      <c r="P1397" s="5">
        <f t="shared" si="110"/>
        <v>0.15000000000000213</v>
      </c>
      <c r="Q1397" s="6">
        <f t="shared" si="111"/>
        <v>7.2463768115943062E-3</v>
      </c>
      <c r="R1397" s="5">
        <f t="shared" si="112"/>
        <v>1.3000000000000007</v>
      </c>
      <c r="S1397" s="6">
        <f t="shared" si="113"/>
        <v>6.2801932367149801E-2</v>
      </c>
      <c r="T1397" s="6">
        <f t="shared" si="114"/>
        <v>-9.5465393794747367E-4</v>
      </c>
    </row>
    <row r="1398" spans="1:20" x14ac:dyDescent="0.25">
      <c r="A1398" s="4" t="s">
        <v>347</v>
      </c>
      <c r="B1398" s="5" t="s">
        <v>16</v>
      </c>
      <c r="C1398" s="5" t="s">
        <v>1823</v>
      </c>
      <c r="D1398" s="5">
        <v>16.55</v>
      </c>
      <c r="E1398" s="5">
        <v>16.45</v>
      </c>
      <c r="F1398" s="5">
        <v>16.55</v>
      </c>
      <c r="G1398" s="5">
        <v>16.05</v>
      </c>
      <c r="H1398" s="5">
        <v>16.05</v>
      </c>
      <c r="I1398" s="5">
        <v>16.100000000000001</v>
      </c>
      <c r="J1398" s="5">
        <v>16.239999999999998</v>
      </c>
      <c r="K1398" s="5">
        <v>180358</v>
      </c>
      <c r="L1398" s="5">
        <v>29.29</v>
      </c>
      <c r="M1398" s="5">
        <v>907</v>
      </c>
      <c r="N1398" s="5">
        <v>112769</v>
      </c>
      <c r="O1398" s="5">
        <v>62.53</v>
      </c>
      <c r="P1398" s="5">
        <f t="shared" si="110"/>
        <v>-0.44999999999999929</v>
      </c>
      <c r="Q1398" s="6">
        <f t="shared" si="111"/>
        <v>-2.7190332326283945E-2</v>
      </c>
      <c r="R1398" s="5">
        <f t="shared" si="112"/>
        <v>0.5</v>
      </c>
      <c r="S1398" s="6">
        <f t="shared" si="113"/>
        <v>3.0211480362537763E-2</v>
      </c>
      <c r="T1398" s="6">
        <f t="shared" si="114"/>
        <v>-8.5955487336912967E-3</v>
      </c>
    </row>
    <row r="1399" spans="1:20" x14ac:dyDescent="0.25">
      <c r="A1399" s="4" t="s">
        <v>1268</v>
      </c>
      <c r="B1399" s="5" t="s">
        <v>16</v>
      </c>
      <c r="C1399" s="5" t="s">
        <v>1823</v>
      </c>
      <c r="D1399" s="5">
        <v>33.85</v>
      </c>
      <c r="E1399" s="5">
        <v>33.85</v>
      </c>
      <c r="F1399" s="5">
        <v>33.85</v>
      </c>
      <c r="G1399" s="5">
        <v>27.1</v>
      </c>
      <c r="H1399" s="5">
        <v>27.35</v>
      </c>
      <c r="I1399" s="5">
        <v>27.3</v>
      </c>
      <c r="J1399" s="5">
        <v>28.28</v>
      </c>
      <c r="K1399" s="5">
        <v>391067</v>
      </c>
      <c r="L1399" s="5">
        <v>110.59</v>
      </c>
      <c r="M1399" s="5">
        <v>3149</v>
      </c>
      <c r="N1399" s="5">
        <v>244730</v>
      </c>
      <c r="O1399" s="5">
        <v>62.58</v>
      </c>
      <c r="P1399" s="5">
        <f t="shared" si="110"/>
        <v>-6.5500000000000007</v>
      </c>
      <c r="Q1399" s="6">
        <f t="shared" si="111"/>
        <v>-0.19350073855243724</v>
      </c>
      <c r="R1399" s="5">
        <f t="shared" si="112"/>
        <v>6.75</v>
      </c>
      <c r="S1399" s="6">
        <f t="shared" si="113"/>
        <v>0.19940915805022155</v>
      </c>
      <c r="T1399" s="6">
        <f t="shared" si="114"/>
        <v>-3.2104832104832115E-2</v>
      </c>
    </row>
    <row r="1400" spans="1:20" hidden="1" x14ac:dyDescent="0.25">
      <c r="A1400" s="4" t="s">
        <v>1327</v>
      </c>
      <c r="B1400" s="5" t="s">
        <v>16</v>
      </c>
      <c r="C1400" s="5" t="s">
        <v>1823</v>
      </c>
      <c r="D1400" s="5">
        <v>120.39</v>
      </c>
      <c r="E1400" s="5">
        <v>120.44</v>
      </c>
      <c r="F1400" s="5">
        <v>120.44</v>
      </c>
      <c r="G1400" s="5">
        <v>118.6</v>
      </c>
      <c r="H1400" s="5">
        <v>118.8</v>
      </c>
      <c r="I1400" s="5">
        <v>118.88</v>
      </c>
      <c r="J1400" s="5">
        <v>119.36</v>
      </c>
      <c r="K1400" s="5">
        <v>560</v>
      </c>
      <c r="L1400" s="5">
        <v>0.67</v>
      </c>
      <c r="M1400" s="5">
        <v>12</v>
      </c>
      <c r="N1400" s="5">
        <v>206</v>
      </c>
      <c r="O1400" s="5">
        <v>36.79</v>
      </c>
      <c r="P1400" s="5">
        <f t="shared" si="110"/>
        <v>-1.5100000000000051</v>
      </c>
      <c r="Q1400" s="6">
        <f t="shared" si="111"/>
        <v>-1.2542569980895465E-2</v>
      </c>
      <c r="R1400" s="5">
        <f t="shared" si="112"/>
        <v>1.8400000000000034</v>
      </c>
      <c r="S1400" s="6">
        <f t="shared" si="113"/>
        <v>1.5283661433673922E-2</v>
      </c>
      <c r="T1400" s="6">
        <f t="shared" si="114"/>
        <v>-4.0137135211974579E-3</v>
      </c>
    </row>
    <row r="1401" spans="1:20" hidden="1" x14ac:dyDescent="0.25">
      <c r="A1401" s="4" t="s">
        <v>1328</v>
      </c>
      <c r="B1401" s="5" t="s">
        <v>16</v>
      </c>
      <c r="C1401" s="5" t="s">
        <v>1823</v>
      </c>
      <c r="D1401" s="5">
        <v>53.47</v>
      </c>
      <c r="E1401" s="5">
        <v>52.95</v>
      </c>
      <c r="F1401" s="5">
        <v>53.32</v>
      </c>
      <c r="G1401" s="5">
        <v>52.11</v>
      </c>
      <c r="H1401" s="5">
        <v>52.11</v>
      </c>
      <c r="I1401" s="5">
        <v>52.11</v>
      </c>
      <c r="J1401" s="5">
        <v>52.52</v>
      </c>
      <c r="K1401" s="5">
        <v>205</v>
      </c>
      <c r="L1401" s="5">
        <v>0.11</v>
      </c>
      <c r="M1401" s="5">
        <v>18</v>
      </c>
      <c r="N1401" s="5">
        <v>148</v>
      </c>
      <c r="O1401" s="5">
        <v>72.2</v>
      </c>
      <c r="P1401" s="5">
        <f t="shared" si="110"/>
        <v>-1.3599999999999994</v>
      </c>
      <c r="Q1401" s="6">
        <f t="shared" si="111"/>
        <v>-2.5434823265382447E-2</v>
      </c>
      <c r="R1401" s="5">
        <f t="shared" si="112"/>
        <v>1.2100000000000009</v>
      </c>
      <c r="S1401" s="6">
        <f t="shared" si="113"/>
        <v>2.2629511875818232E-2</v>
      </c>
      <c r="T1401" s="6">
        <f t="shared" si="114"/>
        <v>-7.7913440068412502E-3</v>
      </c>
    </row>
    <row r="1402" spans="1:20" hidden="1" x14ac:dyDescent="0.25">
      <c r="A1402" s="4" t="s">
        <v>1329</v>
      </c>
      <c r="B1402" s="5" t="s">
        <v>16</v>
      </c>
      <c r="C1402" s="5" t="s">
        <v>1823</v>
      </c>
      <c r="D1402" s="5">
        <v>29.7</v>
      </c>
      <c r="E1402" s="5">
        <v>29.32</v>
      </c>
      <c r="F1402" s="5">
        <v>29.55</v>
      </c>
      <c r="G1402" s="5">
        <v>29.32</v>
      </c>
      <c r="H1402" s="5">
        <v>29.4</v>
      </c>
      <c r="I1402" s="5">
        <v>29.4</v>
      </c>
      <c r="J1402" s="5">
        <v>29.35</v>
      </c>
      <c r="K1402" s="5">
        <v>505</v>
      </c>
      <c r="L1402" s="5">
        <v>0.15</v>
      </c>
      <c r="M1402" s="5">
        <v>8</v>
      </c>
      <c r="N1402" s="5">
        <v>500</v>
      </c>
      <c r="O1402" s="5">
        <v>99.01</v>
      </c>
      <c r="P1402" s="5">
        <f t="shared" si="110"/>
        <v>-0.30000000000000071</v>
      </c>
      <c r="Q1402" s="6">
        <f t="shared" si="111"/>
        <v>-1.0101010101010124E-2</v>
      </c>
      <c r="R1402" s="5">
        <f t="shared" si="112"/>
        <v>0.23000000000000043</v>
      </c>
      <c r="S1402" s="6">
        <f t="shared" si="113"/>
        <v>7.744107744107759E-3</v>
      </c>
      <c r="T1402" s="6">
        <f t="shared" si="114"/>
        <v>1.7008249000764403E-3</v>
      </c>
    </row>
    <row r="1403" spans="1:20" hidden="1" x14ac:dyDescent="0.25">
      <c r="A1403" s="4" t="s">
        <v>1330</v>
      </c>
      <c r="B1403" s="5" t="s">
        <v>16</v>
      </c>
      <c r="C1403" s="5" t="s">
        <v>1823</v>
      </c>
      <c r="D1403" s="5">
        <v>1278.7</v>
      </c>
      <c r="E1403" s="5">
        <v>1284</v>
      </c>
      <c r="F1403" s="5">
        <v>1295</v>
      </c>
      <c r="G1403" s="5">
        <v>1268.8499999999999</v>
      </c>
      <c r="H1403" s="5">
        <v>1280.5999999999999</v>
      </c>
      <c r="I1403" s="5">
        <v>1279.55</v>
      </c>
      <c r="J1403" s="5">
        <v>1284.48</v>
      </c>
      <c r="K1403" s="5">
        <v>8316894</v>
      </c>
      <c r="L1403" s="5">
        <v>106828.57</v>
      </c>
      <c r="M1403" s="5">
        <v>213332</v>
      </c>
      <c r="N1403" s="5">
        <v>2502977</v>
      </c>
      <c r="O1403" s="5">
        <v>30.1</v>
      </c>
      <c r="P1403" s="5">
        <f t="shared" si="110"/>
        <v>0.84999999999990905</v>
      </c>
      <c r="Q1403" s="6">
        <f t="shared" si="111"/>
        <v>6.6473762414945574E-4</v>
      </c>
      <c r="R1403" s="5">
        <f t="shared" si="112"/>
        <v>26.150000000000091</v>
      </c>
      <c r="S1403" s="6">
        <f t="shared" si="113"/>
        <v>2.0450457495894338E-2</v>
      </c>
      <c r="T1403" s="6">
        <f t="shared" si="114"/>
        <v>-3.8460038226001982E-3</v>
      </c>
    </row>
    <row r="1404" spans="1:20" hidden="1" x14ac:dyDescent="0.25">
      <c r="A1404" s="4" t="s">
        <v>1331</v>
      </c>
      <c r="B1404" s="5" t="s">
        <v>16</v>
      </c>
      <c r="C1404" s="5" t="s">
        <v>1823</v>
      </c>
      <c r="D1404" s="5">
        <v>33.799999999999997</v>
      </c>
      <c r="E1404" s="5">
        <v>34.65</v>
      </c>
      <c r="F1404" s="5">
        <v>35.35</v>
      </c>
      <c r="G1404" s="5">
        <v>33.1</v>
      </c>
      <c r="H1404" s="5">
        <v>35.35</v>
      </c>
      <c r="I1404" s="5">
        <v>34.15</v>
      </c>
      <c r="J1404" s="5">
        <v>33.49</v>
      </c>
      <c r="K1404" s="5">
        <v>60827</v>
      </c>
      <c r="L1404" s="5">
        <v>20.37</v>
      </c>
      <c r="M1404" s="5">
        <v>469</v>
      </c>
      <c r="N1404" s="5">
        <v>50527</v>
      </c>
      <c r="O1404" s="5">
        <v>83.07</v>
      </c>
      <c r="P1404" s="5">
        <f t="shared" si="110"/>
        <v>0.35000000000000142</v>
      </c>
      <c r="Q1404" s="6">
        <f t="shared" si="111"/>
        <v>1.0355029585798859E-2</v>
      </c>
      <c r="R1404" s="5">
        <f t="shared" si="112"/>
        <v>2.25</v>
      </c>
      <c r="S1404" s="6">
        <f t="shared" si="113"/>
        <v>6.6568047337278113E-2</v>
      </c>
      <c r="T1404" s="6">
        <f t="shared" si="114"/>
        <v>1.9234972677595528E-2</v>
      </c>
    </row>
    <row r="1405" spans="1:20" x14ac:dyDescent="0.25">
      <c r="A1405" s="4" t="s">
        <v>883</v>
      </c>
      <c r="B1405" s="5" t="s">
        <v>16</v>
      </c>
      <c r="C1405" s="5" t="s">
        <v>1823</v>
      </c>
      <c r="D1405" s="5">
        <v>12.9</v>
      </c>
      <c r="E1405" s="5">
        <v>12.9</v>
      </c>
      <c r="F1405" s="5">
        <v>13.35</v>
      </c>
      <c r="G1405" s="5">
        <v>12.7</v>
      </c>
      <c r="H1405" s="5">
        <v>13.05</v>
      </c>
      <c r="I1405" s="5">
        <v>12.95</v>
      </c>
      <c r="J1405" s="5">
        <v>13</v>
      </c>
      <c r="K1405" s="5">
        <v>186952</v>
      </c>
      <c r="L1405" s="5">
        <v>24.3</v>
      </c>
      <c r="M1405" s="5">
        <v>366</v>
      </c>
      <c r="N1405" s="5">
        <v>117406</v>
      </c>
      <c r="O1405" s="5">
        <v>62.8</v>
      </c>
      <c r="P1405" s="5">
        <f t="shared" si="110"/>
        <v>4.9999999999998934E-2</v>
      </c>
      <c r="Q1405" s="6">
        <f t="shared" si="111"/>
        <v>3.8759689922479791E-3</v>
      </c>
      <c r="R1405" s="5">
        <f t="shared" si="112"/>
        <v>0.65000000000000036</v>
      </c>
      <c r="S1405" s="6">
        <f t="shared" si="113"/>
        <v>5.0387596899224833E-2</v>
      </c>
      <c r="T1405" s="6">
        <f t="shared" si="114"/>
        <v>-3.8535645472062199E-3</v>
      </c>
    </row>
    <row r="1406" spans="1:20" hidden="1" x14ac:dyDescent="0.25">
      <c r="A1406" s="4" t="s">
        <v>1333</v>
      </c>
      <c r="B1406" s="5" t="s">
        <v>16</v>
      </c>
      <c r="C1406" s="5" t="s">
        <v>1823</v>
      </c>
      <c r="D1406" s="5">
        <v>563.39</v>
      </c>
      <c r="E1406" s="5">
        <v>560</v>
      </c>
      <c r="F1406" s="5">
        <v>566</v>
      </c>
      <c r="G1406" s="5">
        <v>559.64</v>
      </c>
      <c r="H1406" s="5">
        <v>565.67999999999995</v>
      </c>
      <c r="I1406" s="5">
        <v>561.87</v>
      </c>
      <c r="J1406" s="5">
        <v>562.77</v>
      </c>
      <c r="K1406" s="5">
        <v>931</v>
      </c>
      <c r="L1406" s="5">
        <v>5.24</v>
      </c>
      <c r="M1406" s="5">
        <v>50</v>
      </c>
      <c r="N1406" s="5">
        <v>808</v>
      </c>
      <c r="O1406" s="5">
        <v>86.79</v>
      </c>
      <c r="P1406" s="5">
        <f t="shared" si="110"/>
        <v>-1.5199999999999818</v>
      </c>
      <c r="Q1406" s="6">
        <f t="shared" si="111"/>
        <v>-2.6979534603027776E-3</v>
      </c>
      <c r="R1406" s="5">
        <f t="shared" si="112"/>
        <v>6.3600000000000136</v>
      </c>
      <c r="S1406" s="6">
        <f t="shared" si="113"/>
        <v>1.128880526810915E-2</v>
      </c>
      <c r="T1406" s="6">
        <f t="shared" si="114"/>
        <v>-1.6017726283753617E-3</v>
      </c>
    </row>
    <row r="1407" spans="1:20" hidden="1" x14ac:dyDescent="0.25">
      <c r="A1407" s="4" t="s">
        <v>1334</v>
      </c>
      <c r="B1407" s="5" t="s">
        <v>16</v>
      </c>
      <c r="C1407" s="5" t="s">
        <v>1823</v>
      </c>
      <c r="D1407" s="5">
        <v>87.3</v>
      </c>
      <c r="E1407" s="5">
        <v>87.3</v>
      </c>
      <c r="F1407" s="5">
        <v>89</v>
      </c>
      <c r="G1407" s="5">
        <v>85</v>
      </c>
      <c r="H1407" s="5">
        <v>85</v>
      </c>
      <c r="I1407" s="5">
        <v>85.1</v>
      </c>
      <c r="J1407" s="5">
        <v>87.05</v>
      </c>
      <c r="K1407" s="5">
        <v>6337</v>
      </c>
      <c r="L1407" s="5">
        <v>5.52</v>
      </c>
      <c r="M1407" s="5">
        <v>73</v>
      </c>
      <c r="N1407" s="5">
        <v>1116</v>
      </c>
      <c r="O1407" s="5">
        <v>17.61</v>
      </c>
      <c r="P1407" s="5">
        <f t="shared" si="110"/>
        <v>-2.2000000000000028</v>
      </c>
      <c r="Q1407" s="6">
        <f t="shared" si="111"/>
        <v>-2.5200458190148944E-2</v>
      </c>
      <c r="R1407" s="5">
        <f t="shared" si="112"/>
        <v>4</v>
      </c>
      <c r="S1407" s="6">
        <f t="shared" si="113"/>
        <v>4.5819014891179843E-2</v>
      </c>
      <c r="T1407" s="6">
        <f t="shared" si="114"/>
        <v>-2.2517321016166315E-2</v>
      </c>
    </row>
    <row r="1408" spans="1:20" hidden="1" x14ac:dyDescent="0.25">
      <c r="A1408" s="4" t="s">
        <v>1335</v>
      </c>
      <c r="B1408" s="5" t="s">
        <v>16</v>
      </c>
      <c r="C1408" s="5" t="s">
        <v>1823</v>
      </c>
      <c r="D1408" s="5">
        <v>7.05</v>
      </c>
      <c r="E1408" s="5">
        <v>7.05</v>
      </c>
      <c r="F1408" s="5">
        <v>7.35</v>
      </c>
      <c r="G1408" s="5">
        <v>7</v>
      </c>
      <c r="H1408" s="5">
        <v>7.1</v>
      </c>
      <c r="I1408" s="5">
        <v>7.15</v>
      </c>
      <c r="J1408" s="5">
        <v>7.19</v>
      </c>
      <c r="K1408" s="5">
        <v>878684</v>
      </c>
      <c r="L1408" s="5">
        <v>63.15</v>
      </c>
      <c r="M1408" s="5">
        <v>1254</v>
      </c>
      <c r="N1408" s="5">
        <v>549099</v>
      </c>
      <c r="O1408" s="5">
        <v>62.49</v>
      </c>
      <c r="P1408" s="5">
        <f t="shared" si="110"/>
        <v>0.10000000000000053</v>
      </c>
      <c r="Q1408" s="6">
        <f t="shared" si="111"/>
        <v>1.4184397163120643E-2</v>
      </c>
      <c r="R1408" s="5">
        <f t="shared" si="112"/>
        <v>0.34999999999999964</v>
      </c>
      <c r="S1408" s="6">
        <f t="shared" si="113"/>
        <v>4.964539007092194E-2</v>
      </c>
      <c r="T1408" s="6">
        <f t="shared" si="114"/>
        <v>-5.6042031523642786E-3</v>
      </c>
    </row>
    <row r="1409" spans="1:20" x14ac:dyDescent="0.25">
      <c r="A1409" s="4" t="s">
        <v>1699</v>
      </c>
      <c r="B1409" s="5" t="s">
        <v>16</v>
      </c>
      <c r="C1409" s="5" t="s">
        <v>1823</v>
      </c>
      <c r="D1409" s="5">
        <v>14.85</v>
      </c>
      <c r="E1409" s="5">
        <v>14.8</v>
      </c>
      <c r="F1409" s="5">
        <v>14.8</v>
      </c>
      <c r="G1409" s="5">
        <v>14.25</v>
      </c>
      <c r="H1409" s="5">
        <v>14.3</v>
      </c>
      <c r="I1409" s="5">
        <v>14.3</v>
      </c>
      <c r="J1409" s="5">
        <v>14.41</v>
      </c>
      <c r="K1409" s="5">
        <v>483666</v>
      </c>
      <c r="L1409" s="5">
        <v>69.680000000000007</v>
      </c>
      <c r="M1409" s="5">
        <v>1636</v>
      </c>
      <c r="N1409" s="5">
        <v>305070</v>
      </c>
      <c r="O1409" s="5">
        <v>63.07</v>
      </c>
      <c r="P1409" s="5">
        <f t="shared" si="110"/>
        <v>-0.54999999999999893</v>
      </c>
      <c r="Q1409" s="6">
        <f t="shared" si="111"/>
        <v>-3.7037037037036966E-2</v>
      </c>
      <c r="R1409" s="5">
        <f t="shared" si="112"/>
        <v>0.55000000000000071</v>
      </c>
      <c r="S1409" s="6">
        <f t="shared" si="113"/>
        <v>3.7037037037037084E-2</v>
      </c>
      <c r="T1409" s="6">
        <f t="shared" si="114"/>
        <v>-7.5666380051590317E-3</v>
      </c>
    </row>
    <row r="1410" spans="1:20" hidden="1" x14ac:dyDescent="0.25">
      <c r="A1410" s="4" t="s">
        <v>1337</v>
      </c>
      <c r="B1410" s="5" t="s">
        <v>16</v>
      </c>
      <c r="C1410" s="5" t="s">
        <v>1823</v>
      </c>
      <c r="D1410" s="5">
        <v>562.35</v>
      </c>
      <c r="E1410" s="5">
        <v>551.35</v>
      </c>
      <c r="F1410" s="5">
        <v>565</v>
      </c>
      <c r="G1410" s="5">
        <v>549.04999999999995</v>
      </c>
      <c r="H1410" s="5">
        <v>558</v>
      </c>
      <c r="I1410" s="5">
        <v>555.75</v>
      </c>
      <c r="J1410" s="5">
        <v>556.74</v>
      </c>
      <c r="K1410" s="5">
        <v>2689</v>
      </c>
      <c r="L1410" s="5">
        <v>14.97</v>
      </c>
      <c r="M1410" s="5">
        <v>277</v>
      </c>
      <c r="N1410" s="5">
        <v>2230</v>
      </c>
      <c r="O1410" s="5">
        <v>82.93</v>
      </c>
      <c r="P1410" s="5">
        <f t="shared" si="110"/>
        <v>-6.6000000000000227</v>
      </c>
      <c r="Q1410" s="6">
        <f t="shared" si="111"/>
        <v>-1.1736463056815191E-2</v>
      </c>
      <c r="R1410" s="5">
        <f t="shared" si="112"/>
        <v>15.950000000000045</v>
      </c>
      <c r="S1410" s="6">
        <f t="shared" si="113"/>
        <v>2.8363119053970029E-2</v>
      </c>
      <c r="T1410" s="6">
        <f t="shared" si="114"/>
        <v>-1.7828602300610211E-3</v>
      </c>
    </row>
    <row r="1411" spans="1:20" x14ac:dyDescent="0.25">
      <c r="A1411" s="4" t="s">
        <v>1237</v>
      </c>
      <c r="B1411" s="5" t="s">
        <v>16</v>
      </c>
      <c r="C1411" s="5" t="s">
        <v>1823</v>
      </c>
      <c r="D1411" s="5">
        <v>1286.6500000000001</v>
      </c>
      <c r="E1411" s="5">
        <v>1294.9000000000001</v>
      </c>
      <c r="F1411" s="5">
        <v>1339</v>
      </c>
      <c r="G1411" s="5">
        <v>1281.05</v>
      </c>
      <c r="H1411" s="5">
        <v>1305</v>
      </c>
      <c r="I1411" s="5">
        <v>1305.05</v>
      </c>
      <c r="J1411" s="5">
        <v>1308.69</v>
      </c>
      <c r="K1411" s="5">
        <v>310866</v>
      </c>
      <c r="L1411" s="5">
        <v>4068.29</v>
      </c>
      <c r="M1411" s="5">
        <v>16401</v>
      </c>
      <c r="N1411" s="5">
        <v>196617</v>
      </c>
      <c r="O1411" s="5">
        <v>63.25</v>
      </c>
      <c r="P1411" s="5">
        <f t="shared" si="110"/>
        <v>18.399999999999864</v>
      </c>
      <c r="Q1411" s="6">
        <f t="shared" si="111"/>
        <v>1.4300703376986641E-2</v>
      </c>
      <c r="R1411" s="5">
        <f t="shared" si="112"/>
        <v>57.950000000000045</v>
      </c>
      <c r="S1411" s="6">
        <f t="shared" si="113"/>
        <v>4.5039443516107752E-2</v>
      </c>
      <c r="T1411" s="6">
        <f t="shared" si="114"/>
        <v>-2.7892720306514178E-3</v>
      </c>
    </row>
    <row r="1412" spans="1:20" hidden="1" x14ac:dyDescent="0.25">
      <c r="A1412" s="4" t="s">
        <v>1339</v>
      </c>
      <c r="B1412" s="5" t="s">
        <v>16</v>
      </c>
      <c r="C1412" s="5" t="s">
        <v>1823</v>
      </c>
      <c r="D1412" s="5">
        <v>61.19</v>
      </c>
      <c r="E1412" s="5">
        <v>61</v>
      </c>
      <c r="F1412" s="5">
        <v>61</v>
      </c>
      <c r="G1412" s="5">
        <v>59.95</v>
      </c>
      <c r="H1412" s="5">
        <v>60.35</v>
      </c>
      <c r="I1412" s="5">
        <v>60</v>
      </c>
      <c r="J1412" s="5">
        <v>60.15</v>
      </c>
      <c r="K1412" s="5">
        <v>32695</v>
      </c>
      <c r="L1412" s="5">
        <v>19.670000000000002</v>
      </c>
      <c r="M1412" s="5">
        <v>53</v>
      </c>
      <c r="N1412" s="5">
        <v>23956</v>
      </c>
      <c r="O1412" s="5">
        <v>73.27</v>
      </c>
      <c r="P1412" s="5">
        <f t="shared" si="110"/>
        <v>-1.1899999999999977</v>
      </c>
      <c r="Q1412" s="6">
        <f t="shared" si="111"/>
        <v>-1.9447622160483704E-2</v>
      </c>
      <c r="R1412" s="5">
        <f t="shared" si="112"/>
        <v>1.0499999999999972</v>
      </c>
      <c r="S1412" s="6">
        <f t="shared" si="113"/>
        <v>1.7159666612191489E-2</v>
      </c>
      <c r="T1412" s="6">
        <f t="shared" si="114"/>
        <v>-2.4798512089274408E-3</v>
      </c>
    </row>
    <row r="1413" spans="1:20" hidden="1" x14ac:dyDescent="0.25">
      <c r="A1413" s="4" t="s">
        <v>1340</v>
      </c>
      <c r="B1413" s="5" t="s">
        <v>16</v>
      </c>
      <c r="C1413" s="5" t="s">
        <v>1823</v>
      </c>
      <c r="D1413" s="5">
        <v>378</v>
      </c>
      <c r="E1413" s="5">
        <v>375.95</v>
      </c>
      <c r="F1413" s="5">
        <v>379</v>
      </c>
      <c r="G1413" s="5">
        <v>369</v>
      </c>
      <c r="H1413" s="5">
        <v>379</v>
      </c>
      <c r="I1413" s="5">
        <v>378.15</v>
      </c>
      <c r="J1413" s="5">
        <v>375.19</v>
      </c>
      <c r="K1413" s="5">
        <v>348</v>
      </c>
      <c r="L1413" s="5">
        <v>1.31</v>
      </c>
      <c r="M1413" s="5">
        <v>20</v>
      </c>
      <c r="N1413" s="5">
        <v>330</v>
      </c>
      <c r="O1413" s="5">
        <v>94.83</v>
      </c>
      <c r="P1413" s="5">
        <f t="shared" si="110"/>
        <v>0.14999999999997726</v>
      </c>
      <c r="Q1413" s="6">
        <f t="shared" si="111"/>
        <v>3.9682539682533665E-4</v>
      </c>
      <c r="R1413" s="5">
        <f t="shared" si="112"/>
        <v>10</v>
      </c>
      <c r="S1413" s="6">
        <f t="shared" si="113"/>
        <v>2.6455026455026454E-2</v>
      </c>
      <c r="T1413" s="6">
        <f t="shared" si="114"/>
        <v>7.8822981159709198E-3</v>
      </c>
    </row>
    <row r="1414" spans="1:20" hidden="1" x14ac:dyDescent="0.25">
      <c r="A1414" s="4" t="s">
        <v>1341</v>
      </c>
      <c r="B1414" s="5" t="s">
        <v>16</v>
      </c>
      <c r="C1414" s="5" t="s">
        <v>1823</v>
      </c>
      <c r="D1414" s="5">
        <v>267.64999999999998</v>
      </c>
      <c r="E1414" s="5">
        <v>265.10000000000002</v>
      </c>
      <c r="F1414" s="5">
        <v>271</v>
      </c>
      <c r="G1414" s="5">
        <v>251.55</v>
      </c>
      <c r="H1414" s="5">
        <v>262</v>
      </c>
      <c r="I1414" s="5">
        <v>262.35000000000002</v>
      </c>
      <c r="J1414" s="5">
        <v>262.07</v>
      </c>
      <c r="K1414" s="5">
        <v>2940</v>
      </c>
      <c r="L1414" s="5">
        <v>7.7</v>
      </c>
      <c r="M1414" s="5">
        <v>221</v>
      </c>
      <c r="N1414" s="5">
        <v>1809</v>
      </c>
      <c r="O1414" s="5">
        <v>61.53</v>
      </c>
      <c r="P1414" s="5">
        <f t="shared" si="110"/>
        <v>-5.2999999999999545</v>
      </c>
      <c r="Q1414" s="6">
        <f t="shared" si="111"/>
        <v>-1.9801980198019632E-2</v>
      </c>
      <c r="R1414" s="5">
        <f t="shared" si="112"/>
        <v>19.449999999999989</v>
      </c>
      <c r="S1414" s="6">
        <f t="shared" si="113"/>
        <v>7.2669531104053761E-2</v>
      </c>
      <c r="T1414" s="6">
        <f t="shared" si="114"/>
        <v>1.0666666666667793E-3</v>
      </c>
    </row>
    <row r="1415" spans="1:20" hidden="1" x14ac:dyDescent="0.25">
      <c r="A1415" s="4" t="s">
        <v>1342</v>
      </c>
      <c r="B1415" s="5" t="s">
        <v>16</v>
      </c>
      <c r="C1415" s="5" t="s">
        <v>1823</v>
      </c>
      <c r="D1415" s="5">
        <v>4.6500000000000004</v>
      </c>
      <c r="E1415" s="5">
        <v>4.55</v>
      </c>
      <c r="F1415" s="5">
        <v>4.5999999999999996</v>
      </c>
      <c r="G1415" s="5">
        <v>4.45</v>
      </c>
      <c r="H1415" s="5">
        <v>4.45</v>
      </c>
      <c r="I1415" s="5">
        <v>4.45</v>
      </c>
      <c r="J1415" s="5">
        <v>4.47</v>
      </c>
      <c r="K1415" s="5">
        <v>313473</v>
      </c>
      <c r="L1415" s="5">
        <v>14.02</v>
      </c>
      <c r="M1415" s="5">
        <v>604</v>
      </c>
      <c r="N1415" s="5">
        <v>267491</v>
      </c>
      <c r="O1415" s="5">
        <v>85.33</v>
      </c>
      <c r="P1415" s="5">
        <f t="shared" si="110"/>
        <v>-0.20000000000000018</v>
      </c>
      <c r="Q1415" s="6">
        <f t="shared" si="111"/>
        <v>-4.3010752688172081E-2</v>
      </c>
      <c r="R1415" s="5">
        <f t="shared" si="112"/>
        <v>0.14999999999999947</v>
      </c>
      <c r="S1415" s="6">
        <f t="shared" si="113"/>
        <v>3.2258064516128913E-2</v>
      </c>
      <c r="T1415" s="6">
        <f t="shared" si="114"/>
        <v>-4.4321329639888255E-3</v>
      </c>
    </row>
    <row r="1416" spans="1:20" hidden="1" x14ac:dyDescent="0.25">
      <c r="A1416" s="4" t="s">
        <v>1342</v>
      </c>
      <c r="B1416" s="5" t="s">
        <v>480</v>
      </c>
      <c r="C1416" s="5" t="s">
        <v>1823</v>
      </c>
      <c r="D1416" s="5">
        <v>470</v>
      </c>
      <c r="E1416" s="5">
        <v>416</v>
      </c>
      <c r="F1416" s="5">
        <v>416</v>
      </c>
      <c r="G1416" s="5">
        <v>416</v>
      </c>
      <c r="H1416" s="5">
        <v>416</v>
      </c>
      <c r="I1416" s="5">
        <v>416</v>
      </c>
      <c r="J1416" s="5">
        <v>416</v>
      </c>
      <c r="K1416" s="5">
        <v>25</v>
      </c>
      <c r="L1416" s="5">
        <v>0.1</v>
      </c>
      <c r="M1416" s="5">
        <v>1</v>
      </c>
      <c r="N1416" s="5">
        <v>25</v>
      </c>
      <c r="O1416" s="5">
        <v>100</v>
      </c>
      <c r="P1416" s="5">
        <f t="shared" si="110"/>
        <v>-54</v>
      </c>
      <c r="Q1416" s="6">
        <f t="shared" si="111"/>
        <v>-0.1148936170212766</v>
      </c>
      <c r="R1416" s="5">
        <f t="shared" si="112"/>
        <v>0</v>
      </c>
      <c r="S1416" s="6">
        <f t="shared" si="113"/>
        <v>0</v>
      </c>
      <c r="T1416" s="6">
        <f t="shared" si="114"/>
        <v>0</v>
      </c>
    </row>
    <row r="1417" spans="1:20" hidden="1" x14ac:dyDescent="0.25">
      <c r="A1417" s="4" t="s">
        <v>1342</v>
      </c>
      <c r="B1417" s="5" t="s">
        <v>395</v>
      </c>
      <c r="C1417" s="5" t="s">
        <v>1823</v>
      </c>
      <c r="D1417" s="5">
        <v>376</v>
      </c>
      <c r="E1417" s="5">
        <v>377.02</v>
      </c>
      <c r="F1417" s="5">
        <v>377.02</v>
      </c>
      <c r="G1417" s="5">
        <v>376</v>
      </c>
      <c r="H1417" s="5">
        <v>376</v>
      </c>
      <c r="I1417" s="5">
        <v>376</v>
      </c>
      <c r="J1417" s="5">
        <v>376.47</v>
      </c>
      <c r="K1417" s="5">
        <v>75</v>
      </c>
      <c r="L1417" s="5">
        <v>0.28000000000000003</v>
      </c>
      <c r="M1417" s="5">
        <v>4</v>
      </c>
      <c r="N1417" s="5">
        <v>75</v>
      </c>
      <c r="O1417" s="5">
        <v>100</v>
      </c>
      <c r="P1417" s="5">
        <f t="shared" si="110"/>
        <v>0</v>
      </c>
      <c r="Q1417" s="6">
        <f t="shared" si="111"/>
        <v>0</v>
      </c>
      <c r="R1417" s="5">
        <f t="shared" si="112"/>
        <v>1.0199999999999818</v>
      </c>
      <c r="S1417" s="6">
        <f t="shared" si="113"/>
        <v>2.7127659574467601E-3</v>
      </c>
      <c r="T1417" s="6">
        <f t="shared" si="114"/>
        <v>-1.2483068178800758E-3</v>
      </c>
    </row>
    <row r="1418" spans="1:20" hidden="1" x14ac:dyDescent="0.25">
      <c r="A1418" s="4" t="s">
        <v>1342</v>
      </c>
      <c r="B1418" s="5" t="s">
        <v>396</v>
      </c>
      <c r="C1418" s="5" t="s">
        <v>1823</v>
      </c>
      <c r="D1418" s="5">
        <v>327.7</v>
      </c>
      <c r="E1418" s="5">
        <v>325</v>
      </c>
      <c r="F1418" s="5">
        <v>325</v>
      </c>
      <c r="G1418" s="5">
        <v>280</v>
      </c>
      <c r="H1418" s="5">
        <v>280</v>
      </c>
      <c r="I1418" s="5">
        <v>295.86</v>
      </c>
      <c r="J1418" s="5">
        <v>303.64</v>
      </c>
      <c r="K1418" s="5">
        <v>936</v>
      </c>
      <c r="L1418" s="5">
        <v>2.84</v>
      </c>
      <c r="M1418" s="5">
        <v>24</v>
      </c>
      <c r="N1418" s="5">
        <v>870</v>
      </c>
      <c r="O1418" s="5">
        <v>92.95</v>
      </c>
      <c r="P1418" s="5">
        <f t="shared" si="110"/>
        <v>-31.839999999999975</v>
      </c>
      <c r="Q1418" s="6">
        <f t="shared" si="111"/>
        <v>-9.7162038449801577E-2</v>
      </c>
      <c r="R1418" s="5">
        <f t="shared" si="112"/>
        <v>45</v>
      </c>
      <c r="S1418" s="6">
        <f t="shared" si="113"/>
        <v>0.13732072017088801</v>
      </c>
      <c r="T1418" s="6">
        <f t="shared" si="114"/>
        <v>-2.5386259442350585E-2</v>
      </c>
    </row>
    <row r="1419" spans="1:20" hidden="1" x14ac:dyDescent="0.25">
      <c r="A1419" s="4" t="s">
        <v>1342</v>
      </c>
      <c r="B1419" s="5" t="s">
        <v>694</v>
      </c>
      <c r="C1419" s="5" t="s">
        <v>1823</v>
      </c>
      <c r="D1419" s="5">
        <v>340</v>
      </c>
      <c r="E1419" s="5">
        <v>325</v>
      </c>
      <c r="F1419" s="5">
        <v>325</v>
      </c>
      <c r="G1419" s="5">
        <v>325</v>
      </c>
      <c r="H1419" s="5">
        <v>325</v>
      </c>
      <c r="I1419" s="5">
        <v>325</v>
      </c>
      <c r="J1419" s="5">
        <v>325</v>
      </c>
      <c r="K1419" s="5">
        <v>20</v>
      </c>
      <c r="L1419" s="5">
        <v>7.0000000000000007E-2</v>
      </c>
      <c r="M1419" s="5">
        <v>1</v>
      </c>
      <c r="N1419" s="5">
        <v>20</v>
      </c>
      <c r="O1419" s="5">
        <v>100</v>
      </c>
      <c r="P1419" s="5">
        <f t="shared" si="110"/>
        <v>-15</v>
      </c>
      <c r="Q1419" s="6">
        <f t="shared" si="111"/>
        <v>-4.4117647058823532E-2</v>
      </c>
      <c r="R1419" s="5">
        <f t="shared" si="112"/>
        <v>0</v>
      </c>
      <c r="S1419" s="6">
        <f t="shared" si="113"/>
        <v>0</v>
      </c>
      <c r="T1419" s="6">
        <f t="shared" si="114"/>
        <v>0</v>
      </c>
    </row>
    <row r="1420" spans="1:20" x14ac:dyDescent="0.25">
      <c r="A1420" s="4" t="s">
        <v>514</v>
      </c>
      <c r="B1420" s="5" t="s">
        <v>16</v>
      </c>
      <c r="C1420" s="5" t="s">
        <v>1823</v>
      </c>
      <c r="D1420" s="5">
        <v>136.35</v>
      </c>
      <c r="E1420" s="5">
        <v>136</v>
      </c>
      <c r="F1420" s="5">
        <v>136</v>
      </c>
      <c r="G1420" s="5">
        <v>130</v>
      </c>
      <c r="H1420" s="5">
        <v>130.55000000000001</v>
      </c>
      <c r="I1420" s="5">
        <v>130.44999999999999</v>
      </c>
      <c r="J1420" s="5">
        <v>131.4</v>
      </c>
      <c r="K1420" s="5">
        <v>621176</v>
      </c>
      <c r="L1420" s="5">
        <v>816.25</v>
      </c>
      <c r="M1420" s="5">
        <v>8470</v>
      </c>
      <c r="N1420" s="5">
        <v>394661</v>
      </c>
      <c r="O1420" s="5">
        <v>63.53</v>
      </c>
      <c r="P1420" s="5">
        <f t="shared" ref="P1420:P1483" si="115">I1420-D1420</f>
        <v>-5.9000000000000057</v>
      </c>
      <c r="Q1420" s="6">
        <f t="shared" ref="Q1420:Q1483" si="116">P1420/D1420</f>
        <v>-4.3270993766043313E-2</v>
      </c>
      <c r="R1420" s="5">
        <f t="shared" ref="R1420:R1483" si="117">ABS(F1420-G1420)</f>
        <v>6</v>
      </c>
      <c r="S1420" s="6">
        <f t="shared" ref="S1420:S1483" si="118">R1420/D1420</f>
        <v>4.4004400440044007E-2</v>
      </c>
      <c r="T1420" s="6">
        <f t="shared" ref="T1420:T1483" si="119">(I1420-J1420)/AVERAGE(E1420:G1420,I1420)</f>
        <v>-7.136820358719256E-3</v>
      </c>
    </row>
    <row r="1421" spans="1:20" x14ac:dyDescent="0.25">
      <c r="A1421" s="4" t="s">
        <v>1139</v>
      </c>
      <c r="B1421" s="5" t="s">
        <v>16</v>
      </c>
      <c r="C1421" s="5" t="s">
        <v>1823</v>
      </c>
      <c r="D1421" s="5">
        <v>105.95</v>
      </c>
      <c r="E1421" s="5">
        <v>106.35</v>
      </c>
      <c r="F1421" s="5">
        <v>107.7</v>
      </c>
      <c r="G1421" s="5">
        <v>99.55</v>
      </c>
      <c r="H1421" s="5">
        <v>99.6</v>
      </c>
      <c r="I1421" s="5">
        <v>99.9</v>
      </c>
      <c r="J1421" s="5">
        <v>101.68</v>
      </c>
      <c r="K1421" s="5">
        <v>365433</v>
      </c>
      <c r="L1421" s="5">
        <v>371.56</v>
      </c>
      <c r="M1421" s="5">
        <v>9194</v>
      </c>
      <c r="N1421" s="5">
        <v>235314</v>
      </c>
      <c r="O1421" s="5">
        <v>64.39</v>
      </c>
      <c r="P1421" s="5">
        <f t="shared" si="115"/>
        <v>-6.0499999999999972</v>
      </c>
      <c r="Q1421" s="6">
        <f t="shared" si="116"/>
        <v>-5.7102406795658298E-2</v>
      </c>
      <c r="R1421" s="5">
        <f t="shared" si="117"/>
        <v>8.1500000000000057</v>
      </c>
      <c r="S1421" s="6">
        <f t="shared" si="118"/>
        <v>7.6923076923076969E-2</v>
      </c>
      <c r="T1421" s="6">
        <f t="shared" si="119"/>
        <v>-1.7218863361547775E-2</v>
      </c>
    </row>
    <row r="1422" spans="1:20" x14ac:dyDescent="0.25">
      <c r="A1422" s="4" t="s">
        <v>1019</v>
      </c>
      <c r="B1422" s="5" t="s">
        <v>16</v>
      </c>
      <c r="C1422" s="5" t="s">
        <v>1823</v>
      </c>
      <c r="D1422" s="5">
        <v>396.45</v>
      </c>
      <c r="E1422" s="5">
        <v>397.9</v>
      </c>
      <c r="F1422" s="5">
        <v>404</v>
      </c>
      <c r="G1422" s="5">
        <v>384.1</v>
      </c>
      <c r="H1422" s="5">
        <v>384.3</v>
      </c>
      <c r="I1422" s="5">
        <v>392</v>
      </c>
      <c r="J1422" s="5">
        <v>394.98</v>
      </c>
      <c r="K1422" s="5">
        <v>3164971</v>
      </c>
      <c r="L1422" s="5">
        <v>12500.99</v>
      </c>
      <c r="M1422" s="5">
        <v>83408</v>
      </c>
      <c r="N1422" s="5">
        <v>2045642</v>
      </c>
      <c r="O1422" s="5">
        <v>64.63</v>
      </c>
      <c r="P1422" s="5">
        <f t="shared" si="115"/>
        <v>-4.4499999999999886</v>
      </c>
      <c r="Q1422" s="6">
        <f t="shared" si="116"/>
        <v>-1.1224618489090652E-2</v>
      </c>
      <c r="R1422" s="5">
        <f t="shared" si="117"/>
        <v>19.899999999999977</v>
      </c>
      <c r="S1422" s="6">
        <f t="shared" si="118"/>
        <v>5.0195484928742533E-2</v>
      </c>
      <c r="T1422" s="6">
        <f t="shared" si="119"/>
        <v>-7.5538656527250145E-3</v>
      </c>
    </row>
    <row r="1423" spans="1:20" hidden="1" x14ac:dyDescent="0.25">
      <c r="A1423" s="4" t="s">
        <v>1346</v>
      </c>
      <c r="B1423" s="5" t="s">
        <v>39</v>
      </c>
      <c r="C1423" s="5" t="s">
        <v>1823</v>
      </c>
      <c r="D1423" s="5">
        <v>6.6</v>
      </c>
      <c r="E1423" s="5">
        <v>6.6</v>
      </c>
      <c r="F1423" s="5">
        <v>6.85</v>
      </c>
      <c r="G1423" s="5">
        <v>6.35</v>
      </c>
      <c r="H1423" s="5">
        <v>6.35</v>
      </c>
      <c r="I1423" s="5">
        <v>6.35</v>
      </c>
      <c r="J1423" s="5">
        <v>6.67</v>
      </c>
      <c r="K1423" s="5">
        <v>1188</v>
      </c>
      <c r="L1423" s="5">
        <v>0.08</v>
      </c>
      <c r="M1423" s="5">
        <v>6</v>
      </c>
      <c r="N1423" s="5" t="s">
        <v>25</v>
      </c>
      <c r="O1423" s="5" t="s">
        <v>25</v>
      </c>
      <c r="P1423" s="5">
        <f t="shared" si="115"/>
        <v>-0.25</v>
      </c>
      <c r="Q1423" s="6">
        <f t="shared" si="116"/>
        <v>-3.787878787878788E-2</v>
      </c>
      <c r="R1423" s="5">
        <f t="shared" si="117"/>
        <v>0.5</v>
      </c>
      <c r="S1423" s="6">
        <f t="shared" si="118"/>
        <v>7.575757575757576E-2</v>
      </c>
      <c r="T1423" s="6">
        <f t="shared" si="119"/>
        <v>-4.8948374760994312E-2</v>
      </c>
    </row>
    <row r="1424" spans="1:20" hidden="1" x14ac:dyDescent="0.25">
      <c r="A1424" s="4" t="s">
        <v>1347</v>
      </c>
      <c r="B1424" s="5" t="s">
        <v>28</v>
      </c>
      <c r="C1424" s="5" t="s">
        <v>1823</v>
      </c>
      <c r="D1424" s="5">
        <v>46.6</v>
      </c>
      <c r="E1424" s="5">
        <v>55.9</v>
      </c>
      <c r="F1424" s="5">
        <v>55.9</v>
      </c>
      <c r="G1424" s="5">
        <v>50</v>
      </c>
      <c r="H1424" s="5">
        <v>50</v>
      </c>
      <c r="I1424" s="5">
        <v>50</v>
      </c>
      <c r="J1424" s="5">
        <v>51.59</v>
      </c>
      <c r="K1424" s="5">
        <v>10000</v>
      </c>
      <c r="L1424" s="5">
        <v>5.16</v>
      </c>
      <c r="M1424" s="5">
        <v>10</v>
      </c>
      <c r="N1424" s="5">
        <v>6000</v>
      </c>
      <c r="O1424" s="5">
        <v>60</v>
      </c>
      <c r="P1424" s="5">
        <f t="shared" si="115"/>
        <v>3.3999999999999986</v>
      </c>
      <c r="Q1424" s="6">
        <f t="shared" si="116"/>
        <v>7.2961373390557901E-2</v>
      </c>
      <c r="R1424" s="5">
        <f t="shared" si="117"/>
        <v>5.8999999999999986</v>
      </c>
      <c r="S1424" s="6">
        <f t="shared" si="118"/>
        <v>0.12660944206008581</v>
      </c>
      <c r="T1424" s="6">
        <f t="shared" si="119"/>
        <v>-3.0028328611898081E-2</v>
      </c>
    </row>
    <row r="1425" spans="1:20" hidden="1" x14ac:dyDescent="0.25">
      <c r="A1425" s="4" t="s">
        <v>1348</v>
      </c>
      <c r="B1425" s="5" t="s">
        <v>16</v>
      </c>
      <c r="C1425" s="5" t="s">
        <v>1823</v>
      </c>
      <c r="D1425" s="5">
        <v>309.75</v>
      </c>
      <c r="E1425" s="5">
        <v>320</v>
      </c>
      <c r="F1425" s="5">
        <v>320</v>
      </c>
      <c r="G1425" s="5">
        <v>293.3</v>
      </c>
      <c r="H1425" s="5">
        <v>296</v>
      </c>
      <c r="I1425" s="5">
        <v>298.85000000000002</v>
      </c>
      <c r="J1425" s="5">
        <v>299.58999999999997</v>
      </c>
      <c r="K1425" s="5">
        <v>8222</v>
      </c>
      <c r="L1425" s="5">
        <v>24.63</v>
      </c>
      <c r="M1425" s="5">
        <v>599</v>
      </c>
      <c r="N1425" s="5">
        <v>3922</v>
      </c>
      <c r="O1425" s="5">
        <v>47.7</v>
      </c>
      <c r="P1425" s="5">
        <f t="shared" si="115"/>
        <v>-10.899999999999977</v>
      </c>
      <c r="Q1425" s="6">
        <f t="shared" si="116"/>
        <v>-3.51896690879741E-2</v>
      </c>
      <c r="R1425" s="5">
        <f t="shared" si="117"/>
        <v>26.699999999999989</v>
      </c>
      <c r="S1425" s="6">
        <f t="shared" si="118"/>
        <v>8.6198547215496329E-2</v>
      </c>
      <c r="T1425" s="6">
        <f t="shared" si="119"/>
        <v>-2.4023049141742555E-3</v>
      </c>
    </row>
    <row r="1426" spans="1:20" hidden="1" x14ac:dyDescent="0.25">
      <c r="A1426" s="4" t="s">
        <v>1349</v>
      </c>
      <c r="B1426" s="5" t="s">
        <v>39</v>
      </c>
      <c r="C1426" s="5" t="s">
        <v>1823</v>
      </c>
      <c r="D1426" s="5">
        <v>4.4000000000000004</v>
      </c>
      <c r="E1426" s="5">
        <v>4.3</v>
      </c>
      <c r="F1426" s="5">
        <v>4.3</v>
      </c>
      <c r="G1426" s="5">
        <v>4.2</v>
      </c>
      <c r="H1426" s="5">
        <v>4.3</v>
      </c>
      <c r="I1426" s="5">
        <v>4.3</v>
      </c>
      <c r="J1426" s="5">
        <v>4.28</v>
      </c>
      <c r="K1426" s="5">
        <v>5108</v>
      </c>
      <c r="L1426" s="5">
        <v>0.22</v>
      </c>
      <c r="M1426" s="5">
        <v>19</v>
      </c>
      <c r="N1426" s="5" t="s">
        <v>25</v>
      </c>
      <c r="O1426" s="5" t="s">
        <v>25</v>
      </c>
      <c r="P1426" s="5">
        <f t="shared" si="115"/>
        <v>-0.10000000000000053</v>
      </c>
      <c r="Q1426" s="6">
        <f t="shared" si="116"/>
        <v>-2.2727272727272846E-2</v>
      </c>
      <c r="R1426" s="5">
        <f t="shared" si="117"/>
        <v>9.9999999999999645E-2</v>
      </c>
      <c r="S1426" s="6">
        <f t="shared" si="118"/>
        <v>2.2727272727272645E-2</v>
      </c>
      <c r="T1426" s="6">
        <f t="shared" si="119"/>
        <v>4.6783625730993147E-3</v>
      </c>
    </row>
    <row r="1427" spans="1:20" hidden="1" x14ac:dyDescent="0.25">
      <c r="A1427" s="4" t="s">
        <v>1350</v>
      </c>
      <c r="B1427" s="5" t="s">
        <v>28</v>
      </c>
      <c r="C1427" s="5" t="s">
        <v>1823</v>
      </c>
      <c r="D1427" s="5">
        <v>14.5</v>
      </c>
      <c r="E1427" s="5">
        <v>14.9</v>
      </c>
      <c r="F1427" s="5">
        <v>14.9</v>
      </c>
      <c r="G1427" s="5">
        <v>14.9</v>
      </c>
      <c r="H1427" s="5">
        <v>14.9</v>
      </c>
      <c r="I1427" s="5">
        <v>14.9</v>
      </c>
      <c r="J1427" s="5">
        <v>14.9</v>
      </c>
      <c r="K1427" s="5">
        <v>6000</v>
      </c>
      <c r="L1427" s="5">
        <v>0.89</v>
      </c>
      <c r="M1427" s="5">
        <v>1</v>
      </c>
      <c r="N1427" s="5">
        <v>6000</v>
      </c>
      <c r="O1427" s="5">
        <v>100</v>
      </c>
      <c r="P1427" s="5">
        <f t="shared" si="115"/>
        <v>0.40000000000000036</v>
      </c>
      <c r="Q1427" s="6">
        <f t="shared" si="116"/>
        <v>2.7586206896551748E-2</v>
      </c>
      <c r="R1427" s="5">
        <f t="shared" si="117"/>
        <v>0</v>
      </c>
      <c r="S1427" s="6">
        <f t="shared" si="118"/>
        <v>0</v>
      </c>
      <c r="T1427" s="6">
        <f t="shared" si="119"/>
        <v>0</v>
      </c>
    </row>
    <row r="1428" spans="1:20" hidden="1" x14ac:dyDescent="0.25">
      <c r="A1428" s="4" t="s">
        <v>1351</v>
      </c>
      <c r="B1428" s="5" t="s">
        <v>16</v>
      </c>
      <c r="C1428" s="5" t="s">
        <v>1823</v>
      </c>
      <c r="D1428" s="5">
        <v>302.14999999999998</v>
      </c>
      <c r="E1428" s="5">
        <v>303.39999999999998</v>
      </c>
      <c r="F1428" s="5">
        <v>309</v>
      </c>
      <c r="G1428" s="5">
        <v>289.75</v>
      </c>
      <c r="H1428" s="5">
        <v>295.7</v>
      </c>
      <c r="I1428" s="5">
        <v>293.2</v>
      </c>
      <c r="J1428" s="5">
        <v>296.95</v>
      </c>
      <c r="K1428" s="5">
        <v>5703</v>
      </c>
      <c r="L1428" s="5">
        <v>16.93</v>
      </c>
      <c r="M1428" s="5">
        <v>529</v>
      </c>
      <c r="N1428" s="5">
        <v>2943</v>
      </c>
      <c r="O1428" s="5">
        <v>51.6</v>
      </c>
      <c r="P1428" s="5">
        <f t="shared" si="115"/>
        <v>-8.9499999999999886</v>
      </c>
      <c r="Q1428" s="6">
        <f t="shared" si="116"/>
        <v>-2.9621049147774248E-2</v>
      </c>
      <c r="R1428" s="5">
        <f t="shared" si="117"/>
        <v>19.25</v>
      </c>
      <c r="S1428" s="6">
        <f t="shared" si="118"/>
        <v>6.3710077775939108E-2</v>
      </c>
      <c r="T1428" s="6">
        <f t="shared" si="119"/>
        <v>-1.2548625925461163E-2</v>
      </c>
    </row>
    <row r="1429" spans="1:20" x14ac:dyDescent="0.25">
      <c r="A1429" s="4" t="s">
        <v>164</v>
      </c>
      <c r="B1429" s="5" t="s">
        <v>16</v>
      </c>
      <c r="C1429" s="5" t="s">
        <v>1823</v>
      </c>
      <c r="D1429" s="5">
        <v>669.95</v>
      </c>
      <c r="E1429" s="5">
        <v>669.95</v>
      </c>
      <c r="F1429" s="5">
        <v>669.95</v>
      </c>
      <c r="G1429" s="5">
        <v>614.1</v>
      </c>
      <c r="H1429" s="5">
        <v>643.95000000000005</v>
      </c>
      <c r="I1429" s="5">
        <v>644.04999999999995</v>
      </c>
      <c r="J1429" s="5">
        <v>652.84</v>
      </c>
      <c r="K1429" s="5">
        <v>5236125</v>
      </c>
      <c r="L1429" s="5">
        <v>34183.449999999997</v>
      </c>
      <c r="M1429" s="5">
        <v>55300</v>
      </c>
      <c r="N1429" s="5">
        <v>3424751</v>
      </c>
      <c r="O1429" s="5">
        <v>65.41</v>
      </c>
      <c r="P1429" s="5">
        <f t="shared" si="115"/>
        <v>-25.900000000000091</v>
      </c>
      <c r="Q1429" s="6">
        <f t="shared" si="116"/>
        <v>-3.8659601462795866E-2</v>
      </c>
      <c r="R1429" s="5">
        <f t="shared" si="117"/>
        <v>55.850000000000023</v>
      </c>
      <c r="S1429" s="6">
        <f t="shared" si="118"/>
        <v>8.3364430181356849E-2</v>
      </c>
      <c r="T1429" s="6">
        <f t="shared" si="119"/>
        <v>-1.3533226843209447E-2</v>
      </c>
    </row>
    <row r="1430" spans="1:20" hidden="1" x14ac:dyDescent="0.25">
      <c r="A1430" s="4" t="s">
        <v>1353</v>
      </c>
      <c r="B1430" s="5" t="s">
        <v>16</v>
      </c>
      <c r="C1430" s="5" t="s">
        <v>1823</v>
      </c>
      <c r="D1430" s="5">
        <v>1.45</v>
      </c>
      <c r="E1430" s="5">
        <v>1.5</v>
      </c>
      <c r="F1430" s="5">
        <v>1.5</v>
      </c>
      <c r="G1430" s="5">
        <v>1.5</v>
      </c>
      <c r="H1430" s="5">
        <v>1.5</v>
      </c>
      <c r="I1430" s="5">
        <v>1.5</v>
      </c>
      <c r="J1430" s="5">
        <v>1.5</v>
      </c>
      <c r="K1430" s="5">
        <v>189034</v>
      </c>
      <c r="L1430" s="5">
        <v>2.84</v>
      </c>
      <c r="M1430" s="5">
        <v>162</v>
      </c>
      <c r="N1430" s="5">
        <v>189034</v>
      </c>
      <c r="O1430" s="5">
        <v>100</v>
      </c>
      <c r="P1430" s="5">
        <f t="shared" si="115"/>
        <v>5.0000000000000044E-2</v>
      </c>
      <c r="Q1430" s="6">
        <f t="shared" si="116"/>
        <v>3.4482758620689689E-2</v>
      </c>
      <c r="R1430" s="5">
        <f t="shared" si="117"/>
        <v>0</v>
      </c>
      <c r="S1430" s="6">
        <f t="shared" si="118"/>
        <v>0</v>
      </c>
      <c r="T1430" s="6">
        <f t="shared" si="119"/>
        <v>0</v>
      </c>
    </row>
    <row r="1431" spans="1:20" hidden="1" x14ac:dyDescent="0.25">
      <c r="A1431" s="4" t="s">
        <v>1354</v>
      </c>
      <c r="B1431" s="5" t="s">
        <v>16</v>
      </c>
      <c r="C1431" s="5" t="s">
        <v>1823</v>
      </c>
      <c r="D1431" s="5">
        <v>92.5</v>
      </c>
      <c r="E1431" s="5">
        <v>93.9</v>
      </c>
      <c r="F1431" s="5">
        <v>93.95</v>
      </c>
      <c r="G1431" s="5">
        <v>87.2</v>
      </c>
      <c r="H1431" s="5">
        <v>87.2</v>
      </c>
      <c r="I1431" s="5">
        <v>88.5</v>
      </c>
      <c r="J1431" s="5">
        <v>89.27</v>
      </c>
      <c r="K1431" s="5">
        <v>34041</v>
      </c>
      <c r="L1431" s="5">
        <v>30.39</v>
      </c>
      <c r="M1431" s="5">
        <v>929</v>
      </c>
      <c r="N1431" s="5">
        <v>20051</v>
      </c>
      <c r="O1431" s="5">
        <v>58.9</v>
      </c>
      <c r="P1431" s="5">
        <f t="shared" si="115"/>
        <v>-4</v>
      </c>
      <c r="Q1431" s="6">
        <f t="shared" si="116"/>
        <v>-4.3243243243243246E-2</v>
      </c>
      <c r="R1431" s="5">
        <f t="shared" si="117"/>
        <v>6.75</v>
      </c>
      <c r="S1431" s="6">
        <f t="shared" si="118"/>
        <v>7.2972972972972977E-2</v>
      </c>
      <c r="T1431" s="6">
        <f t="shared" si="119"/>
        <v>-8.4720121028743888E-3</v>
      </c>
    </row>
    <row r="1432" spans="1:20" hidden="1" x14ac:dyDescent="0.25">
      <c r="A1432" s="4" t="s">
        <v>1355</v>
      </c>
      <c r="B1432" s="5" t="s">
        <v>39</v>
      </c>
      <c r="C1432" s="5" t="s">
        <v>1823</v>
      </c>
      <c r="D1432" s="5">
        <v>5.7</v>
      </c>
      <c r="E1432" s="5">
        <v>5.65</v>
      </c>
      <c r="F1432" s="5">
        <v>5.85</v>
      </c>
      <c r="G1432" s="5">
        <v>5.5</v>
      </c>
      <c r="H1432" s="5">
        <v>5.5</v>
      </c>
      <c r="I1432" s="5">
        <v>5.55</v>
      </c>
      <c r="J1432" s="5">
        <v>5.56</v>
      </c>
      <c r="K1432" s="5">
        <v>62507</v>
      </c>
      <c r="L1432" s="5">
        <v>3.47</v>
      </c>
      <c r="M1432" s="5">
        <v>188</v>
      </c>
      <c r="N1432" s="5" t="s">
        <v>25</v>
      </c>
      <c r="O1432" s="5" t="s">
        <v>25</v>
      </c>
      <c r="P1432" s="5">
        <f t="shared" si="115"/>
        <v>-0.15000000000000036</v>
      </c>
      <c r="Q1432" s="6">
        <f t="shared" si="116"/>
        <v>-2.6315789473684272E-2</v>
      </c>
      <c r="R1432" s="5">
        <f t="shared" si="117"/>
        <v>0.34999999999999964</v>
      </c>
      <c r="S1432" s="6">
        <f t="shared" si="118"/>
        <v>6.1403508771929759E-2</v>
      </c>
      <c r="T1432" s="6">
        <f t="shared" si="119"/>
        <v>-1.7738359201773456E-3</v>
      </c>
    </row>
    <row r="1433" spans="1:20" hidden="1" x14ac:dyDescent="0.25">
      <c r="A1433" s="4" t="s">
        <v>1356</v>
      </c>
      <c r="B1433" s="5" t="s">
        <v>16</v>
      </c>
      <c r="C1433" s="5" t="s">
        <v>1823</v>
      </c>
      <c r="D1433" s="5">
        <v>58.6</v>
      </c>
      <c r="E1433" s="5">
        <v>58.6</v>
      </c>
      <c r="F1433" s="5">
        <v>58.65</v>
      </c>
      <c r="G1433" s="5">
        <v>57.35</v>
      </c>
      <c r="H1433" s="5">
        <v>58.55</v>
      </c>
      <c r="I1433" s="5">
        <v>57.4</v>
      </c>
      <c r="J1433" s="5">
        <v>57.59</v>
      </c>
      <c r="K1433" s="5">
        <v>603</v>
      </c>
      <c r="L1433" s="5">
        <v>0.35</v>
      </c>
      <c r="M1433" s="5">
        <v>17</v>
      </c>
      <c r="N1433" s="5">
        <v>534</v>
      </c>
      <c r="O1433" s="5">
        <v>88.56</v>
      </c>
      <c r="P1433" s="5">
        <f t="shared" si="115"/>
        <v>-1.2000000000000028</v>
      </c>
      <c r="Q1433" s="6">
        <f t="shared" si="116"/>
        <v>-2.0477815699658751E-2</v>
      </c>
      <c r="R1433" s="5">
        <f t="shared" si="117"/>
        <v>1.2999999999999972</v>
      </c>
      <c r="S1433" s="6">
        <f t="shared" si="118"/>
        <v>2.218430034129688E-2</v>
      </c>
      <c r="T1433" s="6">
        <f t="shared" si="119"/>
        <v>-3.2758620689656006E-3</v>
      </c>
    </row>
    <row r="1434" spans="1:20" hidden="1" x14ac:dyDescent="0.25">
      <c r="A1434" s="4" t="s">
        <v>1357</v>
      </c>
      <c r="B1434" s="5" t="s">
        <v>16</v>
      </c>
      <c r="C1434" s="5" t="s">
        <v>1823</v>
      </c>
      <c r="D1434" s="5">
        <v>214.5</v>
      </c>
      <c r="E1434" s="5">
        <v>218.5</v>
      </c>
      <c r="F1434" s="5">
        <v>218.5</v>
      </c>
      <c r="G1434" s="5">
        <v>209</v>
      </c>
      <c r="H1434" s="5">
        <v>209</v>
      </c>
      <c r="I1434" s="5">
        <v>211</v>
      </c>
      <c r="J1434" s="5">
        <v>214.01</v>
      </c>
      <c r="K1434" s="5">
        <v>23144</v>
      </c>
      <c r="L1434" s="5">
        <v>49.53</v>
      </c>
      <c r="M1434" s="5">
        <v>768</v>
      </c>
      <c r="N1434" s="5">
        <v>11495</v>
      </c>
      <c r="O1434" s="5">
        <v>49.67</v>
      </c>
      <c r="P1434" s="5">
        <f t="shared" si="115"/>
        <v>-3.5</v>
      </c>
      <c r="Q1434" s="6">
        <f t="shared" si="116"/>
        <v>-1.6317016317016316E-2</v>
      </c>
      <c r="R1434" s="5">
        <f t="shared" si="117"/>
        <v>9.5</v>
      </c>
      <c r="S1434" s="6">
        <f t="shared" si="118"/>
        <v>4.4289044289044288E-2</v>
      </c>
      <c r="T1434" s="6">
        <f t="shared" si="119"/>
        <v>-1.4049008168027963E-2</v>
      </c>
    </row>
    <row r="1435" spans="1:20" hidden="1" x14ac:dyDescent="0.25">
      <c r="A1435" s="4" t="s">
        <v>1358</v>
      </c>
      <c r="B1435" s="5" t="s">
        <v>16</v>
      </c>
      <c r="C1435" s="5" t="s">
        <v>1823</v>
      </c>
      <c r="D1435" s="5">
        <v>2.75</v>
      </c>
      <c r="E1435" s="5">
        <v>2.75</v>
      </c>
      <c r="F1435" s="5">
        <v>2.8</v>
      </c>
      <c r="G1435" s="5">
        <v>2.7</v>
      </c>
      <c r="H1435" s="5">
        <v>2.7</v>
      </c>
      <c r="I1435" s="5">
        <v>2.75</v>
      </c>
      <c r="J1435" s="5">
        <v>2.74</v>
      </c>
      <c r="K1435" s="5">
        <v>17670679</v>
      </c>
      <c r="L1435" s="5">
        <v>483.76</v>
      </c>
      <c r="M1435" s="5">
        <v>19486</v>
      </c>
      <c r="N1435" s="5">
        <v>8517315</v>
      </c>
      <c r="O1435" s="5">
        <v>48.2</v>
      </c>
      <c r="P1435" s="5">
        <f t="shared" si="115"/>
        <v>0</v>
      </c>
      <c r="Q1435" s="6">
        <f t="shared" si="116"/>
        <v>0</v>
      </c>
      <c r="R1435" s="5">
        <f t="shared" si="117"/>
        <v>9.9999999999999645E-2</v>
      </c>
      <c r="S1435" s="6">
        <f t="shared" si="118"/>
        <v>3.6363636363636237E-2</v>
      </c>
      <c r="T1435" s="6">
        <f t="shared" si="119"/>
        <v>3.6363636363635587E-3</v>
      </c>
    </row>
    <row r="1436" spans="1:20" hidden="1" x14ac:dyDescent="0.25">
      <c r="A1436" s="4" t="s">
        <v>1359</v>
      </c>
      <c r="B1436" s="5" t="s">
        <v>16</v>
      </c>
      <c r="C1436" s="5" t="s">
        <v>1823</v>
      </c>
      <c r="D1436" s="5">
        <v>104.2</v>
      </c>
      <c r="E1436" s="5">
        <v>109.4</v>
      </c>
      <c r="F1436" s="5">
        <v>109.4</v>
      </c>
      <c r="G1436" s="5">
        <v>103.8</v>
      </c>
      <c r="H1436" s="5">
        <v>106</v>
      </c>
      <c r="I1436" s="5">
        <v>105.45</v>
      </c>
      <c r="J1436" s="5">
        <v>107.35</v>
      </c>
      <c r="K1436" s="5">
        <v>91098</v>
      </c>
      <c r="L1436" s="5">
        <v>97.79</v>
      </c>
      <c r="M1436" s="5">
        <v>959</v>
      </c>
      <c r="N1436" s="5">
        <v>53340</v>
      </c>
      <c r="O1436" s="5">
        <v>58.55</v>
      </c>
      <c r="P1436" s="5">
        <f t="shared" si="115"/>
        <v>1.25</v>
      </c>
      <c r="Q1436" s="6">
        <f t="shared" si="116"/>
        <v>1.199616122840691E-2</v>
      </c>
      <c r="R1436" s="5">
        <f t="shared" si="117"/>
        <v>5.6000000000000085</v>
      </c>
      <c r="S1436" s="6">
        <f t="shared" si="118"/>
        <v>5.3742802303263039E-2</v>
      </c>
      <c r="T1436" s="6">
        <f t="shared" si="119"/>
        <v>-1.7754935171124787E-2</v>
      </c>
    </row>
    <row r="1437" spans="1:20" hidden="1" x14ac:dyDescent="0.25">
      <c r="A1437" s="4" t="s">
        <v>1360</v>
      </c>
      <c r="B1437" s="5" t="s">
        <v>16</v>
      </c>
      <c r="C1437" s="5" t="s">
        <v>1823</v>
      </c>
      <c r="D1437" s="5">
        <v>19.84</v>
      </c>
      <c r="E1437" s="5">
        <v>19.850000000000001</v>
      </c>
      <c r="F1437" s="5">
        <v>19.88</v>
      </c>
      <c r="G1437" s="5">
        <v>19.84</v>
      </c>
      <c r="H1437" s="5">
        <v>19.87</v>
      </c>
      <c r="I1437" s="5">
        <v>19.87</v>
      </c>
      <c r="J1437" s="5">
        <v>19.86</v>
      </c>
      <c r="K1437" s="5">
        <v>705</v>
      </c>
      <c r="L1437" s="5">
        <v>0.14000000000000001</v>
      </c>
      <c r="M1437" s="5">
        <v>13</v>
      </c>
      <c r="N1437" s="5">
        <v>704</v>
      </c>
      <c r="O1437" s="5">
        <v>99.86</v>
      </c>
      <c r="P1437" s="5">
        <f t="shared" si="115"/>
        <v>3.0000000000001137E-2</v>
      </c>
      <c r="Q1437" s="6">
        <f t="shared" si="116"/>
        <v>1.5120967741936058E-3</v>
      </c>
      <c r="R1437" s="5">
        <f t="shared" si="117"/>
        <v>3.9999999999999147E-2</v>
      </c>
      <c r="S1437" s="6">
        <f t="shared" si="118"/>
        <v>2.0161290322580215E-3</v>
      </c>
      <c r="T1437" s="6">
        <f t="shared" si="119"/>
        <v>5.0352467270904134E-4</v>
      </c>
    </row>
    <row r="1438" spans="1:20" hidden="1" x14ac:dyDescent="0.25">
      <c r="A1438" s="4" t="s">
        <v>1361</v>
      </c>
      <c r="B1438" s="5" t="s">
        <v>16</v>
      </c>
      <c r="C1438" s="5" t="s">
        <v>1823</v>
      </c>
      <c r="D1438" s="5">
        <v>19.75</v>
      </c>
      <c r="E1438" s="5">
        <v>19.350000000000001</v>
      </c>
      <c r="F1438" s="5">
        <v>19.8</v>
      </c>
      <c r="G1438" s="5">
        <v>19.2</v>
      </c>
      <c r="H1438" s="5">
        <v>19.399999999999999</v>
      </c>
      <c r="I1438" s="5">
        <v>19.600000000000001</v>
      </c>
      <c r="J1438" s="5">
        <v>19.48</v>
      </c>
      <c r="K1438" s="5">
        <v>10274</v>
      </c>
      <c r="L1438" s="5">
        <v>2</v>
      </c>
      <c r="M1438" s="5">
        <v>111</v>
      </c>
      <c r="N1438" s="5">
        <v>4439</v>
      </c>
      <c r="O1438" s="5">
        <v>43.21</v>
      </c>
      <c r="P1438" s="5">
        <f t="shared" si="115"/>
        <v>-0.14999999999999858</v>
      </c>
      <c r="Q1438" s="6">
        <f t="shared" si="116"/>
        <v>-7.5949367088606872E-3</v>
      </c>
      <c r="R1438" s="5">
        <f t="shared" si="117"/>
        <v>0.60000000000000142</v>
      </c>
      <c r="S1438" s="6">
        <f t="shared" si="118"/>
        <v>3.037974683544311E-2</v>
      </c>
      <c r="T1438" s="6">
        <f t="shared" si="119"/>
        <v>6.1577934573445016E-3</v>
      </c>
    </row>
    <row r="1439" spans="1:20" hidden="1" x14ac:dyDescent="0.25">
      <c r="A1439" s="4" t="s">
        <v>1362</v>
      </c>
      <c r="B1439" s="5" t="s">
        <v>16</v>
      </c>
      <c r="C1439" s="5" t="s">
        <v>1823</v>
      </c>
      <c r="D1439" s="5">
        <v>116.55</v>
      </c>
      <c r="E1439" s="5">
        <v>116.25</v>
      </c>
      <c r="F1439" s="5">
        <v>123.15</v>
      </c>
      <c r="G1439" s="5">
        <v>116.25</v>
      </c>
      <c r="H1439" s="5">
        <v>118.05</v>
      </c>
      <c r="I1439" s="5">
        <v>118.7</v>
      </c>
      <c r="J1439" s="5">
        <v>120.17</v>
      </c>
      <c r="K1439" s="5">
        <v>36204</v>
      </c>
      <c r="L1439" s="5">
        <v>43.51</v>
      </c>
      <c r="M1439" s="5">
        <v>1808</v>
      </c>
      <c r="N1439" s="5">
        <v>21431</v>
      </c>
      <c r="O1439" s="5">
        <v>59.2</v>
      </c>
      <c r="P1439" s="5">
        <f t="shared" si="115"/>
        <v>2.1500000000000057</v>
      </c>
      <c r="Q1439" s="6">
        <f t="shared" si="116"/>
        <v>1.8447018447018498E-2</v>
      </c>
      <c r="R1439" s="5">
        <f t="shared" si="117"/>
        <v>6.9000000000000057</v>
      </c>
      <c r="S1439" s="6">
        <f t="shared" si="118"/>
        <v>5.9202059202059253E-2</v>
      </c>
      <c r="T1439" s="6">
        <f t="shared" si="119"/>
        <v>-1.2395910192895532E-2</v>
      </c>
    </row>
    <row r="1440" spans="1:20" hidden="1" x14ac:dyDescent="0.25">
      <c r="A1440" s="4" t="s">
        <v>1363</v>
      </c>
      <c r="B1440" s="5" t="s">
        <v>16</v>
      </c>
      <c r="C1440" s="5" t="s">
        <v>1823</v>
      </c>
      <c r="D1440" s="5">
        <v>40.9</v>
      </c>
      <c r="E1440" s="5">
        <v>41.2</v>
      </c>
      <c r="F1440" s="5">
        <v>41.25</v>
      </c>
      <c r="G1440" s="5">
        <v>40.6</v>
      </c>
      <c r="H1440" s="5">
        <v>40.6</v>
      </c>
      <c r="I1440" s="5">
        <v>40.700000000000003</v>
      </c>
      <c r="J1440" s="5">
        <v>40.72</v>
      </c>
      <c r="K1440" s="5">
        <v>1716</v>
      </c>
      <c r="L1440" s="5">
        <v>0.7</v>
      </c>
      <c r="M1440" s="5">
        <v>25</v>
      </c>
      <c r="N1440" s="5">
        <v>1598</v>
      </c>
      <c r="O1440" s="5">
        <v>93.12</v>
      </c>
      <c r="P1440" s="5">
        <f t="shared" si="115"/>
        <v>-0.19999999999999574</v>
      </c>
      <c r="Q1440" s="6">
        <f t="shared" si="116"/>
        <v>-4.8899755501221453E-3</v>
      </c>
      <c r="R1440" s="5">
        <f t="shared" si="117"/>
        <v>0.64999999999999858</v>
      </c>
      <c r="S1440" s="6">
        <f t="shared" si="118"/>
        <v>1.5892420537897276E-2</v>
      </c>
      <c r="T1440" s="6">
        <f t="shared" si="119"/>
        <v>-4.8854961832051351E-4</v>
      </c>
    </row>
    <row r="1441" spans="1:20" hidden="1" x14ac:dyDescent="0.25">
      <c r="A1441" s="4" t="s">
        <v>1364</v>
      </c>
      <c r="B1441" s="5" t="s">
        <v>16</v>
      </c>
      <c r="C1441" s="5" t="s">
        <v>1823</v>
      </c>
      <c r="D1441" s="5">
        <v>2.0499999999999998</v>
      </c>
      <c r="E1441" s="5">
        <v>2.0499999999999998</v>
      </c>
      <c r="F1441" s="5">
        <v>2.1</v>
      </c>
      <c r="G1441" s="5">
        <v>2</v>
      </c>
      <c r="H1441" s="5">
        <v>2.1</v>
      </c>
      <c r="I1441" s="5">
        <v>2.0499999999999998</v>
      </c>
      <c r="J1441" s="5">
        <v>2.0299999999999998</v>
      </c>
      <c r="K1441" s="5">
        <v>282236</v>
      </c>
      <c r="L1441" s="5">
        <v>5.74</v>
      </c>
      <c r="M1441" s="5">
        <v>123</v>
      </c>
      <c r="N1441" s="5">
        <v>219858</v>
      </c>
      <c r="O1441" s="5">
        <v>77.900000000000006</v>
      </c>
      <c r="P1441" s="5">
        <f t="shared" si="115"/>
        <v>0</v>
      </c>
      <c r="Q1441" s="6">
        <f t="shared" si="116"/>
        <v>0</v>
      </c>
      <c r="R1441" s="5">
        <f t="shared" si="117"/>
        <v>0.10000000000000009</v>
      </c>
      <c r="S1441" s="6">
        <f t="shared" si="118"/>
        <v>4.8780487804878099E-2</v>
      </c>
      <c r="T1441" s="6">
        <f t="shared" si="119"/>
        <v>9.7560975609756184E-3</v>
      </c>
    </row>
    <row r="1442" spans="1:20" hidden="1" x14ac:dyDescent="0.25">
      <c r="A1442" s="4" t="s">
        <v>1365</v>
      </c>
      <c r="B1442" s="5" t="s">
        <v>16</v>
      </c>
      <c r="C1442" s="5" t="s">
        <v>1823</v>
      </c>
      <c r="D1442" s="5">
        <v>1.55</v>
      </c>
      <c r="E1442" s="5">
        <v>1.5</v>
      </c>
      <c r="F1442" s="5">
        <v>1.6</v>
      </c>
      <c r="G1442" s="5">
        <v>1.45</v>
      </c>
      <c r="H1442" s="5">
        <v>1.55</v>
      </c>
      <c r="I1442" s="5">
        <v>1.55</v>
      </c>
      <c r="J1442" s="5">
        <v>1.52</v>
      </c>
      <c r="K1442" s="5">
        <v>657568</v>
      </c>
      <c r="L1442" s="5">
        <v>10.02</v>
      </c>
      <c r="M1442" s="5">
        <v>294</v>
      </c>
      <c r="N1442" s="5">
        <v>536688</v>
      </c>
      <c r="O1442" s="5">
        <v>81.62</v>
      </c>
      <c r="P1442" s="5">
        <f t="shared" si="115"/>
        <v>0</v>
      </c>
      <c r="Q1442" s="6">
        <f t="shared" si="116"/>
        <v>0</v>
      </c>
      <c r="R1442" s="5">
        <f t="shared" si="117"/>
        <v>0.15000000000000013</v>
      </c>
      <c r="S1442" s="6">
        <f t="shared" si="118"/>
        <v>9.6774193548387177E-2</v>
      </c>
      <c r="T1442" s="6">
        <f t="shared" si="119"/>
        <v>1.9672131147541003E-2</v>
      </c>
    </row>
    <row r="1443" spans="1:20" hidden="1" x14ac:dyDescent="0.25">
      <c r="A1443" s="4" t="s">
        <v>1366</v>
      </c>
      <c r="B1443" s="5" t="s">
        <v>39</v>
      </c>
      <c r="C1443" s="5" t="s">
        <v>1823</v>
      </c>
      <c r="D1443" s="5">
        <v>220.9</v>
      </c>
      <c r="E1443" s="5">
        <v>220.9</v>
      </c>
      <c r="F1443" s="5">
        <v>223.15</v>
      </c>
      <c r="G1443" s="5">
        <v>215</v>
      </c>
      <c r="H1443" s="5">
        <v>218.3</v>
      </c>
      <c r="I1443" s="5">
        <v>218.35</v>
      </c>
      <c r="J1443" s="5">
        <v>219.46</v>
      </c>
      <c r="K1443" s="5">
        <v>665</v>
      </c>
      <c r="L1443" s="5">
        <v>1.46</v>
      </c>
      <c r="M1443" s="5">
        <v>24</v>
      </c>
      <c r="N1443" s="5" t="s">
        <v>25</v>
      </c>
      <c r="O1443" s="5" t="s">
        <v>25</v>
      </c>
      <c r="P1443" s="5">
        <f t="shared" si="115"/>
        <v>-2.5500000000000114</v>
      </c>
      <c r="Q1443" s="6">
        <f t="shared" si="116"/>
        <v>-1.1543684925305619E-2</v>
      </c>
      <c r="R1443" s="5">
        <f t="shared" si="117"/>
        <v>8.1500000000000057</v>
      </c>
      <c r="S1443" s="6">
        <f t="shared" si="118"/>
        <v>3.6894522408329584E-2</v>
      </c>
      <c r="T1443" s="6">
        <f t="shared" si="119"/>
        <v>-5.0604057442444209E-3</v>
      </c>
    </row>
    <row r="1444" spans="1:20" hidden="1" x14ac:dyDescent="0.25">
      <c r="A1444" s="4" t="s">
        <v>1367</v>
      </c>
      <c r="B1444" s="5" t="s">
        <v>39</v>
      </c>
      <c r="C1444" s="5" t="s">
        <v>1823</v>
      </c>
      <c r="D1444" s="5">
        <v>2.2999999999999998</v>
      </c>
      <c r="E1444" s="5">
        <v>2.2000000000000002</v>
      </c>
      <c r="F1444" s="5">
        <v>2.2000000000000002</v>
      </c>
      <c r="G1444" s="5">
        <v>2.2000000000000002</v>
      </c>
      <c r="H1444" s="5">
        <v>2.2000000000000002</v>
      </c>
      <c r="I1444" s="5">
        <v>2.2000000000000002</v>
      </c>
      <c r="J1444" s="5">
        <v>2.2000000000000002</v>
      </c>
      <c r="K1444" s="5">
        <v>20</v>
      </c>
      <c r="L1444" s="5">
        <v>0</v>
      </c>
      <c r="M1444" s="5">
        <v>2</v>
      </c>
      <c r="N1444" s="5" t="s">
        <v>25</v>
      </c>
      <c r="O1444" s="5" t="s">
        <v>25</v>
      </c>
      <c r="P1444" s="5">
        <f t="shared" si="115"/>
        <v>-9.9999999999999645E-2</v>
      </c>
      <c r="Q1444" s="6">
        <f t="shared" si="116"/>
        <v>-4.3478260869565064E-2</v>
      </c>
      <c r="R1444" s="5">
        <f t="shared" si="117"/>
        <v>0</v>
      </c>
      <c r="S1444" s="6">
        <f t="shared" si="118"/>
        <v>0</v>
      </c>
      <c r="T1444" s="6">
        <f t="shared" si="119"/>
        <v>0</v>
      </c>
    </row>
    <row r="1445" spans="1:20" x14ac:dyDescent="0.25">
      <c r="A1445" s="4" t="s">
        <v>549</v>
      </c>
      <c r="B1445" s="5" t="s">
        <v>16</v>
      </c>
      <c r="C1445" s="5" t="s">
        <v>1823</v>
      </c>
      <c r="D1445" s="5">
        <v>162.6</v>
      </c>
      <c r="E1445" s="5">
        <v>162.80000000000001</v>
      </c>
      <c r="F1445" s="5">
        <v>162.80000000000001</v>
      </c>
      <c r="G1445" s="5">
        <v>152</v>
      </c>
      <c r="H1445" s="5">
        <v>153.19999999999999</v>
      </c>
      <c r="I1445" s="5">
        <v>152.9</v>
      </c>
      <c r="J1445" s="5">
        <v>156.94</v>
      </c>
      <c r="K1445" s="5">
        <v>142118</v>
      </c>
      <c r="L1445" s="5">
        <v>223.04</v>
      </c>
      <c r="M1445" s="5">
        <v>3692</v>
      </c>
      <c r="N1445" s="5">
        <v>92996</v>
      </c>
      <c r="O1445" s="5">
        <v>65.44</v>
      </c>
      <c r="P1445" s="5">
        <f t="shared" si="115"/>
        <v>-9.6999999999999886</v>
      </c>
      <c r="Q1445" s="6">
        <f t="shared" si="116"/>
        <v>-5.9655596555965494E-2</v>
      </c>
      <c r="R1445" s="5">
        <f t="shared" si="117"/>
        <v>10.800000000000011</v>
      </c>
      <c r="S1445" s="6">
        <f t="shared" si="118"/>
        <v>6.6420664206642138E-2</v>
      </c>
      <c r="T1445" s="6">
        <f t="shared" si="119"/>
        <v>-2.5630452022204549E-2</v>
      </c>
    </row>
    <row r="1446" spans="1:20" hidden="1" x14ac:dyDescent="0.25">
      <c r="A1446" s="4" t="s">
        <v>1369</v>
      </c>
      <c r="B1446" s="5" t="s">
        <v>16</v>
      </c>
      <c r="C1446" s="5" t="s">
        <v>1823</v>
      </c>
      <c r="D1446" s="5">
        <v>4.2</v>
      </c>
      <c r="E1446" s="5">
        <v>4.1500000000000004</v>
      </c>
      <c r="F1446" s="5">
        <v>4.1500000000000004</v>
      </c>
      <c r="G1446" s="5">
        <v>4</v>
      </c>
      <c r="H1446" s="5">
        <v>4</v>
      </c>
      <c r="I1446" s="5">
        <v>4</v>
      </c>
      <c r="J1446" s="5">
        <v>4.03</v>
      </c>
      <c r="K1446" s="5">
        <v>4438548</v>
      </c>
      <c r="L1446" s="5">
        <v>178.79</v>
      </c>
      <c r="M1446" s="5">
        <v>2522</v>
      </c>
      <c r="N1446" s="5">
        <v>2203598</v>
      </c>
      <c r="O1446" s="5">
        <v>49.65</v>
      </c>
      <c r="P1446" s="5">
        <f t="shared" si="115"/>
        <v>-0.20000000000000018</v>
      </c>
      <c r="Q1446" s="6">
        <f t="shared" si="116"/>
        <v>-4.7619047619047658E-2</v>
      </c>
      <c r="R1446" s="5">
        <f t="shared" si="117"/>
        <v>0.15000000000000036</v>
      </c>
      <c r="S1446" s="6">
        <f t="shared" si="118"/>
        <v>3.5714285714285796E-2</v>
      </c>
      <c r="T1446" s="6">
        <f t="shared" si="119"/>
        <v>-7.3619631901841098E-3</v>
      </c>
    </row>
    <row r="1447" spans="1:20" hidden="1" x14ac:dyDescent="0.25">
      <c r="A1447" s="4" t="s">
        <v>1370</v>
      </c>
      <c r="B1447" s="5" t="s">
        <v>16</v>
      </c>
      <c r="C1447" s="5" t="s">
        <v>1823</v>
      </c>
      <c r="D1447" s="5">
        <v>192.05</v>
      </c>
      <c r="E1447" s="5">
        <v>191.9</v>
      </c>
      <c r="F1447" s="5">
        <v>197.8</v>
      </c>
      <c r="G1447" s="5">
        <v>186.3</v>
      </c>
      <c r="H1447" s="5">
        <v>189</v>
      </c>
      <c r="I1447" s="5">
        <v>190.1</v>
      </c>
      <c r="J1447" s="5">
        <v>191.86</v>
      </c>
      <c r="K1447" s="5">
        <v>40786</v>
      </c>
      <c r="L1447" s="5">
        <v>78.25</v>
      </c>
      <c r="M1447" s="5">
        <v>1082</v>
      </c>
      <c r="N1447" s="5">
        <v>20244</v>
      </c>
      <c r="O1447" s="5">
        <v>49.63</v>
      </c>
      <c r="P1447" s="5">
        <f t="shared" si="115"/>
        <v>-1.9500000000000171</v>
      </c>
      <c r="Q1447" s="6">
        <f t="shared" si="116"/>
        <v>-1.0153605831814719E-2</v>
      </c>
      <c r="R1447" s="5">
        <f t="shared" si="117"/>
        <v>11.5</v>
      </c>
      <c r="S1447" s="6">
        <f t="shared" si="118"/>
        <v>5.9880239520958077E-2</v>
      </c>
      <c r="T1447" s="6">
        <f t="shared" si="119"/>
        <v>-9.1894008615064308E-3</v>
      </c>
    </row>
    <row r="1448" spans="1:20" hidden="1" x14ac:dyDescent="0.25">
      <c r="A1448" s="4" t="s">
        <v>1371</v>
      </c>
      <c r="B1448" s="5" t="s">
        <v>16</v>
      </c>
      <c r="C1448" s="5" t="s">
        <v>1823</v>
      </c>
      <c r="D1448" s="5">
        <v>153.55000000000001</v>
      </c>
      <c r="E1448" s="5">
        <v>154.94999999999999</v>
      </c>
      <c r="F1448" s="5">
        <v>156</v>
      </c>
      <c r="G1448" s="5">
        <v>150.5</v>
      </c>
      <c r="H1448" s="5">
        <v>153.9</v>
      </c>
      <c r="I1448" s="5">
        <v>151.65</v>
      </c>
      <c r="J1448" s="5">
        <v>152.15</v>
      </c>
      <c r="K1448" s="5">
        <v>45831</v>
      </c>
      <c r="L1448" s="5">
        <v>69.73</v>
      </c>
      <c r="M1448" s="5">
        <v>256</v>
      </c>
      <c r="N1448" s="5">
        <v>37850</v>
      </c>
      <c r="O1448" s="5">
        <v>82.59</v>
      </c>
      <c r="P1448" s="5">
        <f t="shared" si="115"/>
        <v>-1.9000000000000057</v>
      </c>
      <c r="Q1448" s="6">
        <f t="shared" si="116"/>
        <v>-1.2373819602735302E-2</v>
      </c>
      <c r="R1448" s="5">
        <f t="shared" si="117"/>
        <v>5.5</v>
      </c>
      <c r="S1448" s="6">
        <f t="shared" si="118"/>
        <v>3.5818951481602079E-2</v>
      </c>
      <c r="T1448" s="6">
        <f t="shared" si="119"/>
        <v>-3.2621105855488498E-3</v>
      </c>
    </row>
    <row r="1449" spans="1:20" x14ac:dyDescent="0.25">
      <c r="A1449" s="4" t="s">
        <v>1021</v>
      </c>
      <c r="B1449" s="5" t="s">
        <v>16</v>
      </c>
      <c r="C1449" s="5" t="s">
        <v>1823</v>
      </c>
      <c r="D1449" s="5">
        <v>14.75</v>
      </c>
      <c r="E1449" s="5">
        <v>14.75</v>
      </c>
      <c r="F1449" s="5">
        <v>14.75</v>
      </c>
      <c r="G1449" s="5">
        <v>14</v>
      </c>
      <c r="H1449" s="5">
        <v>14.15</v>
      </c>
      <c r="I1449" s="5">
        <v>14.1</v>
      </c>
      <c r="J1449" s="5">
        <v>14.24</v>
      </c>
      <c r="K1449" s="5">
        <v>549843</v>
      </c>
      <c r="L1449" s="5">
        <v>78.290000000000006</v>
      </c>
      <c r="M1449" s="5">
        <v>1381</v>
      </c>
      <c r="N1449" s="5">
        <v>363723</v>
      </c>
      <c r="O1449" s="5">
        <v>66.150000000000006</v>
      </c>
      <c r="P1449" s="5">
        <f t="shared" si="115"/>
        <v>-0.65000000000000036</v>
      </c>
      <c r="Q1449" s="6">
        <f t="shared" si="116"/>
        <v>-4.4067796610169518E-2</v>
      </c>
      <c r="R1449" s="5">
        <f t="shared" si="117"/>
        <v>0.75</v>
      </c>
      <c r="S1449" s="6">
        <f t="shared" si="118"/>
        <v>5.0847457627118647E-2</v>
      </c>
      <c r="T1449" s="6">
        <f t="shared" si="119"/>
        <v>-9.7222222222222623E-3</v>
      </c>
    </row>
    <row r="1450" spans="1:20" hidden="1" x14ac:dyDescent="0.25">
      <c r="A1450" s="4" t="s">
        <v>1373</v>
      </c>
      <c r="B1450" s="5" t="s">
        <v>16</v>
      </c>
      <c r="C1450" s="5" t="s">
        <v>1823</v>
      </c>
      <c r="D1450" s="5">
        <v>2.2999999999999998</v>
      </c>
      <c r="E1450" s="5">
        <v>2.4</v>
      </c>
      <c r="F1450" s="5">
        <v>2.4</v>
      </c>
      <c r="G1450" s="5">
        <v>2.4</v>
      </c>
      <c r="H1450" s="5">
        <v>2.4</v>
      </c>
      <c r="I1450" s="5">
        <v>2.4</v>
      </c>
      <c r="J1450" s="5">
        <v>2.4</v>
      </c>
      <c r="K1450" s="5">
        <v>6605</v>
      </c>
      <c r="L1450" s="5">
        <v>0.16</v>
      </c>
      <c r="M1450" s="5">
        <v>31</v>
      </c>
      <c r="N1450" s="5">
        <v>6470</v>
      </c>
      <c r="O1450" s="5">
        <v>97.96</v>
      </c>
      <c r="P1450" s="5">
        <f t="shared" si="115"/>
        <v>0.10000000000000009</v>
      </c>
      <c r="Q1450" s="6">
        <f t="shared" si="116"/>
        <v>4.3478260869565258E-2</v>
      </c>
      <c r="R1450" s="5">
        <f t="shared" si="117"/>
        <v>0</v>
      </c>
      <c r="S1450" s="6">
        <f t="shared" si="118"/>
        <v>0</v>
      </c>
      <c r="T1450" s="6">
        <f t="shared" si="119"/>
        <v>0</v>
      </c>
    </row>
    <row r="1451" spans="1:20" hidden="1" x14ac:dyDescent="0.25">
      <c r="A1451" s="4" t="s">
        <v>1374</v>
      </c>
      <c r="B1451" s="5" t="s">
        <v>16</v>
      </c>
      <c r="C1451" s="5" t="s">
        <v>1823</v>
      </c>
      <c r="D1451" s="5">
        <v>138.6</v>
      </c>
      <c r="E1451" s="5">
        <v>137.55000000000001</v>
      </c>
      <c r="F1451" s="5">
        <v>139.30000000000001</v>
      </c>
      <c r="G1451" s="5">
        <v>135.65</v>
      </c>
      <c r="H1451" s="5">
        <v>138</v>
      </c>
      <c r="I1451" s="5">
        <v>138.1</v>
      </c>
      <c r="J1451" s="5">
        <v>136.94999999999999</v>
      </c>
      <c r="K1451" s="5">
        <v>287186</v>
      </c>
      <c r="L1451" s="5">
        <v>393.3</v>
      </c>
      <c r="M1451" s="5">
        <v>700</v>
      </c>
      <c r="N1451" s="5">
        <v>271314</v>
      </c>
      <c r="O1451" s="5">
        <v>94.47</v>
      </c>
      <c r="P1451" s="5">
        <f t="shared" si="115"/>
        <v>-0.5</v>
      </c>
      <c r="Q1451" s="6">
        <f t="shared" si="116"/>
        <v>-3.6075036075036075E-3</v>
      </c>
      <c r="R1451" s="5">
        <f t="shared" si="117"/>
        <v>3.6500000000000057</v>
      </c>
      <c r="S1451" s="6">
        <f t="shared" si="118"/>
        <v>2.6334776334776377E-2</v>
      </c>
      <c r="T1451" s="6">
        <f t="shared" si="119"/>
        <v>8.3545223392662953E-3</v>
      </c>
    </row>
    <row r="1452" spans="1:20" hidden="1" x14ac:dyDescent="0.25">
      <c r="A1452" s="4" t="s">
        <v>1375</v>
      </c>
      <c r="B1452" s="5" t="s">
        <v>16</v>
      </c>
      <c r="C1452" s="5" t="s">
        <v>1823</v>
      </c>
      <c r="D1452" s="5">
        <v>47.45</v>
      </c>
      <c r="E1452" s="5">
        <v>50.7</v>
      </c>
      <c r="F1452" s="5">
        <v>50.7</v>
      </c>
      <c r="G1452" s="5">
        <v>46.3</v>
      </c>
      <c r="H1452" s="5">
        <v>47</v>
      </c>
      <c r="I1452" s="5">
        <v>47</v>
      </c>
      <c r="J1452" s="5">
        <v>47.81</v>
      </c>
      <c r="K1452" s="5">
        <v>4249</v>
      </c>
      <c r="L1452" s="5">
        <v>2.0299999999999998</v>
      </c>
      <c r="M1452" s="5">
        <v>331</v>
      </c>
      <c r="N1452" s="5">
        <v>3433</v>
      </c>
      <c r="O1452" s="5">
        <v>80.8</v>
      </c>
      <c r="P1452" s="5">
        <f t="shared" si="115"/>
        <v>-0.45000000000000284</v>
      </c>
      <c r="Q1452" s="6">
        <f t="shared" si="116"/>
        <v>-9.4836670179136526E-3</v>
      </c>
      <c r="R1452" s="5">
        <f t="shared" si="117"/>
        <v>4.4000000000000057</v>
      </c>
      <c r="S1452" s="6">
        <f t="shared" si="118"/>
        <v>9.2729188619599695E-2</v>
      </c>
      <c r="T1452" s="6">
        <f t="shared" si="119"/>
        <v>-1.6640986132511602E-2</v>
      </c>
    </row>
    <row r="1453" spans="1:20" hidden="1" x14ac:dyDescent="0.25">
      <c r="A1453" s="4" t="s">
        <v>1376</v>
      </c>
      <c r="B1453" s="5" t="s">
        <v>16</v>
      </c>
      <c r="C1453" s="5" t="s">
        <v>1823</v>
      </c>
      <c r="D1453" s="5">
        <v>589.4</v>
      </c>
      <c r="E1453" s="5">
        <v>589.4</v>
      </c>
      <c r="F1453" s="5">
        <v>591</v>
      </c>
      <c r="G1453" s="5">
        <v>564.04999999999995</v>
      </c>
      <c r="H1453" s="5">
        <v>571</v>
      </c>
      <c r="I1453" s="5">
        <v>579.65</v>
      </c>
      <c r="J1453" s="5">
        <v>585.28</v>
      </c>
      <c r="K1453" s="5">
        <v>863</v>
      </c>
      <c r="L1453" s="5">
        <v>5.05</v>
      </c>
      <c r="M1453" s="5">
        <v>73</v>
      </c>
      <c r="N1453" s="5">
        <v>671</v>
      </c>
      <c r="O1453" s="5">
        <v>77.75</v>
      </c>
      <c r="P1453" s="5">
        <f t="shared" si="115"/>
        <v>-9.75</v>
      </c>
      <c r="Q1453" s="6">
        <f t="shared" si="116"/>
        <v>-1.6542246352222598E-2</v>
      </c>
      <c r="R1453" s="5">
        <f t="shared" si="117"/>
        <v>26.950000000000045</v>
      </c>
      <c r="S1453" s="6">
        <f t="shared" si="118"/>
        <v>4.572446555819485E-2</v>
      </c>
      <c r="T1453" s="6">
        <f t="shared" si="119"/>
        <v>-9.6897723850092442E-3</v>
      </c>
    </row>
    <row r="1454" spans="1:20" hidden="1" x14ac:dyDescent="0.25">
      <c r="A1454" s="4" t="s">
        <v>1377</v>
      </c>
      <c r="B1454" s="5" t="s">
        <v>39</v>
      </c>
      <c r="C1454" s="5" t="s">
        <v>1823</v>
      </c>
      <c r="D1454" s="5">
        <v>49.9</v>
      </c>
      <c r="E1454" s="5">
        <v>52.25</v>
      </c>
      <c r="F1454" s="5">
        <v>52.25</v>
      </c>
      <c r="G1454" s="5">
        <v>47.45</v>
      </c>
      <c r="H1454" s="5">
        <v>47.45</v>
      </c>
      <c r="I1454" s="5">
        <v>47.45</v>
      </c>
      <c r="J1454" s="5">
        <v>48.57</v>
      </c>
      <c r="K1454" s="5">
        <v>43</v>
      </c>
      <c r="L1454" s="5">
        <v>0.02</v>
      </c>
      <c r="M1454" s="5">
        <v>5</v>
      </c>
      <c r="N1454" s="5" t="s">
        <v>25</v>
      </c>
      <c r="O1454" s="5" t="s">
        <v>25</v>
      </c>
      <c r="P1454" s="5">
        <f t="shared" si="115"/>
        <v>-2.4499999999999957</v>
      </c>
      <c r="Q1454" s="6">
        <f t="shared" si="116"/>
        <v>-4.9098196392785488E-2</v>
      </c>
      <c r="R1454" s="5">
        <f t="shared" si="117"/>
        <v>4.7999999999999972</v>
      </c>
      <c r="S1454" s="6">
        <f t="shared" si="118"/>
        <v>9.6192384769539022E-2</v>
      </c>
      <c r="T1454" s="6">
        <f t="shared" si="119"/>
        <v>-2.2467402206619812E-2</v>
      </c>
    </row>
    <row r="1455" spans="1:20" hidden="1" x14ac:dyDescent="0.25">
      <c r="A1455" s="4" t="s">
        <v>1378</v>
      </c>
      <c r="B1455" s="5" t="s">
        <v>16</v>
      </c>
      <c r="C1455" s="5" t="s">
        <v>1823</v>
      </c>
      <c r="D1455" s="5">
        <v>625.15</v>
      </c>
      <c r="E1455" s="5">
        <v>620</v>
      </c>
      <c r="F1455" s="5">
        <v>625</v>
      </c>
      <c r="G1455" s="5">
        <v>596.79999999999995</v>
      </c>
      <c r="H1455" s="5">
        <v>608.20000000000005</v>
      </c>
      <c r="I1455" s="5">
        <v>610.95000000000005</v>
      </c>
      <c r="J1455" s="5">
        <v>607.76</v>
      </c>
      <c r="K1455" s="5">
        <v>7381</v>
      </c>
      <c r="L1455" s="5">
        <v>44.86</v>
      </c>
      <c r="M1455" s="5">
        <v>622</v>
      </c>
      <c r="N1455" s="5">
        <v>4177</v>
      </c>
      <c r="O1455" s="5">
        <v>56.59</v>
      </c>
      <c r="P1455" s="5">
        <f t="shared" si="115"/>
        <v>-14.199999999999932</v>
      </c>
      <c r="Q1455" s="6">
        <f t="shared" si="116"/>
        <v>-2.2714548508357885E-2</v>
      </c>
      <c r="R1455" s="5">
        <f t="shared" si="117"/>
        <v>28.200000000000045</v>
      </c>
      <c r="S1455" s="6">
        <f t="shared" si="118"/>
        <v>4.5109173798288486E-2</v>
      </c>
      <c r="T1455" s="6">
        <f t="shared" si="119"/>
        <v>5.2023239221283121E-3</v>
      </c>
    </row>
    <row r="1456" spans="1:20" x14ac:dyDescent="0.25">
      <c r="A1456" s="4" t="s">
        <v>870</v>
      </c>
      <c r="B1456" s="5" t="s">
        <v>16</v>
      </c>
      <c r="C1456" s="5" t="s">
        <v>1823</v>
      </c>
      <c r="D1456" s="5">
        <v>505.45</v>
      </c>
      <c r="E1456" s="5">
        <v>507.35</v>
      </c>
      <c r="F1456" s="5">
        <v>513</v>
      </c>
      <c r="G1456" s="5">
        <v>491</v>
      </c>
      <c r="H1456" s="5">
        <v>492</v>
      </c>
      <c r="I1456" s="5">
        <v>497.9</v>
      </c>
      <c r="J1456" s="5">
        <v>501.32</v>
      </c>
      <c r="K1456" s="5">
        <v>104123</v>
      </c>
      <c r="L1456" s="5">
        <v>521.99</v>
      </c>
      <c r="M1456" s="5">
        <v>4760</v>
      </c>
      <c r="N1456" s="5">
        <v>69231</v>
      </c>
      <c r="O1456" s="5">
        <v>66.489999999999995</v>
      </c>
      <c r="P1456" s="5">
        <f t="shared" si="115"/>
        <v>-7.5500000000000114</v>
      </c>
      <c r="Q1456" s="6">
        <f t="shared" si="116"/>
        <v>-1.4937184686912675E-2</v>
      </c>
      <c r="R1456" s="5">
        <f t="shared" si="117"/>
        <v>22</v>
      </c>
      <c r="S1456" s="6">
        <f t="shared" si="118"/>
        <v>4.3525571273122961E-2</v>
      </c>
      <c r="T1456" s="6">
        <f t="shared" si="119"/>
        <v>-6.8085106382979044E-3</v>
      </c>
    </row>
    <row r="1457" spans="1:20" hidden="1" x14ac:dyDescent="0.25">
      <c r="A1457" s="4" t="s">
        <v>1380</v>
      </c>
      <c r="B1457" s="5" t="s">
        <v>39</v>
      </c>
      <c r="C1457" s="5" t="s">
        <v>1823</v>
      </c>
      <c r="D1457" s="5">
        <v>50.45</v>
      </c>
      <c r="E1457" s="5">
        <v>49.75</v>
      </c>
      <c r="F1457" s="5">
        <v>52</v>
      </c>
      <c r="G1457" s="5">
        <v>49.75</v>
      </c>
      <c r="H1457" s="5">
        <v>52</v>
      </c>
      <c r="I1457" s="5">
        <v>50.2</v>
      </c>
      <c r="J1457" s="5">
        <v>50.02</v>
      </c>
      <c r="K1457" s="5">
        <v>21110</v>
      </c>
      <c r="L1457" s="5">
        <v>10.56</v>
      </c>
      <c r="M1457" s="5">
        <v>71</v>
      </c>
      <c r="N1457" s="5" t="s">
        <v>25</v>
      </c>
      <c r="O1457" s="5" t="s">
        <v>25</v>
      </c>
      <c r="P1457" s="5">
        <f t="shared" si="115"/>
        <v>-0.25</v>
      </c>
      <c r="Q1457" s="6">
        <f t="shared" si="116"/>
        <v>-4.9554013875123884E-3</v>
      </c>
      <c r="R1457" s="5">
        <f t="shared" si="117"/>
        <v>2.25</v>
      </c>
      <c r="S1457" s="6">
        <f t="shared" si="118"/>
        <v>4.4598612487611496E-2</v>
      </c>
      <c r="T1457" s="6">
        <f t="shared" si="119"/>
        <v>3.569657907783832E-3</v>
      </c>
    </row>
    <row r="1458" spans="1:20" hidden="1" x14ac:dyDescent="0.25">
      <c r="A1458" s="4" t="s">
        <v>1381</v>
      </c>
      <c r="B1458" s="5" t="s">
        <v>16</v>
      </c>
      <c r="C1458" s="5" t="s">
        <v>1823</v>
      </c>
      <c r="D1458" s="5">
        <v>9.1999999999999993</v>
      </c>
      <c r="E1458" s="5">
        <v>9.1999999999999993</v>
      </c>
      <c r="F1458" s="5">
        <v>9.4</v>
      </c>
      <c r="G1458" s="5">
        <v>8.9</v>
      </c>
      <c r="H1458" s="5">
        <v>9.15</v>
      </c>
      <c r="I1458" s="5">
        <v>9.1999999999999993</v>
      </c>
      <c r="J1458" s="5">
        <v>9.26</v>
      </c>
      <c r="K1458" s="5">
        <v>41854</v>
      </c>
      <c r="L1458" s="5">
        <v>3.88</v>
      </c>
      <c r="M1458" s="5">
        <v>206</v>
      </c>
      <c r="N1458" s="5">
        <v>27024</v>
      </c>
      <c r="O1458" s="5">
        <v>64.569999999999993</v>
      </c>
      <c r="P1458" s="5">
        <f t="shared" si="115"/>
        <v>0</v>
      </c>
      <c r="Q1458" s="6">
        <f t="shared" si="116"/>
        <v>0</v>
      </c>
      <c r="R1458" s="5">
        <f t="shared" si="117"/>
        <v>0.5</v>
      </c>
      <c r="S1458" s="6">
        <f t="shared" si="118"/>
        <v>5.4347826086956527E-2</v>
      </c>
      <c r="T1458" s="6">
        <f t="shared" si="119"/>
        <v>-6.5395095367847952E-3</v>
      </c>
    </row>
    <row r="1459" spans="1:20" hidden="1" x14ac:dyDescent="0.25">
      <c r="A1459" s="4" t="s">
        <v>1382</v>
      </c>
      <c r="B1459" s="5" t="s">
        <v>16</v>
      </c>
      <c r="C1459" s="5" t="s">
        <v>1823</v>
      </c>
      <c r="D1459" s="5">
        <v>253.75</v>
      </c>
      <c r="E1459" s="5">
        <v>254.5</v>
      </c>
      <c r="F1459" s="5">
        <v>256</v>
      </c>
      <c r="G1459" s="5">
        <v>248.05</v>
      </c>
      <c r="H1459" s="5">
        <v>256</v>
      </c>
      <c r="I1459" s="5">
        <v>254</v>
      </c>
      <c r="J1459" s="5">
        <v>253.14</v>
      </c>
      <c r="K1459" s="5">
        <v>9737</v>
      </c>
      <c r="L1459" s="5">
        <v>24.65</v>
      </c>
      <c r="M1459" s="5">
        <v>185</v>
      </c>
      <c r="N1459" s="5">
        <v>8438</v>
      </c>
      <c r="O1459" s="5">
        <v>86.66</v>
      </c>
      <c r="P1459" s="5">
        <f t="shared" si="115"/>
        <v>0.25</v>
      </c>
      <c r="Q1459" s="6">
        <f t="shared" si="116"/>
        <v>9.8522167487684722E-4</v>
      </c>
      <c r="R1459" s="5">
        <f t="shared" si="117"/>
        <v>7.9499999999999886</v>
      </c>
      <c r="S1459" s="6">
        <f t="shared" si="118"/>
        <v>3.1330049261083702E-2</v>
      </c>
      <c r="T1459" s="6">
        <f t="shared" si="119"/>
        <v>3.3973630931806377E-3</v>
      </c>
    </row>
    <row r="1460" spans="1:20" hidden="1" x14ac:dyDescent="0.25">
      <c r="A1460" s="4" t="s">
        <v>1383</v>
      </c>
      <c r="B1460" s="5" t="s">
        <v>16</v>
      </c>
      <c r="C1460" s="5" t="s">
        <v>1823</v>
      </c>
      <c r="D1460" s="5">
        <v>9.9</v>
      </c>
      <c r="E1460" s="5">
        <v>9.6</v>
      </c>
      <c r="F1460" s="5">
        <v>10.25</v>
      </c>
      <c r="G1460" s="5">
        <v>9.5500000000000007</v>
      </c>
      <c r="H1460" s="5">
        <v>9.6</v>
      </c>
      <c r="I1460" s="5">
        <v>9.6</v>
      </c>
      <c r="J1460" s="5">
        <v>9.69</v>
      </c>
      <c r="K1460" s="5">
        <v>101381</v>
      </c>
      <c r="L1460" s="5">
        <v>9.83</v>
      </c>
      <c r="M1460" s="5">
        <v>961</v>
      </c>
      <c r="N1460" s="5">
        <v>60324</v>
      </c>
      <c r="O1460" s="5">
        <v>59.5</v>
      </c>
      <c r="P1460" s="5">
        <f t="shared" si="115"/>
        <v>-0.30000000000000071</v>
      </c>
      <c r="Q1460" s="6">
        <f t="shared" si="116"/>
        <v>-3.0303030303030373E-2</v>
      </c>
      <c r="R1460" s="5">
        <f t="shared" si="117"/>
        <v>0.69999999999999929</v>
      </c>
      <c r="S1460" s="6">
        <f t="shared" si="118"/>
        <v>7.0707070707070635E-2</v>
      </c>
      <c r="T1460" s="6">
        <f t="shared" si="119"/>
        <v>-9.230769230769216E-3</v>
      </c>
    </row>
    <row r="1461" spans="1:20" hidden="1" x14ac:dyDescent="0.25">
      <c r="A1461" s="4" t="s">
        <v>1384</v>
      </c>
      <c r="B1461" s="5" t="s">
        <v>16</v>
      </c>
      <c r="C1461" s="5" t="s">
        <v>1823</v>
      </c>
      <c r="D1461" s="5">
        <v>121</v>
      </c>
      <c r="E1461" s="5">
        <v>120.05</v>
      </c>
      <c r="F1461" s="5">
        <v>123</v>
      </c>
      <c r="G1461" s="5">
        <v>116.5</v>
      </c>
      <c r="H1461" s="5">
        <v>117</v>
      </c>
      <c r="I1461" s="5">
        <v>117.2</v>
      </c>
      <c r="J1461" s="5">
        <v>119.34</v>
      </c>
      <c r="K1461" s="5">
        <v>33885</v>
      </c>
      <c r="L1461" s="5">
        <v>40.44</v>
      </c>
      <c r="M1461" s="5">
        <v>592</v>
      </c>
      <c r="N1461" s="5">
        <v>18068</v>
      </c>
      <c r="O1461" s="5">
        <v>53.32</v>
      </c>
      <c r="P1461" s="5">
        <f t="shared" si="115"/>
        <v>-3.7999999999999972</v>
      </c>
      <c r="Q1461" s="6">
        <f t="shared" si="116"/>
        <v>-3.1404958677685925E-2</v>
      </c>
      <c r="R1461" s="5">
        <f t="shared" si="117"/>
        <v>6.5</v>
      </c>
      <c r="S1461" s="6">
        <f t="shared" si="118"/>
        <v>5.3719008264462811E-2</v>
      </c>
      <c r="T1461" s="6">
        <f t="shared" si="119"/>
        <v>-1.7954902988987945E-2</v>
      </c>
    </row>
    <row r="1462" spans="1:20" hidden="1" x14ac:dyDescent="0.25">
      <c r="A1462" s="4" t="s">
        <v>1385</v>
      </c>
      <c r="B1462" s="5" t="s">
        <v>16</v>
      </c>
      <c r="C1462" s="5" t="s">
        <v>1823</v>
      </c>
      <c r="D1462" s="5">
        <v>73.55</v>
      </c>
      <c r="E1462" s="5">
        <v>73</v>
      </c>
      <c r="F1462" s="5">
        <v>82.85</v>
      </c>
      <c r="G1462" s="5">
        <v>73</v>
      </c>
      <c r="H1462" s="5">
        <v>73</v>
      </c>
      <c r="I1462" s="5">
        <v>74</v>
      </c>
      <c r="J1462" s="5">
        <v>73.58</v>
      </c>
      <c r="K1462" s="5">
        <v>208</v>
      </c>
      <c r="L1462" s="5">
        <v>0.15</v>
      </c>
      <c r="M1462" s="5">
        <v>11</v>
      </c>
      <c r="N1462" s="5">
        <v>100</v>
      </c>
      <c r="O1462" s="5">
        <v>48.08</v>
      </c>
      <c r="P1462" s="5">
        <f t="shared" si="115"/>
        <v>0.45000000000000284</v>
      </c>
      <c r="Q1462" s="6">
        <f t="shared" si="116"/>
        <v>6.1182868796737302E-3</v>
      </c>
      <c r="R1462" s="5">
        <f t="shared" si="117"/>
        <v>9.8499999999999943</v>
      </c>
      <c r="S1462" s="6">
        <f t="shared" si="118"/>
        <v>0.13392250169952405</v>
      </c>
      <c r="T1462" s="6">
        <f t="shared" si="119"/>
        <v>5.5473006438831324E-3</v>
      </c>
    </row>
    <row r="1463" spans="1:20" hidden="1" x14ac:dyDescent="0.25">
      <c r="A1463" s="4" t="s">
        <v>1386</v>
      </c>
      <c r="B1463" s="5" t="s">
        <v>16</v>
      </c>
      <c r="C1463" s="5" t="s">
        <v>1823</v>
      </c>
      <c r="D1463" s="5">
        <v>3.05</v>
      </c>
      <c r="E1463" s="5">
        <v>3.15</v>
      </c>
      <c r="F1463" s="5">
        <v>3.35</v>
      </c>
      <c r="G1463" s="5">
        <v>3.05</v>
      </c>
      <c r="H1463" s="5">
        <v>3.35</v>
      </c>
      <c r="I1463" s="5">
        <v>3.35</v>
      </c>
      <c r="J1463" s="5">
        <v>3.3</v>
      </c>
      <c r="K1463" s="5">
        <v>105192</v>
      </c>
      <c r="L1463" s="5">
        <v>3.48</v>
      </c>
      <c r="M1463" s="5">
        <v>143</v>
      </c>
      <c r="N1463" s="5">
        <v>72848</v>
      </c>
      <c r="O1463" s="5">
        <v>69.25</v>
      </c>
      <c r="P1463" s="5">
        <f t="shared" si="115"/>
        <v>0.30000000000000027</v>
      </c>
      <c r="Q1463" s="6">
        <f t="shared" si="116"/>
        <v>9.8360655737705013E-2</v>
      </c>
      <c r="R1463" s="5">
        <f t="shared" si="117"/>
        <v>0.30000000000000027</v>
      </c>
      <c r="S1463" s="6">
        <f t="shared" si="118"/>
        <v>9.8360655737705013E-2</v>
      </c>
      <c r="T1463" s="6">
        <f t="shared" si="119"/>
        <v>1.5503875968992331E-2</v>
      </c>
    </row>
    <row r="1464" spans="1:20" hidden="1" x14ac:dyDescent="0.25">
      <c r="A1464" s="4" t="s">
        <v>1387</v>
      </c>
      <c r="B1464" s="5" t="s">
        <v>16</v>
      </c>
      <c r="C1464" s="5" t="s">
        <v>1823</v>
      </c>
      <c r="D1464" s="5">
        <v>123.6</v>
      </c>
      <c r="E1464" s="5">
        <v>122.05</v>
      </c>
      <c r="F1464" s="5">
        <v>125</v>
      </c>
      <c r="G1464" s="5">
        <v>120.8</v>
      </c>
      <c r="H1464" s="5">
        <v>121.35</v>
      </c>
      <c r="I1464" s="5">
        <v>122.65</v>
      </c>
      <c r="J1464" s="5">
        <v>122.36</v>
      </c>
      <c r="K1464" s="5">
        <v>2441</v>
      </c>
      <c r="L1464" s="5">
        <v>2.99</v>
      </c>
      <c r="M1464" s="5">
        <v>101</v>
      </c>
      <c r="N1464" s="5">
        <v>2222</v>
      </c>
      <c r="O1464" s="5">
        <v>91.03</v>
      </c>
      <c r="P1464" s="5">
        <f t="shared" si="115"/>
        <v>-0.94999999999998863</v>
      </c>
      <c r="Q1464" s="6">
        <f t="shared" si="116"/>
        <v>-7.6860841423947307E-3</v>
      </c>
      <c r="R1464" s="5">
        <f t="shared" si="117"/>
        <v>4.2000000000000028</v>
      </c>
      <c r="S1464" s="6">
        <f t="shared" si="118"/>
        <v>3.3980582524271871E-2</v>
      </c>
      <c r="T1464" s="6">
        <f t="shared" si="119"/>
        <v>2.3649337410805811E-3</v>
      </c>
    </row>
    <row r="1465" spans="1:20" hidden="1" x14ac:dyDescent="0.25">
      <c r="A1465" s="4" t="s">
        <v>1388</v>
      </c>
      <c r="B1465" s="5" t="s">
        <v>16</v>
      </c>
      <c r="C1465" s="5" t="s">
        <v>1823</v>
      </c>
      <c r="D1465" s="5">
        <v>2.85</v>
      </c>
      <c r="E1465" s="5">
        <v>2.9</v>
      </c>
      <c r="F1465" s="5">
        <v>2.9</v>
      </c>
      <c r="G1465" s="5">
        <v>2.5499999999999998</v>
      </c>
      <c r="H1465" s="5">
        <v>2.8</v>
      </c>
      <c r="I1465" s="5">
        <v>2.7</v>
      </c>
      <c r="J1465" s="5">
        <v>2.7</v>
      </c>
      <c r="K1465" s="5">
        <v>6748</v>
      </c>
      <c r="L1465" s="5">
        <v>0.18</v>
      </c>
      <c r="M1465" s="5">
        <v>41</v>
      </c>
      <c r="N1465" s="5">
        <v>3420</v>
      </c>
      <c r="O1465" s="5">
        <v>50.68</v>
      </c>
      <c r="P1465" s="5">
        <f t="shared" si="115"/>
        <v>-0.14999999999999991</v>
      </c>
      <c r="Q1465" s="6">
        <f t="shared" si="116"/>
        <v>-5.263157894736839E-2</v>
      </c>
      <c r="R1465" s="5">
        <f t="shared" si="117"/>
        <v>0.35000000000000009</v>
      </c>
      <c r="S1465" s="6">
        <f t="shared" si="118"/>
        <v>0.12280701754385967</v>
      </c>
      <c r="T1465" s="6">
        <f t="shared" si="119"/>
        <v>0</v>
      </c>
    </row>
    <row r="1466" spans="1:20" hidden="1" x14ac:dyDescent="0.25">
      <c r="A1466" s="4" t="s">
        <v>1389</v>
      </c>
      <c r="B1466" s="5" t="s">
        <v>16</v>
      </c>
      <c r="C1466" s="5" t="s">
        <v>1823</v>
      </c>
      <c r="D1466" s="5">
        <v>19.399999999999999</v>
      </c>
      <c r="E1466" s="5">
        <v>19.2</v>
      </c>
      <c r="F1466" s="5">
        <v>19.2</v>
      </c>
      <c r="G1466" s="5">
        <v>18.7</v>
      </c>
      <c r="H1466" s="5">
        <v>19</v>
      </c>
      <c r="I1466" s="5">
        <v>18.850000000000001</v>
      </c>
      <c r="J1466" s="5">
        <v>18.79</v>
      </c>
      <c r="K1466" s="5">
        <v>4310</v>
      </c>
      <c r="L1466" s="5">
        <v>0.81</v>
      </c>
      <c r="M1466" s="5">
        <v>62</v>
      </c>
      <c r="N1466" s="5">
        <v>3825</v>
      </c>
      <c r="O1466" s="5">
        <v>88.75</v>
      </c>
      <c r="P1466" s="5">
        <f t="shared" si="115"/>
        <v>-0.54999999999999716</v>
      </c>
      <c r="Q1466" s="6">
        <f t="shared" si="116"/>
        <v>-2.835051546391738E-2</v>
      </c>
      <c r="R1466" s="5">
        <f t="shared" si="117"/>
        <v>0.5</v>
      </c>
      <c r="S1466" s="6">
        <f t="shared" si="118"/>
        <v>2.5773195876288662E-2</v>
      </c>
      <c r="T1466" s="6">
        <f t="shared" si="119"/>
        <v>3.1599736668862293E-3</v>
      </c>
    </row>
    <row r="1467" spans="1:20" hidden="1" x14ac:dyDescent="0.25">
      <c r="A1467" s="4" t="s">
        <v>1390</v>
      </c>
      <c r="B1467" s="5" t="s">
        <v>16</v>
      </c>
      <c r="C1467" s="5" t="s">
        <v>1823</v>
      </c>
      <c r="D1467" s="5">
        <v>587.25</v>
      </c>
      <c r="E1467" s="5">
        <v>596</v>
      </c>
      <c r="F1467" s="5">
        <v>598.70000000000005</v>
      </c>
      <c r="G1467" s="5">
        <v>568</v>
      </c>
      <c r="H1467" s="5">
        <v>592.4</v>
      </c>
      <c r="I1467" s="5">
        <v>576.75</v>
      </c>
      <c r="J1467" s="5">
        <v>576.64</v>
      </c>
      <c r="K1467" s="5">
        <v>1323</v>
      </c>
      <c r="L1467" s="5">
        <v>7.63</v>
      </c>
      <c r="M1467" s="5">
        <v>141</v>
      </c>
      <c r="N1467" s="5">
        <v>904</v>
      </c>
      <c r="O1467" s="5">
        <v>68.33</v>
      </c>
      <c r="P1467" s="5">
        <f t="shared" si="115"/>
        <v>-10.5</v>
      </c>
      <c r="Q1467" s="6">
        <f t="shared" si="116"/>
        <v>-1.7879948914431672E-2</v>
      </c>
      <c r="R1467" s="5">
        <f t="shared" si="117"/>
        <v>30.700000000000045</v>
      </c>
      <c r="S1467" s="6">
        <f t="shared" si="118"/>
        <v>5.2277564921243157E-2</v>
      </c>
      <c r="T1467" s="6">
        <f t="shared" si="119"/>
        <v>1.8807839449445579E-4</v>
      </c>
    </row>
    <row r="1468" spans="1:20" x14ac:dyDescent="0.25">
      <c r="A1468" s="4" t="s">
        <v>642</v>
      </c>
      <c r="B1468" s="5" t="s">
        <v>16</v>
      </c>
      <c r="C1468" s="5" t="s">
        <v>1823</v>
      </c>
      <c r="D1468" s="5">
        <v>197.75</v>
      </c>
      <c r="E1468" s="5">
        <v>197.05</v>
      </c>
      <c r="F1468" s="5">
        <v>197.75</v>
      </c>
      <c r="G1468" s="5">
        <v>191.65</v>
      </c>
      <c r="H1468" s="5">
        <v>192.6</v>
      </c>
      <c r="I1468" s="5">
        <v>193</v>
      </c>
      <c r="J1468" s="5">
        <v>193.62</v>
      </c>
      <c r="K1468" s="5">
        <v>337822</v>
      </c>
      <c r="L1468" s="5">
        <v>654.1</v>
      </c>
      <c r="M1468" s="5">
        <v>10324</v>
      </c>
      <c r="N1468" s="5">
        <v>224808</v>
      </c>
      <c r="O1468" s="5">
        <v>66.55</v>
      </c>
      <c r="P1468" s="5">
        <f t="shared" si="115"/>
        <v>-4.75</v>
      </c>
      <c r="Q1468" s="6">
        <f t="shared" si="116"/>
        <v>-2.402022756005057E-2</v>
      </c>
      <c r="R1468" s="5">
        <f t="shared" si="117"/>
        <v>6.0999999999999943</v>
      </c>
      <c r="S1468" s="6">
        <f t="shared" si="118"/>
        <v>3.0847029077117543E-2</v>
      </c>
      <c r="T1468" s="6">
        <f t="shared" si="119"/>
        <v>-3.1817307075502187E-3</v>
      </c>
    </row>
    <row r="1469" spans="1:20" hidden="1" x14ac:dyDescent="0.25">
      <c r="A1469" s="4" t="s">
        <v>1392</v>
      </c>
      <c r="B1469" s="5" t="s">
        <v>16</v>
      </c>
      <c r="C1469" s="5" t="s">
        <v>1823</v>
      </c>
      <c r="D1469" s="5">
        <v>43.55</v>
      </c>
      <c r="E1469" s="5">
        <v>43.15</v>
      </c>
      <c r="F1469" s="5">
        <v>43.15</v>
      </c>
      <c r="G1469" s="5">
        <v>41.25</v>
      </c>
      <c r="H1469" s="5">
        <v>42.4</v>
      </c>
      <c r="I1469" s="5">
        <v>41.5</v>
      </c>
      <c r="J1469" s="5">
        <v>41.79</v>
      </c>
      <c r="K1469" s="5">
        <v>2024</v>
      </c>
      <c r="L1469" s="5">
        <v>0.85</v>
      </c>
      <c r="M1469" s="5">
        <v>94</v>
      </c>
      <c r="N1469" s="5">
        <v>1658</v>
      </c>
      <c r="O1469" s="5">
        <v>81.92</v>
      </c>
      <c r="P1469" s="5">
        <f t="shared" si="115"/>
        <v>-2.0499999999999972</v>
      </c>
      <c r="Q1469" s="6">
        <f t="shared" si="116"/>
        <v>-4.7072330654420146E-2</v>
      </c>
      <c r="R1469" s="5">
        <f t="shared" si="117"/>
        <v>1.8999999999999986</v>
      </c>
      <c r="S1469" s="6">
        <f t="shared" si="118"/>
        <v>4.362801377726748E-2</v>
      </c>
      <c r="T1469" s="6">
        <f t="shared" si="119"/>
        <v>-6.861875184856531E-3</v>
      </c>
    </row>
    <row r="1470" spans="1:20" hidden="1" x14ac:dyDescent="0.25">
      <c r="A1470" s="4" t="s">
        <v>1393</v>
      </c>
      <c r="B1470" s="5" t="s">
        <v>16</v>
      </c>
      <c r="C1470" s="5" t="s">
        <v>1823</v>
      </c>
      <c r="D1470" s="5">
        <v>54.75</v>
      </c>
      <c r="E1470" s="5">
        <v>54.75</v>
      </c>
      <c r="F1470" s="5">
        <v>54.95</v>
      </c>
      <c r="G1470" s="5">
        <v>53.35</v>
      </c>
      <c r="H1470" s="5">
        <v>53.6</v>
      </c>
      <c r="I1470" s="5">
        <v>53.55</v>
      </c>
      <c r="J1470" s="5">
        <v>54.02</v>
      </c>
      <c r="K1470" s="5">
        <v>33772</v>
      </c>
      <c r="L1470" s="5">
        <v>18.239999999999998</v>
      </c>
      <c r="M1470" s="5">
        <v>469</v>
      </c>
      <c r="N1470" s="5">
        <v>17476</v>
      </c>
      <c r="O1470" s="5">
        <v>51.75</v>
      </c>
      <c r="P1470" s="5">
        <f t="shared" si="115"/>
        <v>-1.2000000000000028</v>
      </c>
      <c r="Q1470" s="6">
        <f t="shared" si="116"/>
        <v>-2.1917808219178134E-2</v>
      </c>
      <c r="R1470" s="5">
        <f t="shared" si="117"/>
        <v>1.6000000000000014</v>
      </c>
      <c r="S1470" s="6">
        <f t="shared" si="118"/>
        <v>2.922374429223747E-2</v>
      </c>
      <c r="T1470" s="6">
        <f t="shared" si="119"/>
        <v>-8.679593721145077E-3</v>
      </c>
    </row>
    <row r="1471" spans="1:20" hidden="1" x14ac:dyDescent="0.25">
      <c r="A1471" s="4" t="s">
        <v>1394</v>
      </c>
      <c r="B1471" s="5" t="s">
        <v>39</v>
      </c>
      <c r="C1471" s="5" t="s">
        <v>1823</v>
      </c>
      <c r="D1471" s="5">
        <v>30</v>
      </c>
      <c r="E1471" s="5">
        <v>28.55</v>
      </c>
      <c r="F1471" s="5">
        <v>30</v>
      </c>
      <c r="G1471" s="5">
        <v>28.55</v>
      </c>
      <c r="H1471" s="5">
        <v>30</v>
      </c>
      <c r="I1471" s="5">
        <v>30</v>
      </c>
      <c r="J1471" s="5">
        <v>29.87</v>
      </c>
      <c r="K1471" s="5">
        <v>3249</v>
      </c>
      <c r="L1471" s="5">
        <v>0.97</v>
      </c>
      <c r="M1471" s="5">
        <v>10</v>
      </c>
      <c r="N1471" s="5" t="s">
        <v>25</v>
      </c>
      <c r="O1471" s="5" t="s">
        <v>25</v>
      </c>
      <c r="P1471" s="5">
        <f t="shared" si="115"/>
        <v>0</v>
      </c>
      <c r="Q1471" s="6">
        <f t="shared" si="116"/>
        <v>0</v>
      </c>
      <c r="R1471" s="5">
        <f t="shared" si="117"/>
        <v>1.4499999999999993</v>
      </c>
      <c r="S1471" s="6">
        <f t="shared" si="118"/>
        <v>4.8333333333333311E-2</v>
      </c>
      <c r="T1471" s="6">
        <f t="shared" si="119"/>
        <v>4.4406490179333567E-3</v>
      </c>
    </row>
    <row r="1472" spans="1:20" hidden="1" x14ac:dyDescent="0.25">
      <c r="A1472" s="4" t="s">
        <v>1395</v>
      </c>
      <c r="B1472" s="5" t="s">
        <v>16</v>
      </c>
      <c r="C1472" s="5" t="s">
        <v>1823</v>
      </c>
      <c r="D1472" s="5">
        <v>96.8</v>
      </c>
      <c r="E1472" s="5">
        <v>96.55</v>
      </c>
      <c r="F1472" s="5">
        <v>97.7</v>
      </c>
      <c r="G1472" s="5">
        <v>95</v>
      </c>
      <c r="H1472" s="5">
        <v>95</v>
      </c>
      <c r="I1472" s="5">
        <v>96.3</v>
      </c>
      <c r="J1472" s="5">
        <v>97.07</v>
      </c>
      <c r="K1472" s="5">
        <v>82647</v>
      </c>
      <c r="L1472" s="5">
        <v>80.23</v>
      </c>
      <c r="M1472" s="5">
        <v>274</v>
      </c>
      <c r="N1472" s="5">
        <v>81026</v>
      </c>
      <c r="O1472" s="5">
        <v>98.04</v>
      </c>
      <c r="P1472" s="5">
        <f t="shared" si="115"/>
        <v>-0.5</v>
      </c>
      <c r="Q1472" s="6">
        <f t="shared" si="116"/>
        <v>-5.1652892561983473E-3</v>
      </c>
      <c r="R1472" s="5">
        <f t="shared" si="117"/>
        <v>2.7000000000000028</v>
      </c>
      <c r="S1472" s="6">
        <f t="shared" si="118"/>
        <v>2.7892561983471103E-2</v>
      </c>
      <c r="T1472" s="6">
        <f t="shared" si="119"/>
        <v>-7.9885877318116565E-3</v>
      </c>
    </row>
    <row r="1473" spans="1:20" hidden="1" x14ac:dyDescent="0.25">
      <c r="A1473" s="4" t="s">
        <v>1396</v>
      </c>
      <c r="B1473" s="5" t="s">
        <v>16</v>
      </c>
      <c r="C1473" s="5" t="s">
        <v>1823</v>
      </c>
      <c r="D1473" s="5">
        <v>110.05</v>
      </c>
      <c r="E1473" s="5">
        <v>111</v>
      </c>
      <c r="F1473" s="5">
        <v>111.75</v>
      </c>
      <c r="G1473" s="5">
        <v>107.25</v>
      </c>
      <c r="H1473" s="5">
        <v>111</v>
      </c>
      <c r="I1473" s="5">
        <v>109.05</v>
      </c>
      <c r="J1473" s="5">
        <v>109</v>
      </c>
      <c r="K1473" s="5">
        <v>44427</v>
      </c>
      <c r="L1473" s="5">
        <v>48.42</v>
      </c>
      <c r="M1473" s="5">
        <v>215</v>
      </c>
      <c r="N1473" s="5">
        <v>27512</v>
      </c>
      <c r="O1473" s="5">
        <v>61.93</v>
      </c>
      <c r="P1473" s="5">
        <f t="shared" si="115"/>
        <v>-1</v>
      </c>
      <c r="Q1473" s="6">
        <f t="shared" si="116"/>
        <v>-9.0867787369377558E-3</v>
      </c>
      <c r="R1473" s="5">
        <f t="shared" si="117"/>
        <v>4.5</v>
      </c>
      <c r="S1473" s="6">
        <f t="shared" si="118"/>
        <v>4.0890504316219899E-2</v>
      </c>
      <c r="T1473" s="6">
        <f t="shared" si="119"/>
        <v>4.5552898303151949E-4</v>
      </c>
    </row>
    <row r="1474" spans="1:20" hidden="1" x14ac:dyDescent="0.25">
      <c r="A1474" s="4" t="s">
        <v>1397</v>
      </c>
      <c r="B1474" s="5" t="s">
        <v>16</v>
      </c>
      <c r="C1474" s="5" t="s">
        <v>1823</v>
      </c>
      <c r="D1474" s="5">
        <v>5922.75</v>
      </c>
      <c r="E1474" s="5">
        <v>5922.8</v>
      </c>
      <c r="F1474" s="5">
        <v>5999</v>
      </c>
      <c r="G1474" s="5">
        <v>5826.4</v>
      </c>
      <c r="H1474" s="5">
        <v>5830</v>
      </c>
      <c r="I1474" s="5">
        <v>5856.85</v>
      </c>
      <c r="J1474" s="5">
        <v>5885.69</v>
      </c>
      <c r="K1474" s="5">
        <v>4707</v>
      </c>
      <c r="L1474" s="5">
        <v>277.04000000000002</v>
      </c>
      <c r="M1474" s="5">
        <v>1538</v>
      </c>
      <c r="N1474" s="5">
        <v>2773</v>
      </c>
      <c r="O1474" s="5">
        <v>58.91</v>
      </c>
      <c r="P1474" s="5">
        <f t="shared" si="115"/>
        <v>-65.899999999999636</v>
      </c>
      <c r="Q1474" s="6">
        <f t="shared" si="116"/>
        <v>-1.1126588155839709E-2</v>
      </c>
      <c r="R1474" s="5">
        <f t="shared" si="117"/>
        <v>172.60000000000036</v>
      </c>
      <c r="S1474" s="6">
        <f t="shared" si="118"/>
        <v>2.9141868219999218E-2</v>
      </c>
      <c r="T1474" s="6">
        <f t="shared" si="119"/>
        <v>-4.8870898388267327E-3</v>
      </c>
    </row>
    <row r="1475" spans="1:20" hidden="1" x14ac:dyDescent="0.25">
      <c r="A1475" s="4" t="s">
        <v>1398</v>
      </c>
      <c r="B1475" s="5" t="s">
        <v>16</v>
      </c>
      <c r="C1475" s="5" t="s">
        <v>1823</v>
      </c>
      <c r="D1475" s="5">
        <v>2.35</v>
      </c>
      <c r="E1475" s="5">
        <v>2.4</v>
      </c>
      <c r="F1475" s="5">
        <v>2.4500000000000002</v>
      </c>
      <c r="G1475" s="5">
        <v>2.25</v>
      </c>
      <c r="H1475" s="5">
        <v>2.25</v>
      </c>
      <c r="I1475" s="5">
        <v>2.25</v>
      </c>
      <c r="J1475" s="5">
        <v>2.38</v>
      </c>
      <c r="K1475" s="5">
        <v>5147413</v>
      </c>
      <c r="L1475" s="5">
        <v>122.38</v>
      </c>
      <c r="M1475" s="5">
        <v>1727</v>
      </c>
      <c r="N1475" s="5">
        <v>3615822</v>
      </c>
      <c r="O1475" s="5">
        <v>70.25</v>
      </c>
      <c r="P1475" s="5">
        <f t="shared" si="115"/>
        <v>-0.10000000000000009</v>
      </c>
      <c r="Q1475" s="6">
        <f t="shared" si="116"/>
        <v>-4.2553191489361736E-2</v>
      </c>
      <c r="R1475" s="5">
        <f t="shared" si="117"/>
        <v>0.20000000000000018</v>
      </c>
      <c r="S1475" s="6">
        <f t="shared" si="118"/>
        <v>8.5106382978723472E-2</v>
      </c>
      <c r="T1475" s="6">
        <f t="shared" si="119"/>
        <v>-5.561497326203204E-2</v>
      </c>
    </row>
    <row r="1476" spans="1:20" hidden="1" x14ac:dyDescent="0.25">
      <c r="A1476" s="4" t="s">
        <v>1399</v>
      </c>
      <c r="B1476" s="5" t="s">
        <v>16</v>
      </c>
      <c r="C1476" s="5" t="s">
        <v>1823</v>
      </c>
      <c r="D1476" s="5">
        <v>165.35</v>
      </c>
      <c r="E1476" s="5">
        <v>164.05</v>
      </c>
      <c r="F1476" s="5">
        <v>165.7</v>
      </c>
      <c r="G1476" s="5">
        <v>158.4</v>
      </c>
      <c r="H1476" s="5">
        <v>159.55000000000001</v>
      </c>
      <c r="I1476" s="5">
        <v>160.1</v>
      </c>
      <c r="J1476" s="5">
        <v>161.99</v>
      </c>
      <c r="K1476" s="5">
        <v>28467</v>
      </c>
      <c r="L1476" s="5">
        <v>46.11</v>
      </c>
      <c r="M1476" s="5">
        <v>1208</v>
      </c>
      <c r="N1476" s="5">
        <v>17148</v>
      </c>
      <c r="O1476" s="5">
        <v>60.24</v>
      </c>
      <c r="P1476" s="5">
        <f t="shared" si="115"/>
        <v>-5.25</v>
      </c>
      <c r="Q1476" s="6">
        <f t="shared" si="116"/>
        <v>-3.1750831569398244E-2</v>
      </c>
      <c r="R1476" s="5">
        <f t="shared" si="117"/>
        <v>7.2999999999999829</v>
      </c>
      <c r="S1476" s="6">
        <f t="shared" si="118"/>
        <v>4.4148775325067939E-2</v>
      </c>
      <c r="T1476" s="6">
        <f t="shared" si="119"/>
        <v>-1.1662167373698511E-2</v>
      </c>
    </row>
    <row r="1477" spans="1:20" hidden="1" x14ac:dyDescent="0.25">
      <c r="A1477" s="4" t="s">
        <v>1400</v>
      </c>
      <c r="B1477" s="5" t="s">
        <v>16</v>
      </c>
      <c r="C1477" s="5" t="s">
        <v>1823</v>
      </c>
      <c r="D1477" s="5">
        <v>366.2</v>
      </c>
      <c r="E1477" s="5">
        <v>366.2</v>
      </c>
      <c r="F1477" s="5">
        <v>381.45</v>
      </c>
      <c r="G1477" s="5">
        <v>358</v>
      </c>
      <c r="H1477" s="5">
        <v>370.5</v>
      </c>
      <c r="I1477" s="5">
        <v>370.05</v>
      </c>
      <c r="J1477" s="5">
        <v>370.19</v>
      </c>
      <c r="K1477" s="5">
        <v>10654</v>
      </c>
      <c r="L1477" s="5">
        <v>39.44</v>
      </c>
      <c r="M1477" s="5">
        <v>586</v>
      </c>
      <c r="N1477" s="5">
        <v>7377</v>
      </c>
      <c r="O1477" s="5">
        <v>69.239999999999995</v>
      </c>
      <c r="P1477" s="5">
        <f t="shared" si="115"/>
        <v>3.8500000000000227</v>
      </c>
      <c r="Q1477" s="6">
        <f t="shared" si="116"/>
        <v>1.0513380666302629E-2</v>
      </c>
      <c r="R1477" s="5">
        <f t="shared" si="117"/>
        <v>23.449999999999989</v>
      </c>
      <c r="S1477" s="6">
        <f t="shared" si="118"/>
        <v>6.403604587657015E-2</v>
      </c>
      <c r="T1477" s="6">
        <f t="shared" si="119"/>
        <v>-3.7948092430707149E-4</v>
      </c>
    </row>
    <row r="1478" spans="1:20" hidden="1" x14ac:dyDescent="0.25">
      <c r="A1478" s="4" t="s">
        <v>1401</v>
      </c>
      <c r="B1478" s="5" t="s">
        <v>16</v>
      </c>
      <c r="C1478" s="5" t="s">
        <v>1823</v>
      </c>
      <c r="D1478" s="5">
        <v>22.1</v>
      </c>
      <c r="E1478" s="5">
        <v>22.7</v>
      </c>
      <c r="F1478" s="5">
        <v>22.7</v>
      </c>
      <c r="G1478" s="5">
        <v>21.6</v>
      </c>
      <c r="H1478" s="5">
        <v>21.85</v>
      </c>
      <c r="I1478" s="5">
        <v>21.85</v>
      </c>
      <c r="J1478" s="5">
        <v>21.99</v>
      </c>
      <c r="K1478" s="5">
        <v>78095</v>
      </c>
      <c r="L1478" s="5">
        <v>17.170000000000002</v>
      </c>
      <c r="M1478" s="5">
        <v>367</v>
      </c>
      <c r="N1478" s="5">
        <v>73915</v>
      </c>
      <c r="O1478" s="5">
        <v>94.65</v>
      </c>
      <c r="P1478" s="5">
        <f t="shared" si="115"/>
        <v>-0.25</v>
      </c>
      <c r="Q1478" s="6">
        <f t="shared" si="116"/>
        <v>-1.1312217194570135E-2</v>
      </c>
      <c r="R1478" s="5">
        <f t="shared" si="117"/>
        <v>1.0999999999999979</v>
      </c>
      <c r="S1478" s="6">
        <f t="shared" si="118"/>
        <v>4.9773755656108497E-2</v>
      </c>
      <c r="T1478" s="6">
        <f t="shared" si="119"/>
        <v>-6.3027574563870358E-3</v>
      </c>
    </row>
    <row r="1479" spans="1:20" hidden="1" x14ac:dyDescent="0.25">
      <c r="A1479" s="4" t="s">
        <v>1402</v>
      </c>
      <c r="B1479" s="5" t="s">
        <v>28</v>
      </c>
      <c r="C1479" s="5" t="s">
        <v>1823</v>
      </c>
      <c r="D1479" s="5">
        <v>36</v>
      </c>
      <c r="E1479" s="5">
        <v>36</v>
      </c>
      <c r="F1479" s="5">
        <v>36.700000000000003</v>
      </c>
      <c r="G1479" s="5">
        <v>34.299999999999997</v>
      </c>
      <c r="H1479" s="5">
        <v>34.299999999999997</v>
      </c>
      <c r="I1479" s="5">
        <v>34.6</v>
      </c>
      <c r="J1479" s="5">
        <v>35.54</v>
      </c>
      <c r="K1479" s="5">
        <v>14400</v>
      </c>
      <c r="L1479" s="5">
        <v>5.12</v>
      </c>
      <c r="M1479" s="5">
        <v>7</v>
      </c>
      <c r="N1479" s="5">
        <v>6400</v>
      </c>
      <c r="O1479" s="5">
        <v>44.44</v>
      </c>
      <c r="P1479" s="5">
        <f t="shared" si="115"/>
        <v>-1.3999999999999986</v>
      </c>
      <c r="Q1479" s="6">
        <f t="shared" si="116"/>
        <v>-3.8888888888888848E-2</v>
      </c>
      <c r="R1479" s="5">
        <f t="shared" si="117"/>
        <v>2.4000000000000057</v>
      </c>
      <c r="S1479" s="6">
        <f t="shared" si="118"/>
        <v>6.6666666666666818E-2</v>
      </c>
      <c r="T1479" s="6">
        <f t="shared" si="119"/>
        <v>-2.6553672316384117E-2</v>
      </c>
    </row>
    <row r="1480" spans="1:20" hidden="1" x14ac:dyDescent="0.25">
      <c r="A1480" s="4" t="s">
        <v>1403</v>
      </c>
      <c r="B1480" s="5" t="s">
        <v>16</v>
      </c>
      <c r="C1480" s="5" t="s">
        <v>1823</v>
      </c>
      <c r="D1480" s="5">
        <v>585.35</v>
      </c>
      <c r="E1480" s="5">
        <v>584.95000000000005</v>
      </c>
      <c r="F1480" s="5">
        <v>633</v>
      </c>
      <c r="G1480" s="5">
        <v>581.65</v>
      </c>
      <c r="H1480" s="5">
        <v>587.04999999999995</v>
      </c>
      <c r="I1480" s="5">
        <v>588.1</v>
      </c>
      <c r="J1480" s="5">
        <v>599.24</v>
      </c>
      <c r="K1480" s="5">
        <v>31723</v>
      </c>
      <c r="L1480" s="5">
        <v>190.1</v>
      </c>
      <c r="M1480" s="5">
        <v>1885</v>
      </c>
      <c r="N1480" s="5">
        <v>13999</v>
      </c>
      <c r="O1480" s="5">
        <v>44.13</v>
      </c>
      <c r="P1480" s="5">
        <f t="shared" si="115"/>
        <v>2.75</v>
      </c>
      <c r="Q1480" s="6">
        <f t="shared" si="116"/>
        <v>4.6980439053557702E-3</v>
      </c>
      <c r="R1480" s="5">
        <f t="shared" si="117"/>
        <v>51.350000000000023</v>
      </c>
      <c r="S1480" s="6">
        <f t="shared" si="118"/>
        <v>8.7725292560006871E-2</v>
      </c>
      <c r="T1480" s="6">
        <f t="shared" si="119"/>
        <v>-1.8662311010595949E-2</v>
      </c>
    </row>
    <row r="1481" spans="1:20" hidden="1" x14ac:dyDescent="0.25">
      <c r="A1481" s="4" t="s">
        <v>1404</v>
      </c>
      <c r="B1481" s="5" t="s">
        <v>16</v>
      </c>
      <c r="C1481" s="5" t="s">
        <v>1823</v>
      </c>
      <c r="D1481" s="5">
        <v>103.5</v>
      </c>
      <c r="E1481" s="5">
        <v>105</v>
      </c>
      <c r="F1481" s="5">
        <v>105.15</v>
      </c>
      <c r="G1481" s="5">
        <v>102</v>
      </c>
      <c r="H1481" s="5">
        <v>103.05</v>
      </c>
      <c r="I1481" s="5">
        <v>104.65</v>
      </c>
      <c r="J1481" s="5">
        <v>103.68</v>
      </c>
      <c r="K1481" s="5">
        <v>31792</v>
      </c>
      <c r="L1481" s="5">
        <v>32.96</v>
      </c>
      <c r="M1481" s="5">
        <v>153</v>
      </c>
      <c r="N1481" s="5">
        <v>30227</v>
      </c>
      <c r="O1481" s="5">
        <v>95.08</v>
      </c>
      <c r="P1481" s="5">
        <f t="shared" si="115"/>
        <v>1.1500000000000057</v>
      </c>
      <c r="Q1481" s="6">
        <f t="shared" si="116"/>
        <v>1.1111111111111165E-2</v>
      </c>
      <c r="R1481" s="5">
        <f t="shared" si="117"/>
        <v>3.1500000000000057</v>
      </c>
      <c r="S1481" s="6">
        <f t="shared" si="118"/>
        <v>3.0434782608695705E-2</v>
      </c>
      <c r="T1481" s="6">
        <f t="shared" si="119"/>
        <v>9.3090211132437518E-3</v>
      </c>
    </row>
    <row r="1482" spans="1:20" hidden="1" x14ac:dyDescent="0.25">
      <c r="A1482" s="4" t="s">
        <v>1405</v>
      </c>
      <c r="B1482" s="5" t="s">
        <v>39</v>
      </c>
      <c r="C1482" s="5" t="s">
        <v>1823</v>
      </c>
      <c r="D1482" s="5">
        <v>7.1</v>
      </c>
      <c r="E1482" s="5">
        <v>6.75</v>
      </c>
      <c r="F1482" s="5">
        <v>6.75</v>
      </c>
      <c r="G1482" s="5">
        <v>6.75</v>
      </c>
      <c r="H1482" s="5">
        <v>6.75</v>
      </c>
      <c r="I1482" s="5">
        <v>6.75</v>
      </c>
      <c r="J1482" s="5">
        <v>6.75</v>
      </c>
      <c r="K1482" s="5">
        <v>160</v>
      </c>
      <c r="L1482" s="5">
        <v>0.01</v>
      </c>
      <c r="M1482" s="5">
        <v>2</v>
      </c>
      <c r="N1482" s="5" t="s">
        <v>25</v>
      </c>
      <c r="O1482" s="5" t="s">
        <v>25</v>
      </c>
      <c r="P1482" s="5">
        <f t="shared" si="115"/>
        <v>-0.34999999999999964</v>
      </c>
      <c r="Q1482" s="6">
        <f t="shared" si="116"/>
        <v>-4.9295774647887279E-2</v>
      </c>
      <c r="R1482" s="5">
        <f t="shared" si="117"/>
        <v>0</v>
      </c>
      <c r="S1482" s="6">
        <f t="shared" si="118"/>
        <v>0</v>
      </c>
      <c r="T1482" s="6">
        <f t="shared" si="119"/>
        <v>0</v>
      </c>
    </row>
    <row r="1483" spans="1:20" hidden="1" x14ac:dyDescent="0.25">
      <c r="A1483" s="4" t="s">
        <v>1406</v>
      </c>
      <c r="B1483" s="5" t="s">
        <v>16</v>
      </c>
      <c r="C1483" s="5" t="s">
        <v>1823</v>
      </c>
      <c r="D1483" s="5">
        <v>708.1</v>
      </c>
      <c r="E1483" s="5">
        <v>710</v>
      </c>
      <c r="F1483" s="5">
        <v>730</v>
      </c>
      <c r="G1483" s="5">
        <v>700.05</v>
      </c>
      <c r="H1483" s="5">
        <v>728.85</v>
      </c>
      <c r="I1483" s="5">
        <v>714.2</v>
      </c>
      <c r="J1483" s="5">
        <v>713.11</v>
      </c>
      <c r="K1483" s="5">
        <v>1127</v>
      </c>
      <c r="L1483" s="5">
        <v>8.0399999999999991</v>
      </c>
      <c r="M1483" s="5">
        <v>29</v>
      </c>
      <c r="N1483" s="5">
        <v>236</v>
      </c>
      <c r="O1483" s="5">
        <v>20.94</v>
      </c>
      <c r="P1483" s="5">
        <f t="shared" si="115"/>
        <v>6.1000000000000227</v>
      </c>
      <c r="Q1483" s="6">
        <f t="shared" si="116"/>
        <v>8.6146024572800774E-3</v>
      </c>
      <c r="R1483" s="5">
        <f t="shared" si="117"/>
        <v>29.950000000000045</v>
      </c>
      <c r="S1483" s="6">
        <f t="shared" si="118"/>
        <v>4.2296285835334055E-2</v>
      </c>
      <c r="T1483" s="6">
        <f t="shared" si="119"/>
        <v>1.5275466409740309E-3</v>
      </c>
    </row>
    <row r="1484" spans="1:20" hidden="1" x14ac:dyDescent="0.25">
      <c r="A1484" s="4" t="s">
        <v>1407</v>
      </c>
      <c r="B1484" s="5" t="s">
        <v>16</v>
      </c>
      <c r="C1484" s="5" t="s">
        <v>1823</v>
      </c>
      <c r="D1484" s="5">
        <v>306.10000000000002</v>
      </c>
      <c r="E1484" s="5">
        <v>306.10000000000002</v>
      </c>
      <c r="F1484" s="5">
        <v>308.8</v>
      </c>
      <c r="G1484" s="5">
        <v>296.7</v>
      </c>
      <c r="H1484" s="5">
        <v>304</v>
      </c>
      <c r="I1484" s="5">
        <v>304.55</v>
      </c>
      <c r="J1484" s="5">
        <v>304.12</v>
      </c>
      <c r="K1484" s="5">
        <v>60773</v>
      </c>
      <c r="L1484" s="5">
        <v>184.82</v>
      </c>
      <c r="M1484" s="5">
        <v>2860</v>
      </c>
      <c r="N1484" s="5">
        <v>35489</v>
      </c>
      <c r="O1484" s="5">
        <v>58.4</v>
      </c>
      <c r="P1484" s="5">
        <f t="shared" ref="P1484:P1547" si="120">I1484-D1484</f>
        <v>-1.5500000000000114</v>
      </c>
      <c r="Q1484" s="6">
        <f t="shared" ref="Q1484:Q1547" si="121">P1484/D1484</f>
        <v>-5.0637046716759592E-3</v>
      </c>
      <c r="R1484" s="5">
        <f t="shared" ref="R1484:R1547" si="122">ABS(F1484-G1484)</f>
        <v>12.100000000000023</v>
      </c>
      <c r="S1484" s="6">
        <f t="shared" ref="S1484:S1547" si="123">R1484/D1484</f>
        <v>3.952956550147018E-2</v>
      </c>
      <c r="T1484" s="6">
        <f t="shared" ref="T1484:T1547" si="124">(I1484-J1484)/AVERAGE(E1484:G1484,I1484)</f>
        <v>1.4142992229577167E-3</v>
      </c>
    </row>
    <row r="1485" spans="1:20" hidden="1" x14ac:dyDescent="0.25">
      <c r="A1485" s="4" t="s">
        <v>1408</v>
      </c>
      <c r="B1485" s="5" t="s">
        <v>16</v>
      </c>
      <c r="C1485" s="5" t="s">
        <v>1823</v>
      </c>
      <c r="D1485" s="5">
        <v>99.64</v>
      </c>
      <c r="E1485" s="5">
        <v>100</v>
      </c>
      <c r="F1485" s="5">
        <v>101.5</v>
      </c>
      <c r="G1485" s="5">
        <v>97.97</v>
      </c>
      <c r="H1485" s="5">
        <v>97.97</v>
      </c>
      <c r="I1485" s="5">
        <v>98.01</v>
      </c>
      <c r="J1485" s="5">
        <v>98.98</v>
      </c>
      <c r="K1485" s="5">
        <v>1522</v>
      </c>
      <c r="L1485" s="5">
        <v>1.51</v>
      </c>
      <c r="M1485" s="5">
        <v>53</v>
      </c>
      <c r="N1485" s="5">
        <v>1251</v>
      </c>
      <c r="O1485" s="5">
        <v>82.19</v>
      </c>
      <c r="P1485" s="5">
        <f t="shared" si="120"/>
        <v>-1.6299999999999955</v>
      </c>
      <c r="Q1485" s="6">
        <f t="shared" si="121"/>
        <v>-1.6358892011240422E-2</v>
      </c>
      <c r="R1485" s="5">
        <f t="shared" si="122"/>
        <v>3.5300000000000011</v>
      </c>
      <c r="S1485" s="6">
        <f t="shared" si="123"/>
        <v>3.542753914090728E-2</v>
      </c>
      <c r="T1485" s="6">
        <f t="shared" si="124"/>
        <v>-9.761497433833137E-3</v>
      </c>
    </row>
    <row r="1486" spans="1:20" hidden="1" x14ac:dyDescent="0.25">
      <c r="A1486" s="4" t="s">
        <v>1409</v>
      </c>
      <c r="B1486" s="5" t="s">
        <v>16</v>
      </c>
      <c r="C1486" s="5" t="s">
        <v>1823</v>
      </c>
      <c r="D1486" s="5">
        <v>795.15</v>
      </c>
      <c r="E1486" s="5">
        <v>793.3</v>
      </c>
      <c r="F1486" s="5">
        <v>799.9</v>
      </c>
      <c r="G1486" s="5">
        <v>777.1</v>
      </c>
      <c r="H1486" s="5">
        <v>798.25</v>
      </c>
      <c r="I1486" s="5">
        <v>796.55</v>
      </c>
      <c r="J1486" s="5">
        <v>791.69</v>
      </c>
      <c r="K1486" s="5">
        <v>1031592</v>
      </c>
      <c r="L1486" s="5">
        <v>8166.96</v>
      </c>
      <c r="M1486" s="5">
        <v>62380</v>
      </c>
      <c r="N1486" s="5">
        <v>743154</v>
      </c>
      <c r="O1486" s="5">
        <v>72.040000000000006</v>
      </c>
      <c r="P1486" s="5">
        <f t="shared" si="120"/>
        <v>1.3999999999999773</v>
      </c>
      <c r="Q1486" s="6">
        <f t="shared" si="121"/>
        <v>1.760674086650289E-3</v>
      </c>
      <c r="R1486" s="5">
        <f t="shared" si="122"/>
        <v>22.799999999999955</v>
      </c>
      <c r="S1486" s="6">
        <f t="shared" si="123"/>
        <v>2.8673835125447973E-2</v>
      </c>
      <c r="T1486" s="6">
        <f t="shared" si="124"/>
        <v>6.1385919762538812E-3</v>
      </c>
    </row>
    <row r="1487" spans="1:20" x14ac:dyDescent="0.25">
      <c r="A1487" s="4" t="s">
        <v>852</v>
      </c>
      <c r="B1487" s="5" t="s">
        <v>16</v>
      </c>
      <c r="C1487" s="5" t="s">
        <v>1823</v>
      </c>
      <c r="D1487" s="5">
        <v>34.700000000000003</v>
      </c>
      <c r="E1487" s="5">
        <v>34.9</v>
      </c>
      <c r="F1487" s="5">
        <v>37.450000000000003</v>
      </c>
      <c r="G1487" s="5">
        <v>34.35</v>
      </c>
      <c r="H1487" s="5">
        <v>36</v>
      </c>
      <c r="I1487" s="5">
        <v>36.049999999999997</v>
      </c>
      <c r="J1487" s="5">
        <v>36.049999999999997</v>
      </c>
      <c r="K1487" s="5">
        <v>2012062</v>
      </c>
      <c r="L1487" s="5">
        <v>725.25</v>
      </c>
      <c r="M1487" s="5">
        <v>3968</v>
      </c>
      <c r="N1487" s="5">
        <v>1340498</v>
      </c>
      <c r="O1487" s="5">
        <v>66.62</v>
      </c>
      <c r="P1487" s="5">
        <f t="shared" si="120"/>
        <v>1.3499999999999943</v>
      </c>
      <c r="Q1487" s="6">
        <f t="shared" si="121"/>
        <v>3.8904899135446522E-2</v>
      </c>
      <c r="R1487" s="5">
        <f t="shared" si="122"/>
        <v>3.1000000000000014</v>
      </c>
      <c r="S1487" s="6">
        <f t="shared" si="123"/>
        <v>8.9337175792507245E-2</v>
      </c>
      <c r="T1487" s="6">
        <f t="shared" si="124"/>
        <v>0</v>
      </c>
    </row>
    <row r="1488" spans="1:20" hidden="1" x14ac:dyDescent="0.25">
      <c r="A1488" s="4" t="s">
        <v>1410</v>
      </c>
      <c r="B1488" s="5" t="s">
        <v>480</v>
      </c>
      <c r="C1488" s="5" t="s">
        <v>1823</v>
      </c>
      <c r="D1488" s="5">
        <v>11282.58</v>
      </c>
      <c r="E1488" s="5">
        <v>11252</v>
      </c>
      <c r="F1488" s="5">
        <v>11303.88</v>
      </c>
      <c r="G1488" s="5">
        <v>11231</v>
      </c>
      <c r="H1488" s="5">
        <v>11303.88</v>
      </c>
      <c r="I1488" s="5">
        <v>11300.34</v>
      </c>
      <c r="J1488" s="5">
        <v>11277.13</v>
      </c>
      <c r="K1488" s="5">
        <v>22</v>
      </c>
      <c r="L1488" s="5">
        <v>2.48</v>
      </c>
      <c r="M1488" s="5">
        <v>10</v>
      </c>
      <c r="N1488" s="5">
        <v>21</v>
      </c>
      <c r="O1488" s="5">
        <v>95.45</v>
      </c>
      <c r="P1488" s="5">
        <f t="shared" si="120"/>
        <v>17.760000000000218</v>
      </c>
      <c r="Q1488" s="6">
        <f t="shared" si="121"/>
        <v>1.5741080497545968E-3</v>
      </c>
      <c r="R1488" s="5">
        <f t="shared" si="122"/>
        <v>72.8799999999992</v>
      </c>
      <c r="S1488" s="6">
        <f t="shared" si="123"/>
        <v>6.4595154654342535E-3</v>
      </c>
      <c r="T1488" s="6">
        <f t="shared" si="124"/>
        <v>2.0591200788162094E-3</v>
      </c>
    </row>
    <row r="1489" spans="1:20" hidden="1" x14ac:dyDescent="0.25">
      <c r="A1489" s="4" t="s">
        <v>1410</v>
      </c>
      <c r="B1489" s="5" t="s">
        <v>439</v>
      </c>
      <c r="C1489" s="5" t="s">
        <v>1823</v>
      </c>
      <c r="D1489" s="5">
        <v>11346.27</v>
      </c>
      <c r="E1489" s="5">
        <v>11389</v>
      </c>
      <c r="F1489" s="5">
        <v>11390</v>
      </c>
      <c r="G1489" s="5">
        <v>11347</v>
      </c>
      <c r="H1489" s="5">
        <v>11347</v>
      </c>
      <c r="I1489" s="5">
        <v>11354.43</v>
      </c>
      <c r="J1489" s="5">
        <v>11369.06</v>
      </c>
      <c r="K1489" s="5">
        <v>459</v>
      </c>
      <c r="L1489" s="5">
        <v>52.18</v>
      </c>
      <c r="M1489" s="5">
        <v>72</v>
      </c>
      <c r="N1489" s="5">
        <v>386</v>
      </c>
      <c r="O1489" s="5">
        <v>84.1</v>
      </c>
      <c r="P1489" s="5">
        <f t="shared" si="120"/>
        <v>8.1599999999998545</v>
      </c>
      <c r="Q1489" s="6">
        <f t="shared" si="121"/>
        <v>7.191790782345083E-4</v>
      </c>
      <c r="R1489" s="5">
        <f t="shared" si="122"/>
        <v>43</v>
      </c>
      <c r="S1489" s="6">
        <f t="shared" si="123"/>
        <v>3.7897917112848538E-3</v>
      </c>
      <c r="T1489" s="6">
        <f t="shared" si="124"/>
        <v>-1.2867072716770003E-3</v>
      </c>
    </row>
    <row r="1490" spans="1:20" hidden="1" x14ac:dyDescent="0.25">
      <c r="A1490" s="4" t="s">
        <v>1411</v>
      </c>
      <c r="B1490" s="5" t="s">
        <v>16</v>
      </c>
      <c r="C1490" s="5" t="s">
        <v>1823</v>
      </c>
      <c r="D1490" s="5">
        <v>0.5</v>
      </c>
      <c r="E1490" s="5">
        <v>0.55000000000000004</v>
      </c>
      <c r="F1490" s="5">
        <v>0.55000000000000004</v>
      </c>
      <c r="G1490" s="5">
        <v>0.45</v>
      </c>
      <c r="H1490" s="5">
        <v>0.45</v>
      </c>
      <c r="I1490" s="5">
        <v>0.45</v>
      </c>
      <c r="J1490" s="5">
        <v>0.54</v>
      </c>
      <c r="K1490" s="5">
        <v>16999</v>
      </c>
      <c r="L1490" s="5">
        <v>0.09</v>
      </c>
      <c r="M1490" s="5">
        <v>10</v>
      </c>
      <c r="N1490" s="5">
        <v>15199</v>
      </c>
      <c r="O1490" s="5">
        <v>89.41</v>
      </c>
      <c r="P1490" s="5">
        <f t="shared" si="120"/>
        <v>-4.9999999999999989E-2</v>
      </c>
      <c r="Q1490" s="6">
        <f t="shared" si="121"/>
        <v>-9.9999999999999978E-2</v>
      </c>
      <c r="R1490" s="5">
        <f t="shared" si="122"/>
        <v>0.10000000000000003</v>
      </c>
      <c r="S1490" s="6">
        <f t="shared" si="123"/>
        <v>0.20000000000000007</v>
      </c>
      <c r="T1490" s="6">
        <f t="shared" si="124"/>
        <v>-0.18000000000000005</v>
      </c>
    </row>
    <row r="1491" spans="1:20" hidden="1" x14ac:dyDescent="0.25">
      <c r="A1491" s="4" t="s">
        <v>1412</v>
      </c>
      <c r="B1491" s="5" t="s">
        <v>16</v>
      </c>
      <c r="C1491" s="5" t="s">
        <v>1823</v>
      </c>
      <c r="D1491" s="5">
        <v>4188.45</v>
      </c>
      <c r="E1491" s="5">
        <v>4188.45</v>
      </c>
      <c r="F1491" s="5">
        <v>4190</v>
      </c>
      <c r="G1491" s="5">
        <v>4019.6</v>
      </c>
      <c r="H1491" s="5">
        <v>4185</v>
      </c>
      <c r="I1491" s="5">
        <v>4167.3500000000004</v>
      </c>
      <c r="J1491" s="5">
        <v>4100.4799999999996</v>
      </c>
      <c r="K1491" s="5">
        <v>23648</v>
      </c>
      <c r="L1491" s="5">
        <v>969.68</v>
      </c>
      <c r="M1491" s="5">
        <v>3751</v>
      </c>
      <c r="N1491" s="5">
        <v>18152</v>
      </c>
      <c r="O1491" s="5">
        <v>76.760000000000005</v>
      </c>
      <c r="P1491" s="5">
        <f t="shared" si="120"/>
        <v>-21.099999999999454</v>
      </c>
      <c r="Q1491" s="6">
        <f t="shared" si="121"/>
        <v>-5.0376630973270435E-3</v>
      </c>
      <c r="R1491" s="5">
        <f t="shared" si="122"/>
        <v>170.40000000000009</v>
      </c>
      <c r="S1491" s="6">
        <f t="shared" si="123"/>
        <v>4.0683307667514261E-2</v>
      </c>
      <c r="T1491" s="6">
        <f t="shared" si="124"/>
        <v>1.6146908616755596E-2</v>
      </c>
    </row>
    <row r="1492" spans="1:20" hidden="1" x14ac:dyDescent="0.25">
      <c r="A1492" s="4" t="s">
        <v>1413</v>
      </c>
      <c r="B1492" s="5" t="s">
        <v>16</v>
      </c>
      <c r="C1492" s="5" t="s">
        <v>1823</v>
      </c>
      <c r="D1492" s="5">
        <v>65.099999999999994</v>
      </c>
      <c r="E1492" s="5">
        <v>65.25</v>
      </c>
      <c r="F1492" s="5">
        <v>67</v>
      </c>
      <c r="G1492" s="5">
        <v>64</v>
      </c>
      <c r="H1492" s="5">
        <v>65.5</v>
      </c>
      <c r="I1492" s="5">
        <v>64.349999999999994</v>
      </c>
      <c r="J1492" s="5">
        <v>65.44</v>
      </c>
      <c r="K1492" s="5">
        <v>17935</v>
      </c>
      <c r="L1492" s="5">
        <v>11.74</v>
      </c>
      <c r="M1492" s="5">
        <v>452</v>
      </c>
      <c r="N1492" s="5">
        <v>12983</v>
      </c>
      <c r="O1492" s="5">
        <v>72.39</v>
      </c>
      <c r="P1492" s="5">
        <f t="shared" si="120"/>
        <v>-0.75</v>
      </c>
      <c r="Q1492" s="6">
        <f t="shared" si="121"/>
        <v>-1.1520737327188941E-2</v>
      </c>
      <c r="R1492" s="5">
        <f t="shared" si="122"/>
        <v>3</v>
      </c>
      <c r="S1492" s="6">
        <f t="shared" si="123"/>
        <v>4.6082949308755762E-2</v>
      </c>
      <c r="T1492" s="6">
        <f t="shared" si="124"/>
        <v>-1.6730621642363826E-2</v>
      </c>
    </row>
    <row r="1493" spans="1:20" x14ac:dyDescent="0.25">
      <c r="A1493" s="4" t="s">
        <v>1014</v>
      </c>
      <c r="B1493" s="5" t="s">
        <v>16</v>
      </c>
      <c r="C1493" s="5" t="s">
        <v>1823</v>
      </c>
      <c r="D1493" s="5">
        <v>21.6</v>
      </c>
      <c r="E1493" s="5">
        <v>21.75</v>
      </c>
      <c r="F1493" s="5">
        <v>22.1</v>
      </c>
      <c r="G1493" s="5">
        <v>21.2</v>
      </c>
      <c r="H1493" s="5">
        <v>21.9</v>
      </c>
      <c r="I1493" s="5">
        <v>21.75</v>
      </c>
      <c r="J1493" s="5">
        <v>21.62</v>
      </c>
      <c r="K1493" s="5">
        <v>160690</v>
      </c>
      <c r="L1493" s="5">
        <v>34.75</v>
      </c>
      <c r="M1493" s="5">
        <v>689</v>
      </c>
      <c r="N1493" s="5">
        <v>107117</v>
      </c>
      <c r="O1493" s="5">
        <v>66.66</v>
      </c>
      <c r="P1493" s="5">
        <f t="shared" si="120"/>
        <v>0.14999999999999858</v>
      </c>
      <c r="Q1493" s="6">
        <f t="shared" si="121"/>
        <v>6.9444444444443781E-3</v>
      </c>
      <c r="R1493" s="5">
        <f t="shared" si="122"/>
        <v>0.90000000000000213</v>
      </c>
      <c r="S1493" s="6">
        <f t="shared" si="123"/>
        <v>4.1666666666666761E-2</v>
      </c>
      <c r="T1493" s="6">
        <f t="shared" si="124"/>
        <v>5.9907834101382033E-3</v>
      </c>
    </row>
    <row r="1494" spans="1:20" x14ac:dyDescent="0.25">
      <c r="A1494" s="4" t="s">
        <v>1652</v>
      </c>
      <c r="B1494" s="5" t="s">
        <v>16</v>
      </c>
      <c r="C1494" s="5" t="s">
        <v>1823</v>
      </c>
      <c r="D1494" s="5">
        <v>1140.1500000000001</v>
      </c>
      <c r="E1494" s="5">
        <v>1149</v>
      </c>
      <c r="F1494" s="5">
        <v>1160</v>
      </c>
      <c r="G1494" s="5">
        <v>1114</v>
      </c>
      <c r="H1494" s="5">
        <v>1133.5</v>
      </c>
      <c r="I1494" s="5">
        <v>1133.1500000000001</v>
      </c>
      <c r="J1494" s="5">
        <v>1139.3</v>
      </c>
      <c r="K1494" s="5">
        <v>105686</v>
      </c>
      <c r="L1494" s="5">
        <v>1204.08</v>
      </c>
      <c r="M1494" s="5">
        <v>3341</v>
      </c>
      <c r="N1494" s="5">
        <v>70499</v>
      </c>
      <c r="O1494" s="5">
        <v>66.709999999999994</v>
      </c>
      <c r="P1494" s="5">
        <f t="shared" si="120"/>
        <v>-7</v>
      </c>
      <c r="Q1494" s="6">
        <f t="shared" si="121"/>
        <v>-6.1395430425821157E-3</v>
      </c>
      <c r="R1494" s="5">
        <f t="shared" si="122"/>
        <v>46</v>
      </c>
      <c r="S1494" s="6">
        <f t="shared" si="123"/>
        <v>4.034556856553962E-2</v>
      </c>
      <c r="T1494" s="6">
        <f t="shared" si="124"/>
        <v>-5.3992954577877063E-3</v>
      </c>
    </row>
    <row r="1495" spans="1:20" hidden="1" x14ac:dyDescent="0.25">
      <c r="A1495" s="4" t="s">
        <v>1416</v>
      </c>
      <c r="B1495" s="5" t="s">
        <v>39</v>
      </c>
      <c r="C1495" s="5" t="s">
        <v>1823</v>
      </c>
      <c r="D1495" s="5">
        <v>123.75</v>
      </c>
      <c r="E1495" s="5">
        <v>123.55</v>
      </c>
      <c r="F1495" s="5">
        <v>125</v>
      </c>
      <c r="G1495" s="5">
        <v>120</v>
      </c>
      <c r="H1495" s="5">
        <v>122</v>
      </c>
      <c r="I1495" s="5">
        <v>122.1</v>
      </c>
      <c r="J1495" s="5">
        <v>122.65</v>
      </c>
      <c r="K1495" s="5">
        <v>7900</v>
      </c>
      <c r="L1495" s="5">
        <v>9.69</v>
      </c>
      <c r="M1495" s="5">
        <v>177</v>
      </c>
      <c r="N1495" s="5" t="s">
        <v>25</v>
      </c>
      <c r="O1495" s="5" t="s">
        <v>25</v>
      </c>
      <c r="P1495" s="5">
        <f t="shared" si="120"/>
        <v>-1.6500000000000057</v>
      </c>
      <c r="Q1495" s="6">
        <f t="shared" si="121"/>
        <v>-1.3333333333333379E-2</v>
      </c>
      <c r="R1495" s="5">
        <f t="shared" si="122"/>
        <v>5</v>
      </c>
      <c r="S1495" s="6">
        <f t="shared" si="123"/>
        <v>4.0404040404040407E-2</v>
      </c>
      <c r="T1495" s="6">
        <f t="shared" si="124"/>
        <v>-4.4838479567921039E-3</v>
      </c>
    </row>
    <row r="1496" spans="1:20" hidden="1" x14ac:dyDescent="0.25">
      <c r="A1496" s="4" t="s">
        <v>1417</v>
      </c>
      <c r="B1496" s="5" t="s">
        <v>16</v>
      </c>
      <c r="C1496" s="5" t="s">
        <v>1823</v>
      </c>
      <c r="D1496" s="5">
        <v>371.4</v>
      </c>
      <c r="E1496" s="5">
        <v>368.05</v>
      </c>
      <c r="F1496" s="5">
        <v>389.65</v>
      </c>
      <c r="G1496" s="5">
        <v>356.3</v>
      </c>
      <c r="H1496" s="5">
        <v>366</v>
      </c>
      <c r="I1496" s="5">
        <v>369.95</v>
      </c>
      <c r="J1496" s="5">
        <v>369.55</v>
      </c>
      <c r="K1496" s="5">
        <v>66005</v>
      </c>
      <c r="L1496" s="5">
        <v>243.92</v>
      </c>
      <c r="M1496" s="5">
        <v>136</v>
      </c>
      <c r="N1496" s="5">
        <v>65234</v>
      </c>
      <c r="O1496" s="5">
        <v>98.83</v>
      </c>
      <c r="P1496" s="5">
        <f t="shared" si="120"/>
        <v>-1.4499999999999886</v>
      </c>
      <c r="Q1496" s="6">
        <f t="shared" si="121"/>
        <v>-3.9041464728055701E-3</v>
      </c>
      <c r="R1496" s="5">
        <f t="shared" si="122"/>
        <v>33.349999999999966</v>
      </c>
      <c r="S1496" s="6">
        <f t="shared" si="123"/>
        <v>8.9795368874528728E-2</v>
      </c>
      <c r="T1496" s="6">
        <f t="shared" si="124"/>
        <v>1.0782034435121864E-3</v>
      </c>
    </row>
    <row r="1497" spans="1:20" hidden="1" x14ac:dyDescent="0.25">
      <c r="A1497" s="4" t="s">
        <v>1418</v>
      </c>
      <c r="B1497" s="5" t="s">
        <v>1419</v>
      </c>
      <c r="C1497" s="5" t="s">
        <v>1823</v>
      </c>
      <c r="D1497" s="5">
        <v>39.450000000000003</v>
      </c>
      <c r="E1497" s="5">
        <v>39.6</v>
      </c>
      <c r="F1497" s="5">
        <v>39.6</v>
      </c>
      <c r="G1497" s="5">
        <v>39.6</v>
      </c>
      <c r="H1497" s="5">
        <v>39.6</v>
      </c>
      <c r="I1497" s="5">
        <v>39.6</v>
      </c>
      <c r="J1497" s="5">
        <v>39.6</v>
      </c>
      <c r="K1497" s="5">
        <v>24000</v>
      </c>
      <c r="L1497" s="5">
        <v>9.5</v>
      </c>
      <c r="M1497" s="5">
        <v>5</v>
      </c>
      <c r="N1497" s="5">
        <v>24000</v>
      </c>
      <c r="O1497" s="5">
        <v>100</v>
      </c>
      <c r="P1497" s="5">
        <f t="shared" si="120"/>
        <v>0.14999999999999858</v>
      </c>
      <c r="Q1497" s="6">
        <f t="shared" si="121"/>
        <v>3.8022813688212563E-3</v>
      </c>
      <c r="R1497" s="5">
        <f t="shared" si="122"/>
        <v>0</v>
      </c>
      <c r="S1497" s="6">
        <f t="shared" si="123"/>
        <v>0</v>
      </c>
      <c r="T1497" s="6">
        <f t="shared" si="124"/>
        <v>0</v>
      </c>
    </row>
    <row r="1498" spans="1:20" hidden="1" x14ac:dyDescent="0.25">
      <c r="A1498" s="4" t="s">
        <v>1420</v>
      </c>
      <c r="B1498" s="5" t="s">
        <v>28</v>
      </c>
      <c r="C1498" s="5" t="s">
        <v>1823</v>
      </c>
      <c r="D1498" s="5">
        <v>58</v>
      </c>
      <c r="E1498" s="5">
        <v>55.15</v>
      </c>
      <c r="F1498" s="5">
        <v>55.15</v>
      </c>
      <c r="G1498" s="5">
        <v>55.15</v>
      </c>
      <c r="H1498" s="5">
        <v>55.15</v>
      </c>
      <c r="I1498" s="5">
        <v>55.15</v>
      </c>
      <c r="J1498" s="5">
        <v>55.15</v>
      </c>
      <c r="K1498" s="5">
        <v>600</v>
      </c>
      <c r="L1498" s="5">
        <v>0.33</v>
      </c>
      <c r="M1498" s="5">
        <v>1</v>
      </c>
      <c r="N1498" s="5">
        <v>600</v>
      </c>
      <c r="O1498" s="5">
        <v>100</v>
      </c>
      <c r="P1498" s="5">
        <f t="shared" si="120"/>
        <v>-2.8500000000000014</v>
      </c>
      <c r="Q1498" s="6">
        <f t="shared" si="121"/>
        <v>-4.913793103448278E-2</v>
      </c>
      <c r="R1498" s="5">
        <f t="shared" si="122"/>
        <v>0</v>
      </c>
      <c r="S1498" s="6">
        <f t="shared" si="123"/>
        <v>0</v>
      </c>
      <c r="T1498" s="6">
        <f t="shared" si="124"/>
        <v>0</v>
      </c>
    </row>
    <row r="1499" spans="1:20" hidden="1" x14ac:dyDescent="0.25">
      <c r="A1499" s="4" t="s">
        <v>1421</v>
      </c>
      <c r="B1499" s="5" t="s">
        <v>16</v>
      </c>
      <c r="C1499" s="5" t="s">
        <v>1823</v>
      </c>
      <c r="D1499" s="5">
        <v>141.80000000000001</v>
      </c>
      <c r="E1499" s="5">
        <v>141.80000000000001</v>
      </c>
      <c r="F1499" s="5">
        <v>142.15</v>
      </c>
      <c r="G1499" s="5">
        <v>140.6</v>
      </c>
      <c r="H1499" s="5">
        <v>141.94999999999999</v>
      </c>
      <c r="I1499" s="5">
        <v>141.85</v>
      </c>
      <c r="J1499" s="5">
        <v>141.44999999999999</v>
      </c>
      <c r="K1499" s="5">
        <v>33138</v>
      </c>
      <c r="L1499" s="5">
        <v>46.87</v>
      </c>
      <c r="M1499" s="5">
        <v>235</v>
      </c>
      <c r="N1499" s="5">
        <v>28395</v>
      </c>
      <c r="O1499" s="5">
        <v>85.69</v>
      </c>
      <c r="P1499" s="5">
        <f t="shared" si="120"/>
        <v>4.9999999999982947E-2</v>
      </c>
      <c r="Q1499" s="6">
        <f t="shared" si="121"/>
        <v>3.5260930888563429E-4</v>
      </c>
      <c r="R1499" s="5">
        <f t="shared" si="122"/>
        <v>1.5500000000000114</v>
      </c>
      <c r="S1499" s="6">
        <f t="shared" si="123"/>
        <v>1.0930888575458472E-2</v>
      </c>
      <c r="T1499" s="6">
        <f t="shared" si="124"/>
        <v>2.8248587570621868E-3</v>
      </c>
    </row>
    <row r="1500" spans="1:20" hidden="1" x14ac:dyDescent="0.25">
      <c r="A1500" s="4" t="s">
        <v>1422</v>
      </c>
      <c r="B1500" s="5" t="s">
        <v>16</v>
      </c>
      <c r="C1500" s="5" t="s">
        <v>1823</v>
      </c>
      <c r="D1500" s="5">
        <v>0.65</v>
      </c>
      <c r="E1500" s="5">
        <v>0.7</v>
      </c>
      <c r="F1500" s="5">
        <v>0.7</v>
      </c>
      <c r="G1500" s="5">
        <v>0.6</v>
      </c>
      <c r="H1500" s="5">
        <v>0.65</v>
      </c>
      <c r="I1500" s="5">
        <v>0.6</v>
      </c>
      <c r="J1500" s="5">
        <v>0.63</v>
      </c>
      <c r="K1500" s="5">
        <v>50394</v>
      </c>
      <c r="L1500" s="5">
        <v>0.32</v>
      </c>
      <c r="M1500" s="5">
        <v>33</v>
      </c>
      <c r="N1500" s="5">
        <v>38520</v>
      </c>
      <c r="O1500" s="5">
        <v>76.44</v>
      </c>
      <c r="P1500" s="5">
        <f t="shared" si="120"/>
        <v>-5.0000000000000044E-2</v>
      </c>
      <c r="Q1500" s="6">
        <f t="shared" si="121"/>
        <v>-7.6923076923076983E-2</v>
      </c>
      <c r="R1500" s="5">
        <f t="shared" si="122"/>
        <v>9.9999999999999978E-2</v>
      </c>
      <c r="S1500" s="6">
        <f t="shared" si="123"/>
        <v>0.1538461538461538</v>
      </c>
      <c r="T1500" s="6">
        <f t="shared" si="124"/>
        <v>-4.6153846153846191E-2</v>
      </c>
    </row>
    <row r="1501" spans="1:20" x14ac:dyDescent="0.25">
      <c r="A1501" s="4" t="s">
        <v>1053</v>
      </c>
      <c r="B1501" s="5" t="s">
        <v>16</v>
      </c>
      <c r="C1501" s="5" t="s">
        <v>1823</v>
      </c>
      <c r="D1501" s="5">
        <v>89.15</v>
      </c>
      <c r="E1501" s="5">
        <v>89.15</v>
      </c>
      <c r="F1501" s="5">
        <v>90</v>
      </c>
      <c r="G1501" s="5">
        <v>86.1</v>
      </c>
      <c r="H1501" s="5">
        <v>88.05</v>
      </c>
      <c r="I1501" s="5">
        <v>88.1</v>
      </c>
      <c r="J1501" s="5">
        <v>87.77</v>
      </c>
      <c r="K1501" s="5">
        <v>132190</v>
      </c>
      <c r="L1501" s="5">
        <v>116.02</v>
      </c>
      <c r="M1501" s="5">
        <v>5955</v>
      </c>
      <c r="N1501" s="5">
        <v>88743</v>
      </c>
      <c r="O1501" s="5">
        <v>67.13</v>
      </c>
      <c r="P1501" s="5">
        <f t="shared" si="120"/>
        <v>-1.0500000000000114</v>
      </c>
      <c r="Q1501" s="6">
        <f t="shared" si="121"/>
        <v>-1.1777902411665859E-2</v>
      </c>
      <c r="R1501" s="5">
        <f t="shared" si="122"/>
        <v>3.9000000000000057</v>
      </c>
      <c r="S1501" s="6">
        <f t="shared" si="123"/>
        <v>4.3746494671901351E-2</v>
      </c>
      <c r="T1501" s="6">
        <f t="shared" si="124"/>
        <v>3.7356728456204701E-3</v>
      </c>
    </row>
    <row r="1502" spans="1:20" hidden="1" x14ac:dyDescent="0.25">
      <c r="A1502" s="4" t="s">
        <v>1424</v>
      </c>
      <c r="B1502" s="5" t="s">
        <v>16</v>
      </c>
      <c r="C1502" s="5" t="s">
        <v>1823</v>
      </c>
      <c r="D1502" s="5">
        <v>205.15</v>
      </c>
      <c r="E1502" s="5">
        <v>208.1</v>
      </c>
      <c r="F1502" s="5">
        <v>209.9</v>
      </c>
      <c r="G1502" s="5">
        <v>200</v>
      </c>
      <c r="H1502" s="5">
        <v>204</v>
      </c>
      <c r="I1502" s="5">
        <v>202.45</v>
      </c>
      <c r="J1502" s="5">
        <v>205.14</v>
      </c>
      <c r="K1502" s="5">
        <v>43077</v>
      </c>
      <c r="L1502" s="5">
        <v>88.37</v>
      </c>
      <c r="M1502" s="5">
        <v>1669</v>
      </c>
      <c r="N1502" s="5">
        <v>20908</v>
      </c>
      <c r="O1502" s="5">
        <v>48.54</v>
      </c>
      <c r="P1502" s="5">
        <f t="shared" si="120"/>
        <v>-2.7000000000000171</v>
      </c>
      <c r="Q1502" s="6">
        <f t="shared" si="121"/>
        <v>-1.3161101632951581E-2</v>
      </c>
      <c r="R1502" s="5">
        <f t="shared" si="122"/>
        <v>9.9000000000000057</v>
      </c>
      <c r="S1502" s="6">
        <f t="shared" si="123"/>
        <v>4.8257372654155521E-2</v>
      </c>
      <c r="T1502" s="6">
        <f t="shared" si="124"/>
        <v>-1.3114754098360644E-2</v>
      </c>
    </row>
    <row r="1503" spans="1:20" hidden="1" x14ac:dyDescent="0.25">
      <c r="A1503" s="4" t="s">
        <v>1425</v>
      </c>
      <c r="B1503" s="5" t="s">
        <v>16</v>
      </c>
      <c r="C1503" s="5" t="s">
        <v>1823</v>
      </c>
      <c r="D1503" s="5">
        <v>17.55</v>
      </c>
      <c r="E1503" s="5">
        <v>17.600000000000001</v>
      </c>
      <c r="F1503" s="5">
        <v>17.649999999999999</v>
      </c>
      <c r="G1503" s="5">
        <v>16.8</v>
      </c>
      <c r="H1503" s="5">
        <v>16.95</v>
      </c>
      <c r="I1503" s="5">
        <v>16.95</v>
      </c>
      <c r="J1503" s="5">
        <v>17.149999999999999</v>
      </c>
      <c r="K1503" s="5">
        <v>75435</v>
      </c>
      <c r="L1503" s="5">
        <v>12.94</v>
      </c>
      <c r="M1503" s="5">
        <v>327</v>
      </c>
      <c r="N1503" s="5">
        <v>67838</v>
      </c>
      <c r="O1503" s="5">
        <v>89.93</v>
      </c>
      <c r="P1503" s="5">
        <f t="shared" si="120"/>
        <v>-0.60000000000000142</v>
      </c>
      <c r="Q1503" s="6">
        <f t="shared" si="121"/>
        <v>-3.4188034188034268E-2</v>
      </c>
      <c r="R1503" s="5">
        <f t="shared" si="122"/>
        <v>0.84999999999999787</v>
      </c>
      <c r="S1503" s="6">
        <f t="shared" si="123"/>
        <v>4.8433048433048312E-2</v>
      </c>
      <c r="T1503" s="6">
        <f t="shared" si="124"/>
        <v>-1.1594202898550683E-2</v>
      </c>
    </row>
    <row r="1504" spans="1:20" hidden="1" x14ac:dyDescent="0.25">
      <c r="A1504" s="4" t="s">
        <v>1426</v>
      </c>
      <c r="B1504" s="5" t="s">
        <v>16</v>
      </c>
      <c r="C1504" s="5" t="s">
        <v>1823</v>
      </c>
      <c r="D1504" s="5">
        <v>181</v>
      </c>
      <c r="E1504" s="5">
        <v>179</v>
      </c>
      <c r="F1504" s="5">
        <v>179</v>
      </c>
      <c r="G1504" s="5">
        <v>179</v>
      </c>
      <c r="H1504" s="5">
        <v>179</v>
      </c>
      <c r="I1504" s="5">
        <v>179</v>
      </c>
      <c r="J1504" s="5">
        <v>179</v>
      </c>
      <c r="K1504" s="5">
        <v>101</v>
      </c>
      <c r="L1504" s="5">
        <v>0.18</v>
      </c>
      <c r="M1504" s="5">
        <v>2</v>
      </c>
      <c r="N1504" s="5">
        <v>101</v>
      </c>
      <c r="O1504" s="5">
        <v>100</v>
      </c>
      <c r="P1504" s="5">
        <f t="shared" si="120"/>
        <v>-2</v>
      </c>
      <c r="Q1504" s="6">
        <f t="shared" si="121"/>
        <v>-1.1049723756906077E-2</v>
      </c>
      <c r="R1504" s="5">
        <f t="shared" si="122"/>
        <v>0</v>
      </c>
      <c r="S1504" s="6">
        <f t="shared" si="123"/>
        <v>0</v>
      </c>
      <c r="T1504" s="6">
        <f t="shared" si="124"/>
        <v>0</v>
      </c>
    </row>
    <row r="1505" spans="1:20" hidden="1" x14ac:dyDescent="0.25">
      <c r="A1505" s="4" t="s">
        <v>1427</v>
      </c>
      <c r="B1505" s="5" t="s">
        <v>16</v>
      </c>
      <c r="C1505" s="5" t="s">
        <v>1823</v>
      </c>
      <c r="D1505" s="5">
        <v>3387.1</v>
      </c>
      <c r="E1505" s="5">
        <v>3395.55</v>
      </c>
      <c r="F1505" s="5">
        <v>3440</v>
      </c>
      <c r="G1505" s="5">
        <v>3390.05</v>
      </c>
      <c r="H1505" s="5">
        <v>3402.9</v>
      </c>
      <c r="I1505" s="5">
        <v>3400.4</v>
      </c>
      <c r="J1505" s="5">
        <v>3399.96</v>
      </c>
      <c r="K1505" s="5">
        <v>3845</v>
      </c>
      <c r="L1505" s="5">
        <v>130.72999999999999</v>
      </c>
      <c r="M1505" s="5">
        <v>304</v>
      </c>
      <c r="N1505" s="5">
        <v>3213</v>
      </c>
      <c r="O1505" s="5">
        <v>83.56</v>
      </c>
      <c r="P1505" s="5">
        <f t="shared" si="120"/>
        <v>13.300000000000182</v>
      </c>
      <c r="Q1505" s="6">
        <f t="shared" si="121"/>
        <v>3.9266629269877427E-3</v>
      </c>
      <c r="R1505" s="5">
        <f t="shared" si="122"/>
        <v>49.949999999999818</v>
      </c>
      <c r="S1505" s="6">
        <f t="shared" si="123"/>
        <v>1.4747128812258221E-2</v>
      </c>
      <c r="T1505" s="6">
        <f t="shared" si="124"/>
        <v>1.2916483193895628E-4</v>
      </c>
    </row>
    <row r="1506" spans="1:20" hidden="1" x14ac:dyDescent="0.25">
      <c r="A1506" s="4" t="s">
        <v>1428</v>
      </c>
      <c r="B1506" s="5" t="s">
        <v>16</v>
      </c>
      <c r="C1506" s="5" t="s">
        <v>1823</v>
      </c>
      <c r="D1506" s="5">
        <v>119.58</v>
      </c>
      <c r="E1506" s="5">
        <v>119.58</v>
      </c>
      <c r="F1506" s="5">
        <v>119.58</v>
      </c>
      <c r="G1506" s="5">
        <v>117.3</v>
      </c>
      <c r="H1506" s="5">
        <v>117.49</v>
      </c>
      <c r="I1506" s="5">
        <v>117.44</v>
      </c>
      <c r="J1506" s="5">
        <v>117.79</v>
      </c>
      <c r="K1506" s="5">
        <v>306262</v>
      </c>
      <c r="L1506" s="5">
        <v>360.75</v>
      </c>
      <c r="M1506" s="5">
        <v>812</v>
      </c>
      <c r="N1506" s="5">
        <v>223721</v>
      </c>
      <c r="O1506" s="5">
        <v>73.05</v>
      </c>
      <c r="P1506" s="5">
        <f t="shared" si="120"/>
        <v>-2.1400000000000006</v>
      </c>
      <c r="Q1506" s="6">
        <f t="shared" si="121"/>
        <v>-1.7895969225623018E-2</v>
      </c>
      <c r="R1506" s="5">
        <f t="shared" si="122"/>
        <v>2.2800000000000011</v>
      </c>
      <c r="S1506" s="6">
        <f t="shared" si="123"/>
        <v>1.9066733567486213E-2</v>
      </c>
      <c r="T1506" s="6">
        <f t="shared" si="124"/>
        <v>-2.9542097488922435E-3</v>
      </c>
    </row>
    <row r="1507" spans="1:20" x14ac:dyDescent="0.25">
      <c r="A1507" s="4" t="s">
        <v>1058</v>
      </c>
      <c r="B1507" s="5" t="s">
        <v>16</v>
      </c>
      <c r="C1507" s="5" t="s">
        <v>1823</v>
      </c>
      <c r="D1507" s="5">
        <v>58.25</v>
      </c>
      <c r="E1507" s="5">
        <v>58.5</v>
      </c>
      <c r="F1507" s="5">
        <v>58.5</v>
      </c>
      <c r="G1507" s="5">
        <v>56.5</v>
      </c>
      <c r="H1507" s="5">
        <v>57</v>
      </c>
      <c r="I1507" s="5">
        <v>57</v>
      </c>
      <c r="J1507" s="5">
        <v>57.18</v>
      </c>
      <c r="K1507" s="5">
        <v>120691</v>
      </c>
      <c r="L1507" s="5">
        <v>69.010000000000005</v>
      </c>
      <c r="M1507" s="5">
        <v>952</v>
      </c>
      <c r="N1507" s="5">
        <v>81205</v>
      </c>
      <c r="O1507" s="5">
        <v>67.28</v>
      </c>
      <c r="P1507" s="5">
        <f t="shared" si="120"/>
        <v>-1.25</v>
      </c>
      <c r="Q1507" s="6">
        <f t="shared" si="121"/>
        <v>-2.1459227467811159E-2</v>
      </c>
      <c r="R1507" s="5">
        <f t="shared" si="122"/>
        <v>2</v>
      </c>
      <c r="S1507" s="6">
        <f t="shared" si="123"/>
        <v>3.4334763948497854E-2</v>
      </c>
      <c r="T1507" s="6">
        <f t="shared" si="124"/>
        <v>-3.123644251626893E-3</v>
      </c>
    </row>
    <row r="1508" spans="1:20" hidden="1" x14ac:dyDescent="0.25">
      <c r="A1508" s="4" t="s">
        <v>1430</v>
      </c>
      <c r="B1508" s="5" t="s">
        <v>16</v>
      </c>
      <c r="C1508" s="5" t="s">
        <v>1823</v>
      </c>
      <c r="D1508" s="5">
        <v>287.33999999999997</v>
      </c>
      <c r="E1508" s="5">
        <v>287.33999999999997</v>
      </c>
      <c r="F1508" s="5">
        <v>287.33999999999997</v>
      </c>
      <c r="G1508" s="5">
        <v>281</v>
      </c>
      <c r="H1508" s="5">
        <v>282</v>
      </c>
      <c r="I1508" s="5">
        <v>282.73</v>
      </c>
      <c r="J1508" s="5">
        <v>283.73</v>
      </c>
      <c r="K1508" s="5">
        <v>2220</v>
      </c>
      <c r="L1508" s="5">
        <v>6.3</v>
      </c>
      <c r="M1508" s="5">
        <v>115</v>
      </c>
      <c r="N1508" s="5">
        <v>1764</v>
      </c>
      <c r="O1508" s="5">
        <v>79.459999999999994</v>
      </c>
      <c r="P1508" s="5">
        <f t="shared" si="120"/>
        <v>-4.6099999999999568</v>
      </c>
      <c r="Q1508" s="6">
        <f t="shared" si="121"/>
        <v>-1.6043711282800716E-2</v>
      </c>
      <c r="R1508" s="5">
        <f t="shared" si="122"/>
        <v>6.339999999999975</v>
      </c>
      <c r="S1508" s="6">
        <f t="shared" si="123"/>
        <v>2.2064453260945138E-2</v>
      </c>
      <c r="T1508" s="6">
        <f t="shared" si="124"/>
        <v>-3.5136725784207803E-3</v>
      </c>
    </row>
    <row r="1509" spans="1:20" hidden="1" x14ac:dyDescent="0.25">
      <c r="A1509" s="4" t="s">
        <v>1431</v>
      </c>
      <c r="B1509" s="5" t="s">
        <v>39</v>
      </c>
      <c r="C1509" s="5" t="s">
        <v>1823</v>
      </c>
      <c r="D1509" s="5">
        <v>1.65</v>
      </c>
      <c r="E1509" s="5">
        <v>1.7</v>
      </c>
      <c r="F1509" s="5">
        <v>1.7</v>
      </c>
      <c r="G1509" s="5">
        <v>1.7</v>
      </c>
      <c r="H1509" s="5">
        <v>1.7</v>
      </c>
      <c r="I1509" s="5">
        <v>1.7</v>
      </c>
      <c r="J1509" s="5">
        <v>1.7</v>
      </c>
      <c r="K1509" s="5">
        <v>4830</v>
      </c>
      <c r="L1509" s="5">
        <v>0.08</v>
      </c>
      <c r="M1509" s="5">
        <v>14</v>
      </c>
      <c r="N1509" s="5" t="s">
        <v>25</v>
      </c>
      <c r="O1509" s="5" t="s">
        <v>25</v>
      </c>
      <c r="P1509" s="5">
        <f t="shared" si="120"/>
        <v>5.0000000000000044E-2</v>
      </c>
      <c r="Q1509" s="6">
        <f t="shared" si="121"/>
        <v>3.0303030303030332E-2</v>
      </c>
      <c r="R1509" s="5">
        <f t="shared" si="122"/>
        <v>0</v>
      </c>
      <c r="S1509" s="6">
        <f t="shared" si="123"/>
        <v>0</v>
      </c>
      <c r="T1509" s="6">
        <f t="shared" si="124"/>
        <v>0</v>
      </c>
    </row>
    <row r="1510" spans="1:20" hidden="1" x14ac:dyDescent="0.25">
      <c r="A1510" s="4" t="s">
        <v>1432</v>
      </c>
      <c r="B1510" s="5" t="s">
        <v>16</v>
      </c>
      <c r="C1510" s="5" t="s">
        <v>1823</v>
      </c>
      <c r="D1510" s="5">
        <v>413.95</v>
      </c>
      <c r="E1510" s="5">
        <v>416</v>
      </c>
      <c r="F1510" s="5">
        <v>419.5</v>
      </c>
      <c r="G1510" s="5">
        <v>415</v>
      </c>
      <c r="H1510" s="5">
        <v>415</v>
      </c>
      <c r="I1510" s="5">
        <v>417.1</v>
      </c>
      <c r="J1510" s="5">
        <v>417.52</v>
      </c>
      <c r="K1510" s="5">
        <v>10721</v>
      </c>
      <c r="L1510" s="5">
        <v>44.76</v>
      </c>
      <c r="M1510" s="5">
        <v>83</v>
      </c>
      <c r="N1510" s="5">
        <v>621</v>
      </c>
      <c r="O1510" s="5">
        <v>5.79</v>
      </c>
      <c r="P1510" s="5">
        <f t="shared" si="120"/>
        <v>3.1500000000000341</v>
      </c>
      <c r="Q1510" s="6">
        <f t="shared" si="121"/>
        <v>7.6096146877643054E-3</v>
      </c>
      <c r="R1510" s="5">
        <f t="shared" si="122"/>
        <v>4.5</v>
      </c>
      <c r="S1510" s="6">
        <f t="shared" si="123"/>
        <v>1.0870878125377461E-2</v>
      </c>
      <c r="T1510" s="6">
        <f t="shared" si="124"/>
        <v>-1.0074358359317801E-3</v>
      </c>
    </row>
    <row r="1511" spans="1:20" hidden="1" x14ac:dyDescent="0.25">
      <c r="A1511" s="4" t="s">
        <v>1433</v>
      </c>
      <c r="B1511" s="5" t="s">
        <v>16</v>
      </c>
      <c r="C1511" s="5" t="s">
        <v>1823</v>
      </c>
      <c r="D1511" s="5">
        <v>1296.7</v>
      </c>
      <c r="E1511" s="5">
        <v>1316.95</v>
      </c>
      <c r="F1511" s="5">
        <v>1317.45</v>
      </c>
      <c r="G1511" s="5">
        <v>1253.5999999999999</v>
      </c>
      <c r="H1511" s="5">
        <v>1300</v>
      </c>
      <c r="I1511" s="5">
        <v>1299.6500000000001</v>
      </c>
      <c r="J1511" s="5">
        <v>1297.28</v>
      </c>
      <c r="K1511" s="5">
        <v>7198</v>
      </c>
      <c r="L1511" s="5">
        <v>93.38</v>
      </c>
      <c r="M1511" s="5">
        <v>1303</v>
      </c>
      <c r="N1511" s="5">
        <v>4708</v>
      </c>
      <c r="O1511" s="5">
        <v>65.41</v>
      </c>
      <c r="P1511" s="5">
        <f t="shared" si="120"/>
        <v>2.9500000000000455</v>
      </c>
      <c r="Q1511" s="6">
        <f t="shared" si="121"/>
        <v>2.2750057839130448E-3</v>
      </c>
      <c r="R1511" s="5">
        <f t="shared" si="122"/>
        <v>63.850000000000136</v>
      </c>
      <c r="S1511" s="6">
        <f t="shared" si="123"/>
        <v>4.9240379424693559E-2</v>
      </c>
      <c r="T1511" s="6">
        <f t="shared" si="124"/>
        <v>1.8274170385435551E-3</v>
      </c>
    </row>
    <row r="1512" spans="1:20" hidden="1" x14ac:dyDescent="0.25">
      <c r="A1512" s="4" t="s">
        <v>1434</v>
      </c>
      <c r="B1512" s="5" t="s">
        <v>1435</v>
      </c>
      <c r="C1512" s="5" t="s">
        <v>1823</v>
      </c>
      <c r="D1512" s="5">
        <v>3697</v>
      </c>
      <c r="E1512" s="5">
        <v>3715</v>
      </c>
      <c r="F1512" s="5">
        <v>3750</v>
      </c>
      <c r="G1512" s="5">
        <v>3700</v>
      </c>
      <c r="H1512" s="5">
        <v>3706</v>
      </c>
      <c r="I1512" s="5">
        <v>3706</v>
      </c>
      <c r="J1512" s="5">
        <v>3736.28</v>
      </c>
      <c r="K1512" s="5">
        <v>568</v>
      </c>
      <c r="L1512" s="5">
        <v>21.22</v>
      </c>
      <c r="M1512" s="5">
        <v>24</v>
      </c>
      <c r="N1512" s="5">
        <v>543</v>
      </c>
      <c r="O1512" s="5">
        <v>95.6</v>
      </c>
      <c r="P1512" s="5">
        <f t="shared" si="120"/>
        <v>9</v>
      </c>
      <c r="Q1512" s="6">
        <f t="shared" si="121"/>
        <v>2.4344062753583989E-3</v>
      </c>
      <c r="R1512" s="5">
        <f t="shared" si="122"/>
        <v>50</v>
      </c>
      <c r="S1512" s="6">
        <f t="shared" si="123"/>
        <v>1.3524479307546659E-2</v>
      </c>
      <c r="T1512" s="6">
        <f t="shared" si="124"/>
        <v>-8.1447111828391369E-3</v>
      </c>
    </row>
    <row r="1513" spans="1:20" hidden="1" x14ac:dyDescent="0.25">
      <c r="A1513" s="4" t="s">
        <v>1436</v>
      </c>
      <c r="B1513" s="5" t="s">
        <v>1435</v>
      </c>
      <c r="C1513" s="5" t="s">
        <v>1823</v>
      </c>
      <c r="D1513" s="5">
        <v>3670</v>
      </c>
      <c r="E1513" s="5">
        <v>3690</v>
      </c>
      <c r="F1513" s="5">
        <v>3690</v>
      </c>
      <c r="G1513" s="5">
        <v>3680.05</v>
      </c>
      <c r="H1513" s="5">
        <v>3680.11</v>
      </c>
      <c r="I1513" s="5">
        <v>3680.11</v>
      </c>
      <c r="J1513" s="5">
        <v>3681.42</v>
      </c>
      <c r="K1513" s="5">
        <v>189</v>
      </c>
      <c r="L1513" s="5">
        <v>6.96</v>
      </c>
      <c r="M1513" s="5">
        <v>11</v>
      </c>
      <c r="N1513" s="5">
        <v>180</v>
      </c>
      <c r="O1513" s="5">
        <v>95.24</v>
      </c>
      <c r="P1513" s="5">
        <f t="shared" si="120"/>
        <v>10.110000000000127</v>
      </c>
      <c r="Q1513" s="6">
        <f t="shared" si="121"/>
        <v>2.7547683923706068E-3</v>
      </c>
      <c r="R1513" s="5">
        <f t="shared" si="122"/>
        <v>9.9499999999998181</v>
      </c>
      <c r="S1513" s="6">
        <f t="shared" si="123"/>
        <v>2.7111716621252909E-3</v>
      </c>
      <c r="T1513" s="6">
        <f t="shared" si="124"/>
        <v>-3.5549139222367882E-4</v>
      </c>
    </row>
    <row r="1514" spans="1:20" hidden="1" x14ac:dyDescent="0.25">
      <c r="A1514" s="4" t="s">
        <v>1852</v>
      </c>
      <c r="B1514" s="5" t="s">
        <v>1435</v>
      </c>
      <c r="C1514" s="5" t="s">
        <v>1823</v>
      </c>
      <c r="D1514" s="5">
        <v>3620</v>
      </c>
      <c r="E1514" s="5">
        <v>3645</v>
      </c>
      <c r="F1514" s="5">
        <v>3645</v>
      </c>
      <c r="G1514" s="5">
        <v>3645</v>
      </c>
      <c r="H1514" s="5">
        <v>3645</v>
      </c>
      <c r="I1514" s="5">
        <v>3645</v>
      </c>
      <c r="J1514" s="5">
        <v>3645</v>
      </c>
      <c r="K1514" s="5">
        <v>2</v>
      </c>
      <c r="L1514" s="5">
        <v>7.0000000000000007E-2</v>
      </c>
      <c r="M1514" s="5">
        <v>1</v>
      </c>
      <c r="N1514" s="5">
        <v>2</v>
      </c>
      <c r="O1514" s="5">
        <v>100</v>
      </c>
      <c r="P1514" s="5">
        <f t="shared" si="120"/>
        <v>25</v>
      </c>
      <c r="Q1514" s="6">
        <f t="shared" si="121"/>
        <v>6.9060773480662981E-3</v>
      </c>
      <c r="R1514" s="5">
        <f t="shared" si="122"/>
        <v>0</v>
      </c>
      <c r="S1514" s="6">
        <f t="shared" si="123"/>
        <v>0</v>
      </c>
      <c r="T1514" s="6">
        <f t="shared" si="124"/>
        <v>0</v>
      </c>
    </row>
    <row r="1515" spans="1:20" hidden="1" x14ac:dyDescent="0.25">
      <c r="A1515" s="4" t="s">
        <v>1853</v>
      </c>
      <c r="B1515" s="5" t="s">
        <v>1435</v>
      </c>
      <c r="C1515" s="5" t="s">
        <v>1823</v>
      </c>
      <c r="D1515" s="5">
        <v>3665</v>
      </c>
      <c r="E1515" s="5">
        <v>3621</v>
      </c>
      <c r="F1515" s="5">
        <v>3621</v>
      </c>
      <c r="G1515" s="5">
        <v>3621</v>
      </c>
      <c r="H1515" s="5">
        <v>3621</v>
      </c>
      <c r="I1515" s="5">
        <v>3621</v>
      </c>
      <c r="J1515" s="5">
        <v>3621</v>
      </c>
      <c r="K1515" s="5">
        <v>1</v>
      </c>
      <c r="L1515" s="5">
        <v>0.04</v>
      </c>
      <c r="M1515" s="5">
        <v>1</v>
      </c>
      <c r="N1515" s="5">
        <v>1</v>
      </c>
      <c r="O1515" s="5">
        <v>100</v>
      </c>
      <c r="P1515" s="5">
        <f t="shared" si="120"/>
        <v>-44</v>
      </c>
      <c r="Q1515" s="6">
        <f t="shared" si="121"/>
        <v>-1.2005457025920874E-2</v>
      </c>
      <c r="R1515" s="5">
        <f t="shared" si="122"/>
        <v>0</v>
      </c>
      <c r="S1515" s="6">
        <f t="shared" si="123"/>
        <v>0</v>
      </c>
      <c r="T1515" s="6">
        <f t="shared" si="124"/>
        <v>0</v>
      </c>
    </row>
    <row r="1516" spans="1:20" hidden="1" x14ac:dyDescent="0.25">
      <c r="A1516" s="4" t="s">
        <v>1437</v>
      </c>
      <c r="B1516" s="5" t="s">
        <v>1435</v>
      </c>
      <c r="C1516" s="5" t="s">
        <v>1823</v>
      </c>
      <c r="D1516" s="5">
        <v>3671</v>
      </c>
      <c r="E1516" s="5">
        <v>3695.4</v>
      </c>
      <c r="F1516" s="5">
        <v>3695.4</v>
      </c>
      <c r="G1516" s="5">
        <v>3680</v>
      </c>
      <c r="H1516" s="5">
        <v>3690</v>
      </c>
      <c r="I1516" s="5">
        <v>3690</v>
      </c>
      <c r="J1516" s="5">
        <v>3689.52</v>
      </c>
      <c r="K1516" s="5">
        <v>117</v>
      </c>
      <c r="L1516" s="5">
        <v>4.32</v>
      </c>
      <c r="M1516" s="5">
        <v>16</v>
      </c>
      <c r="N1516" s="5">
        <v>117</v>
      </c>
      <c r="O1516" s="5">
        <v>100</v>
      </c>
      <c r="P1516" s="5">
        <f t="shared" si="120"/>
        <v>19</v>
      </c>
      <c r="Q1516" s="6">
        <f t="shared" si="121"/>
        <v>5.1757014437482972E-3</v>
      </c>
      <c r="R1516" s="5">
        <f t="shared" si="122"/>
        <v>15.400000000000091</v>
      </c>
      <c r="S1516" s="6">
        <f t="shared" si="123"/>
        <v>4.1950422228275918E-3</v>
      </c>
      <c r="T1516" s="6">
        <f t="shared" si="124"/>
        <v>1.300742507181232E-4</v>
      </c>
    </row>
    <row r="1517" spans="1:20" hidden="1" x14ac:dyDescent="0.25">
      <c r="A1517" s="4" t="s">
        <v>1438</v>
      </c>
      <c r="B1517" s="5" t="s">
        <v>1435</v>
      </c>
      <c r="C1517" s="5" t="s">
        <v>1823</v>
      </c>
      <c r="D1517" s="5">
        <v>3606</v>
      </c>
      <c r="E1517" s="5">
        <v>3600.01</v>
      </c>
      <c r="F1517" s="5">
        <v>3630</v>
      </c>
      <c r="G1517" s="5">
        <v>3600</v>
      </c>
      <c r="H1517" s="5">
        <v>3630</v>
      </c>
      <c r="I1517" s="5">
        <v>3630</v>
      </c>
      <c r="J1517" s="5">
        <v>3617.27</v>
      </c>
      <c r="K1517" s="5">
        <v>55</v>
      </c>
      <c r="L1517" s="5">
        <v>1.99</v>
      </c>
      <c r="M1517" s="5">
        <v>7</v>
      </c>
      <c r="N1517" s="5">
        <v>55</v>
      </c>
      <c r="O1517" s="5">
        <v>100</v>
      </c>
      <c r="P1517" s="5">
        <f t="shared" si="120"/>
        <v>24</v>
      </c>
      <c r="Q1517" s="6">
        <f t="shared" si="121"/>
        <v>6.6555740432612314E-3</v>
      </c>
      <c r="R1517" s="5">
        <f t="shared" si="122"/>
        <v>30</v>
      </c>
      <c r="S1517" s="6">
        <f t="shared" si="123"/>
        <v>8.3194675540765387E-3</v>
      </c>
      <c r="T1517" s="6">
        <f t="shared" si="124"/>
        <v>3.5214360156044203E-3</v>
      </c>
    </row>
    <row r="1518" spans="1:20" hidden="1" x14ac:dyDescent="0.25">
      <c r="A1518" s="4" t="s">
        <v>1439</v>
      </c>
      <c r="B1518" s="5" t="s">
        <v>1435</v>
      </c>
      <c r="C1518" s="5" t="s">
        <v>1823</v>
      </c>
      <c r="D1518" s="5">
        <v>3629</v>
      </c>
      <c r="E1518" s="5">
        <v>3641</v>
      </c>
      <c r="F1518" s="5">
        <v>3660</v>
      </c>
      <c r="G1518" s="5">
        <v>3633</v>
      </c>
      <c r="H1518" s="5">
        <v>3655</v>
      </c>
      <c r="I1518" s="5">
        <v>3650.84</v>
      </c>
      <c r="J1518" s="5">
        <v>3642.68</v>
      </c>
      <c r="K1518" s="5">
        <v>173</v>
      </c>
      <c r="L1518" s="5">
        <v>6.3</v>
      </c>
      <c r="M1518" s="5">
        <v>27</v>
      </c>
      <c r="N1518" s="5">
        <v>164</v>
      </c>
      <c r="O1518" s="5">
        <v>94.8</v>
      </c>
      <c r="P1518" s="5">
        <f t="shared" si="120"/>
        <v>21.840000000000146</v>
      </c>
      <c r="Q1518" s="6">
        <f t="shared" si="121"/>
        <v>6.0181868283274032E-3</v>
      </c>
      <c r="R1518" s="5">
        <f t="shared" si="122"/>
        <v>27</v>
      </c>
      <c r="S1518" s="6">
        <f t="shared" si="123"/>
        <v>7.4400661339211905E-3</v>
      </c>
      <c r="T1518" s="6">
        <f t="shared" si="124"/>
        <v>2.2379402173764839E-3</v>
      </c>
    </row>
    <row r="1519" spans="1:20" hidden="1" x14ac:dyDescent="0.25">
      <c r="A1519" s="4" t="s">
        <v>1440</v>
      </c>
      <c r="B1519" s="5" t="s">
        <v>1435</v>
      </c>
      <c r="C1519" s="5" t="s">
        <v>1823</v>
      </c>
      <c r="D1519" s="5">
        <v>3669</v>
      </c>
      <c r="E1519" s="5">
        <v>3575</v>
      </c>
      <c r="F1519" s="5">
        <v>3685</v>
      </c>
      <c r="G1519" s="5">
        <v>3575</v>
      </c>
      <c r="H1519" s="5">
        <v>3655</v>
      </c>
      <c r="I1519" s="5">
        <v>3654.76</v>
      </c>
      <c r="J1519" s="5">
        <v>3630.97</v>
      </c>
      <c r="K1519" s="5">
        <v>328</v>
      </c>
      <c r="L1519" s="5">
        <v>11.91</v>
      </c>
      <c r="M1519" s="5">
        <v>38</v>
      </c>
      <c r="N1519" s="5">
        <v>210</v>
      </c>
      <c r="O1519" s="5">
        <v>64.02</v>
      </c>
      <c r="P1519" s="5">
        <f t="shared" si="120"/>
        <v>-14.239999999999782</v>
      </c>
      <c r="Q1519" s="6">
        <f t="shared" si="121"/>
        <v>-3.8811665303896924E-3</v>
      </c>
      <c r="R1519" s="5">
        <f t="shared" si="122"/>
        <v>110</v>
      </c>
      <c r="S1519" s="6">
        <f t="shared" si="123"/>
        <v>2.9980921231943309E-2</v>
      </c>
      <c r="T1519" s="6">
        <f t="shared" si="124"/>
        <v>6.5673965614338452E-3</v>
      </c>
    </row>
    <row r="1520" spans="1:20" hidden="1" x14ac:dyDescent="0.25">
      <c r="A1520" s="4" t="s">
        <v>1441</v>
      </c>
      <c r="B1520" s="5" t="s">
        <v>1435</v>
      </c>
      <c r="C1520" s="5" t="s">
        <v>1823</v>
      </c>
      <c r="D1520" s="5">
        <v>3690</v>
      </c>
      <c r="E1520" s="5">
        <v>3700</v>
      </c>
      <c r="F1520" s="5">
        <v>3700</v>
      </c>
      <c r="G1520" s="5">
        <v>3651.5</v>
      </c>
      <c r="H1520" s="5">
        <v>3696</v>
      </c>
      <c r="I1520" s="5">
        <v>3699.66</v>
      </c>
      <c r="J1520" s="5">
        <v>3696.03</v>
      </c>
      <c r="K1520" s="5">
        <v>119</v>
      </c>
      <c r="L1520" s="5">
        <v>4.4000000000000004</v>
      </c>
      <c r="M1520" s="5">
        <v>6</v>
      </c>
      <c r="N1520" s="5">
        <v>100</v>
      </c>
      <c r="O1520" s="5">
        <v>84.03</v>
      </c>
      <c r="P1520" s="5">
        <f t="shared" si="120"/>
        <v>9.6599999999998545</v>
      </c>
      <c r="Q1520" s="6">
        <f t="shared" si="121"/>
        <v>2.617886178861749E-3</v>
      </c>
      <c r="R1520" s="5">
        <f t="shared" si="122"/>
        <v>48.5</v>
      </c>
      <c r="S1520" s="6">
        <f t="shared" si="123"/>
        <v>1.3143631436314362E-2</v>
      </c>
      <c r="T1520" s="6">
        <f t="shared" si="124"/>
        <v>9.8432936799537239E-4</v>
      </c>
    </row>
    <row r="1521" spans="1:20" hidden="1" x14ac:dyDescent="0.25">
      <c r="A1521" s="4" t="s">
        <v>1442</v>
      </c>
      <c r="B1521" s="5" t="s">
        <v>1435</v>
      </c>
      <c r="C1521" s="5" t="s">
        <v>1823</v>
      </c>
      <c r="D1521" s="5">
        <v>3656.55</v>
      </c>
      <c r="E1521" s="5">
        <v>3749</v>
      </c>
      <c r="F1521" s="5">
        <v>3749</v>
      </c>
      <c r="G1521" s="5">
        <v>3680</v>
      </c>
      <c r="H1521" s="5">
        <v>3685</v>
      </c>
      <c r="I1521" s="5">
        <v>3685</v>
      </c>
      <c r="J1521" s="5">
        <v>3683.17</v>
      </c>
      <c r="K1521" s="5">
        <v>111</v>
      </c>
      <c r="L1521" s="5">
        <v>4.09</v>
      </c>
      <c r="M1521" s="5">
        <v>7</v>
      </c>
      <c r="N1521" s="5">
        <v>110</v>
      </c>
      <c r="O1521" s="5">
        <v>99.1</v>
      </c>
      <c r="P1521" s="5">
        <f t="shared" si="120"/>
        <v>28.449999999999818</v>
      </c>
      <c r="Q1521" s="6">
        <f t="shared" si="121"/>
        <v>7.7805581764230809E-3</v>
      </c>
      <c r="R1521" s="5">
        <f t="shared" si="122"/>
        <v>69</v>
      </c>
      <c r="S1521" s="6">
        <f t="shared" si="123"/>
        <v>1.8870246543873322E-2</v>
      </c>
      <c r="T1521" s="6">
        <f t="shared" si="124"/>
        <v>4.924981497678604E-4</v>
      </c>
    </row>
    <row r="1522" spans="1:20" hidden="1" x14ac:dyDescent="0.25">
      <c r="A1522" s="4" t="s">
        <v>1443</v>
      </c>
      <c r="B1522" s="5" t="s">
        <v>1435</v>
      </c>
      <c r="C1522" s="5" t="s">
        <v>1823</v>
      </c>
      <c r="D1522" s="5">
        <v>3625</v>
      </c>
      <c r="E1522" s="5">
        <v>3650</v>
      </c>
      <c r="F1522" s="5">
        <v>3660</v>
      </c>
      <c r="G1522" s="5">
        <v>3650</v>
      </c>
      <c r="H1522" s="5">
        <v>3660</v>
      </c>
      <c r="I1522" s="5">
        <v>3660</v>
      </c>
      <c r="J1522" s="5">
        <v>3659.03</v>
      </c>
      <c r="K1522" s="5">
        <v>62</v>
      </c>
      <c r="L1522" s="5">
        <v>2.27</v>
      </c>
      <c r="M1522" s="5">
        <v>9</v>
      </c>
      <c r="N1522" s="5">
        <v>62</v>
      </c>
      <c r="O1522" s="5">
        <v>100</v>
      </c>
      <c r="P1522" s="5">
        <f t="shared" si="120"/>
        <v>35</v>
      </c>
      <c r="Q1522" s="6">
        <f t="shared" si="121"/>
        <v>9.655172413793104E-3</v>
      </c>
      <c r="R1522" s="5">
        <f t="shared" si="122"/>
        <v>10</v>
      </c>
      <c r="S1522" s="6">
        <f t="shared" si="123"/>
        <v>2.7586206896551722E-3</v>
      </c>
      <c r="T1522" s="6">
        <f t="shared" si="124"/>
        <v>2.6538987688093022E-4</v>
      </c>
    </row>
    <row r="1523" spans="1:20" hidden="1" x14ac:dyDescent="0.25">
      <c r="A1523" s="4" t="s">
        <v>1444</v>
      </c>
      <c r="B1523" s="5" t="s">
        <v>1435</v>
      </c>
      <c r="C1523" s="5" t="s">
        <v>1823</v>
      </c>
      <c r="D1523" s="5">
        <v>3631</v>
      </c>
      <c r="E1523" s="5">
        <v>3631</v>
      </c>
      <c r="F1523" s="5">
        <v>3632</v>
      </c>
      <c r="G1523" s="5">
        <v>3631</v>
      </c>
      <c r="H1523" s="5">
        <v>3631</v>
      </c>
      <c r="I1523" s="5">
        <v>3631</v>
      </c>
      <c r="J1523" s="5">
        <v>3631.25</v>
      </c>
      <c r="K1523" s="5">
        <v>20</v>
      </c>
      <c r="L1523" s="5">
        <v>0.73</v>
      </c>
      <c r="M1523" s="5">
        <v>7</v>
      </c>
      <c r="N1523" s="5">
        <v>19</v>
      </c>
      <c r="O1523" s="5">
        <v>95</v>
      </c>
      <c r="P1523" s="5">
        <f t="shared" si="120"/>
        <v>0</v>
      </c>
      <c r="Q1523" s="6">
        <f t="shared" si="121"/>
        <v>0</v>
      </c>
      <c r="R1523" s="5">
        <f t="shared" si="122"/>
        <v>1</v>
      </c>
      <c r="S1523" s="6">
        <f t="shared" si="123"/>
        <v>2.754062241806665E-4</v>
      </c>
      <c r="T1523" s="6">
        <f t="shared" si="124"/>
        <v>-6.8846815834767647E-5</v>
      </c>
    </row>
    <row r="1524" spans="1:20" hidden="1" x14ac:dyDescent="0.25">
      <c r="A1524" s="4" t="s">
        <v>1445</v>
      </c>
      <c r="B1524" s="5" t="s">
        <v>1435</v>
      </c>
      <c r="C1524" s="5" t="s">
        <v>1823</v>
      </c>
      <c r="D1524" s="5">
        <v>3724</v>
      </c>
      <c r="E1524" s="5">
        <v>3720</v>
      </c>
      <c r="F1524" s="5">
        <v>3750</v>
      </c>
      <c r="G1524" s="5">
        <v>3720</v>
      </c>
      <c r="H1524" s="5">
        <v>3730</v>
      </c>
      <c r="I1524" s="5">
        <v>3730</v>
      </c>
      <c r="J1524" s="5">
        <v>3721.71</v>
      </c>
      <c r="K1524" s="5">
        <v>35</v>
      </c>
      <c r="L1524" s="5">
        <v>1.3</v>
      </c>
      <c r="M1524" s="5">
        <v>3</v>
      </c>
      <c r="N1524" s="5">
        <v>35</v>
      </c>
      <c r="O1524" s="5">
        <v>100</v>
      </c>
      <c r="P1524" s="5">
        <f t="shared" si="120"/>
        <v>6</v>
      </c>
      <c r="Q1524" s="6">
        <f t="shared" si="121"/>
        <v>1.611170784103115E-3</v>
      </c>
      <c r="R1524" s="5">
        <f t="shared" si="122"/>
        <v>30</v>
      </c>
      <c r="S1524" s="6">
        <f t="shared" si="123"/>
        <v>8.0558539205155752E-3</v>
      </c>
      <c r="T1524" s="6">
        <f t="shared" si="124"/>
        <v>2.222520107238596E-3</v>
      </c>
    </row>
    <row r="1525" spans="1:20" hidden="1" x14ac:dyDescent="0.25">
      <c r="A1525" s="4" t="s">
        <v>1446</v>
      </c>
      <c r="B1525" s="5" t="s">
        <v>1435</v>
      </c>
      <c r="C1525" s="5" t="s">
        <v>1823</v>
      </c>
      <c r="D1525" s="5">
        <v>3666.84</v>
      </c>
      <c r="E1525" s="5">
        <v>3673</v>
      </c>
      <c r="F1525" s="5">
        <v>3681</v>
      </c>
      <c r="G1525" s="5">
        <v>3670</v>
      </c>
      <c r="H1525" s="5">
        <v>3675</v>
      </c>
      <c r="I1525" s="5">
        <v>3675</v>
      </c>
      <c r="J1525" s="5">
        <v>3676.94</v>
      </c>
      <c r="K1525" s="5">
        <v>114</v>
      </c>
      <c r="L1525" s="5">
        <v>4.1900000000000004</v>
      </c>
      <c r="M1525" s="5">
        <v>10</v>
      </c>
      <c r="N1525" s="5">
        <v>114</v>
      </c>
      <c r="O1525" s="5">
        <v>100</v>
      </c>
      <c r="P1525" s="5">
        <f t="shared" si="120"/>
        <v>8.1599999999998545</v>
      </c>
      <c r="Q1525" s="6">
        <f t="shared" si="121"/>
        <v>2.2253493471217326E-3</v>
      </c>
      <c r="R1525" s="5">
        <f t="shared" si="122"/>
        <v>11</v>
      </c>
      <c r="S1525" s="6">
        <f t="shared" si="123"/>
        <v>2.9998581885219968E-3</v>
      </c>
      <c r="T1525" s="6">
        <f t="shared" si="124"/>
        <v>-5.2792706986871344E-4</v>
      </c>
    </row>
    <row r="1526" spans="1:20" hidden="1" x14ac:dyDescent="0.25">
      <c r="A1526" s="4" t="s">
        <v>1854</v>
      </c>
      <c r="B1526" s="5" t="s">
        <v>1435</v>
      </c>
      <c r="C1526" s="5" t="s">
        <v>1823</v>
      </c>
      <c r="D1526" s="5">
        <v>3650</v>
      </c>
      <c r="E1526" s="5">
        <v>3640</v>
      </c>
      <c r="F1526" s="5">
        <v>3640</v>
      </c>
      <c r="G1526" s="5">
        <v>3640</v>
      </c>
      <c r="H1526" s="5">
        <v>3640</v>
      </c>
      <c r="I1526" s="5">
        <v>3640</v>
      </c>
      <c r="J1526" s="5">
        <v>3640</v>
      </c>
      <c r="K1526" s="5">
        <v>1</v>
      </c>
      <c r="L1526" s="5">
        <v>0.04</v>
      </c>
      <c r="M1526" s="5">
        <v>1</v>
      </c>
      <c r="N1526" s="5">
        <v>1</v>
      </c>
      <c r="O1526" s="5">
        <v>100</v>
      </c>
      <c r="P1526" s="5">
        <f t="shared" si="120"/>
        <v>-10</v>
      </c>
      <c r="Q1526" s="6">
        <f t="shared" si="121"/>
        <v>-2.7397260273972603E-3</v>
      </c>
      <c r="R1526" s="5">
        <f t="shared" si="122"/>
        <v>0</v>
      </c>
      <c r="S1526" s="6">
        <f t="shared" si="123"/>
        <v>0</v>
      </c>
      <c r="T1526" s="6">
        <f t="shared" si="124"/>
        <v>0</v>
      </c>
    </row>
    <row r="1527" spans="1:20" hidden="1" x14ac:dyDescent="0.25">
      <c r="A1527" s="4" t="s">
        <v>1447</v>
      </c>
      <c r="B1527" s="5" t="s">
        <v>1435</v>
      </c>
      <c r="C1527" s="5" t="s">
        <v>1823</v>
      </c>
      <c r="D1527" s="5">
        <v>3621</v>
      </c>
      <c r="E1527" s="5">
        <v>3623</v>
      </c>
      <c r="F1527" s="5">
        <v>3715</v>
      </c>
      <c r="G1527" s="5">
        <v>3623</v>
      </c>
      <c r="H1527" s="5">
        <v>3715</v>
      </c>
      <c r="I1527" s="5">
        <v>3715</v>
      </c>
      <c r="J1527" s="5">
        <v>3641.4</v>
      </c>
      <c r="K1527" s="5">
        <v>5</v>
      </c>
      <c r="L1527" s="5">
        <v>0.18</v>
      </c>
      <c r="M1527" s="5">
        <v>2</v>
      </c>
      <c r="N1527" s="5">
        <v>5</v>
      </c>
      <c r="O1527" s="5">
        <v>100</v>
      </c>
      <c r="P1527" s="5">
        <f t="shared" si="120"/>
        <v>94</v>
      </c>
      <c r="Q1527" s="6">
        <f t="shared" si="121"/>
        <v>2.595967964650649E-2</v>
      </c>
      <c r="R1527" s="5">
        <f t="shared" si="122"/>
        <v>92</v>
      </c>
      <c r="S1527" s="6">
        <f t="shared" si="123"/>
        <v>2.540734603700635E-2</v>
      </c>
      <c r="T1527" s="6">
        <f t="shared" si="124"/>
        <v>2.005996184246386E-2</v>
      </c>
    </row>
    <row r="1528" spans="1:20" hidden="1" x14ac:dyDescent="0.25">
      <c r="A1528" s="4" t="s">
        <v>1448</v>
      </c>
      <c r="B1528" s="5" t="s">
        <v>1435</v>
      </c>
      <c r="C1528" s="5" t="s">
        <v>1823</v>
      </c>
      <c r="D1528" s="5">
        <v>3640</v>
      </c>
      <c r="E1528" s="5">
        <v>3640</v>
      </c>
      <c r="F1528" s="5">
        <v>3640</v>
      </c>
      <c r="G1528" s="5">
        <v>3626</v>
      </c>
      <c r="H1528" s="5">
        <v>3626</v>
      </c>
      <c r="I1528" s="5">
        <v>3626</v>
      </c>
      <c r="J1528" s="5">
        <v>3636.18</v>
      </c>
      <c r="K1528" s="5">
        <v>11</v>
      </c>
      <c r="L1528" s="5">
        <v>0.4</v>
      </c>
      <c r="M1528" s="5">
        <v>3</v>
      </c>
      <c r="N1528" s="5">
        <v>11</v>
      </c>
      <c r="O1528" s="5">
        <v>100</v>
      </c>
      <c r="P1528" s="5">
        <f t="shared" si="120"/>
        <v>-14</v>
      </c>
      <c r="Q1528" s="6">
        <f t="shared" si="121"/>
        <v>-3.8461538461538464E-3</v>
      </c>
      <c r="R1528" s="5">
        <f t="shared" si="122"/>
        <v>14</v>
      </c>
      <c r="S1528" s="6">
        <f t="shared" si="123"/>
        <v>3.8461538461538464E-3</v>
      </c>
      <c r="T1528" s="6">
        <f t="shared" si="124"/>
        <v>-2.8020919350398668E-3</v>
      </c>
    </row>
    <row r="1529" spans="1:20" hidden="1" x14ac:dyDescent="0.25">
      <c r="A1529" s="4" t="s">
        <v>1449</v>
      </c>
      <c r="B1529" s="5" t="s">
        <v>1435</v>
      </c>
      <c r="C1529" s="5" t="s">
        <v>1823</v>
      </c>
      <c r="D1529" s="5">
        <v>3641.83</v>
      </c>
      <c r="E1529" s="5">
        <v>3698</v>
      </c>
      <c r="F1529" s="5">
        <v>3698</v>
      </c>
      <c r="G1529" s="5">
        <v>3620</v>
      </c>
      <c r="H1529" s="5">
        <v>3650</v>
      </c>
      <c r="I1529" s="5">
        <v>3650</v>
      </c>
      <c r="J1529" s="5">
        <v>3632.64</v>
      </c>
      <c r="K1529" s="5">
        <v>81</v>
      </c>
      <c r="L1529" s="5">
        <v>2.94</v>
      </c>
      <c r="M1529" s="5">
        <v>13</v>
      </c>
      <c r="N1529" s="5">
        <v>77</v>
      </c>
      <c r="O1529" s="5">
        <v>95.06</v>
      </c>
      <c r="P1529" s="5">
        <f t="shared" si="120"/>
        <v>8.1700000000000728</v>
      </c>
      <c r="Q1529" s="6">
        <f t="shared" si="121"/>
        <v>2.2433776425588433E-3</v>
      </c>
      <c r="R1529" s="5">
        <f t="shared" si="122"/>
        <v>78</v>
      </c>
      <c r="S1529" s="6">
        <f t="shared" si="123"/>
        <v>2.1417803686608106E-2</v>
      </c>
      <c r="T1529" s="6">
        <f t="shared" si="124"/>
        <v>4.7347606709396226E-3</v>
      </c>
    </row>
    <row r="1530" spans="1:20" hidden="1" x14ac:dyDescent="0.25">
      <c r="A1530" s="4" t="s">
        <v>1450</v>
      </c>
      <c r="B1530" s="5" t="s">
        <v>1435</v>
      </c>
      <c r="C1530" s="5" t="s">
        <v>1823</v>
      </c>
      <c r="D1530" s="5">
        <v>3681</v>
      </c>
      <c r="E1530" s="5">
        <v>3681</v>
      </c>
      <c r="F1530" s="5">
        <v>3718.95</v>
      </c>
      <c r="G1530" s="5">
        <v>3677.5</v>
      </c>
      <c r="H1530" s="5">
        <v>3710</v>
      </c>
      <c r="I1530" s="5">
        <v>3710</v>
      </c>
      <c r="J1530" s="5">
        <v>3701.71</v>
      </c>
      <c r="K1530" s="5">
        <v>134</v>
      </c>
      <c r="L1530" s="5">
        <v>4.96</v>
      </c>
      <c r="M1530" s="5">
        <v>12</v>
      </c>
      <c r="N1530" s="5">
        <v>111</v>
      </c>
      <c r="O1530" s="5">
        <v>82.84</v>
      </c>
      <c r="P1530" s="5">
        <f t="shared" si="120"/>
        <v>29</v>
      </c>
      <c r="Q1530" s="6">
        <f t="shared" si="121"/>
        <v>7.8782939418636233E-3</v>
      </c>
      <c r="R1530" s="5">
        <f t="shared" si="122"/>
        <v>41.449999999999818</v>
      </c>
      <c r="S1530" s="6">
        <f t="shared" si="123"/>
        <v>1.1260527030698131E-2</v>
      </c>
      <c r="T1530" s="6">
        <f t="shared" si="124"/>
        <v>2.2424420708100352E-3</v>
      </c>
    </row>
    <row r="1531" spans="1:20" hidden="1" x14ac:dyDescent="0.25">
      <c r="A1531" s="4" t="s">
        <v>1451</v>
      </c>
      <c r="B1531" s="5" t="s">
        <v>1435</v>
      </c>
      <c r="C1531" s="5" t="s">
        <v>1823</v>
      </c>
      <c r="D1531" s="5">
        <v>3611</v>
      </c>
      <c r="E1531" s="5">
        <v>3611</v>
      </c>
      <c r="F1531" s="5">
        <v>3777</v>
      </c>
      <c r="G1531" s="5">
        <v>3611</v>
      </c>
      <c r="H1531" s="5">
        <v>3640</v>
      </c>
      <c r="I1531" s="5">
        <v>3640</v>
      </c>
      <c r="J1531" s="5">
        <v>3694.98</v>
      </c>
      <c r="K1531" s="5">
        <v>63</v>
      </c>
      <c r="L1531" s="5">
        <v>2.33</v>
      </c>
      <c r="M1531" s="5">
        <v>10</v>
      </c>
      <c r="N1531" s="5">
        <v>62</v>
      </c>
      <c r="O1531" s="5">
        <v>98.41</v>
      </c>
      <c r="P1531" s="5">
        <f t="shared" si="120"/>
        <v>29</v>
      </c>
      <c r="Q1531" s="6">
        <f t="shared" si="121"/>
        <v>8.0310163389642752E-3</v>
      </c>
      <c r="R1531" s="5">
        <f t="shared" si="122"/>
        <v>166</v>
      </c>
      <c r="S1531" s="6">
        <f t="shared" si="123"/>
        <v>4.5970645250623096E-2</v>
      </c>
      <c r="T1531" s="6">
        <f t="shared" si="124"/>
        <v>-1.5022884076781207E-2</v>
      </c>
    </row>
    <row r="1532" spans="1:20" hidden="1" x14ac:dyDescent="0.25">
      <c r="A1532" s="4" t="s">
        <v>1452</v>
      </c>
      <c r="B1532" s="5" t="s">
        <v>16</v>
      </c>
      <c r="C1532" s="5" t="s">
        <v>1823</v>
      </c>
      <c r="D1532" s="5">
        <v>8.15</v>
      </c>
      <c r="E1532" s="5">
        <v>8</v>
      </c>
      <c r="F1532" s="5">
        <v>8.4</v>
      </c>
      <c r="G1532" s="5">
        <v>7.75</v>
      </c>
      <c r="H1532" s="5">
        <v>8</v>
      </c>
      <c r="I1532" s="5">
        <v>8.0500000000000007</v>
      </c>
      <c r="J1532" s="5">
        <v>7.9</v>
      </c>
      <c r="K1532" s="5">
        <v>5048</v>
      </c>
      <c r="L1532" s="5">
        <v>0.4</v>
      </c>
      <c r="M1532" s="5">
        <v>30</v>
      </c>
      <c r="N1532" s="5">
        <v>4633</v>
      </c>
      <c r="O1532" s="5">
        <v>91.78</v>
      </c>
      <c r="P1532" s="5">
        <f t="shared" si="120"/>
        <v>-9.9999999999999645E-2</v>
      </c>
      <c r="Q1532" s="6">
        <f t="shared" si="121"/>
        <v>-1.2269938650306704E-2</v>
      </c>
      <c r="R1532" s="5">
        <f t="shared" si="122"/>
        <v>0.65000000000000036</v>
      </c>
      <c r="S1532" s="6">
        <f t="shared" si="123"/>
        <v>7.9754601226993904E-2</v>
      </c>
      <c r="T1532" s="6">
        <f t="shared" si="124"/>
        <v>1.863354037267085E-2</v>
      </c>
    </row>
    <row r="1533" spans="1:20" hidden="1" x14ac:dyDescent="0.25">
      <c r="A1533" s="4" t="s">
        <v>1453</v>
      </c>
      <c r="B1533" s="5" t="s">
        <v>16</v>
      </c>
      <c r="C1533" s="5" t="s">
        <v>1823</v>
      </c>
      <c r="D1533" s="5">
        <v>11.3</v>
      </c>
      <c r="E1533" s="5">
        <v>11.15</v>
      </c>
      <c r="F1533" s="5">
        <v>11.4</v>
      </c>
      <c r="G1533" s="5">
        <v>10.65</v>
      </c>
      <c r="H1533" s="5">
        <v>11.3</v>
      </c>
      <c r="I1533" s="5">
        <v>11.3</v>
      </c>
      <c r="J1533" s="5">
        <v>11.02</v>
      </c>
      <c r="K1533" s="5">
        <v>2716</v>
      </c>
      <c r="L1533" s="5">
        <v>0.3</v>
      </c>
      <c r="M1533" s="5">
        <v>20</v>
      </c>
      <c r="N1533" s="5">
        <v>2271</v>
      </c>
      <c r="O1533" s="5">
        <v>83.62</v>
      </c>
      <c r="P1533" s="5">
        <f t="shared" si="120"/>
        <v>0</v>
      </c>
      <c r="Q1533" s="6">
        <f t="shared" si="121"/>
        <v>0</v>
      </c>
      <c r="R1533" s="5">
        <f t="shared" si="122"/>
        <v>0.75</v>
      </c>
      <c r="S1533" s="6">
        <f t="shared" si="123"/>
        <v>6.6371681415929196E-2</v>
      </c>
      <c r="T1533" s="6">
        <f t="shared" si="124"/>
        <v>2.5168539325842797E-2</v>
      </c>
    </row>
    <row r="1534" spans="1:20" hidden="1" x14ac:dyDescent="0.25">
      <c r="A1534" s="4" t="s">
        <v>1454</v>
      </c>
      <c r="B1534" s="5" t="s">
        <v>16</v>
      </c>
      <c r="C1534" s="5" t="s">
        <v>1823</v>
      </c>
      <c r="D1534" s="5">
        <v>308.55</v>
      </c>
      <c r="E1534" s="5">
        <v>311</v>
      </c>
      <c r="F1534" s="5">
        <v>311.14999999999998</v>
      </c>
      <c r="G1534" s="5">
        <v>299.39999999999998</v>
      </c>
      <c r="H1534" s="5">
        <v>300</v>
      </c>
      <c r="I1534" s="5">
        <v>299.89999999999998</v>
      </c>
      <c r="J1534" s="5">
        <v>304.45</v>
      </c>
      <c r="K1534" s="5">
        <v>14607</v>
      </c>
      <c r="L1534" s="5">
        <v>44.47</v>
      </c>
      <c r="M1534" s="5">
        <v>720</v>
      </c>
      <c r="N1534" s="5">
        <v>9883</v>
      </c>
      <c r="O1534" s="5">
        <v>67.66</v>
      </c>
      <c r="P1534" s="5">
        <f t="shared" si="120"/>
        <v>-8.6500000000000341</v>
      </c>
      <c r="Q1534" s="6">
        <f t="shared" si="121"/>
        <v>-2.8034354237562904E-2</v>
      </c>
      <c r="R1534" s="5">
        <f t="shared" si="122"/>
        <v>11.75</v>
      </c>
      <c r="S1534" s="6">
        <f t="shared" si="123"/>
        <v>3.8081348241776045E-2</v>
      </c>
      <c r="T1534" s="6">
        <f t="shared" si="124"/>
        <v>-1.4900323386139464E-2</v>
      </c>
    </row>
    <row r="1535" spans="1:20" hidden="1" x14ac:dyDescent="0.25">
      <c r="A1535" s="4" t="s">
        <v>1455</v>
      </c>
      <c r="B1535" s="5" t="s">
        <v>16</v>
      </c>
      <c r="C1535" s="5" t="s">
        <v>1823</v>
      </c>
      <c r="D1535" s="5">
        <v>92.55</v>
      </c>
      <c r="E1535" s="5">
        <v>92.65</v>
      </c>
      <c r="F1535" s="5">
        <v>92.65</v>
      </c>
      <c r="G1535" s="5">
        <v>89.5</v>
      </c>
      <c r="H1535" s="5">
        <v>90.75</v>
      </c>
      <c r="I1535" s="5">
        <v>90.85</v>
      </c>
      <c r="J1535" s="5">
        <v>90.68</v>
      </c>
      <c r="K1535" s="5">
        <v>15641</v>
      </c>
      <c r="L1535" s="5">
        <v>14.18</v>
      </c>
      <c r="M1535" s="5">
        <v>463</v>
      </c>
      <c r="N1535" s="5">
        <v>7993</v>
      </c>
      <c r="O1535" s="5">
        <v>51.1</v>
      </c>
      <c r="P1535" s="5">
        <f t="shared" si="120"/>
        <v>-1.7000000000000028</v>
      </c>
      <c r="Q1535" s="6">
        <f t="shared" si="121"/>
        <v>-1.8368449486763944E-2</v>
      </c>
      <c r="R1535" s="5">
        <f t="shared" si="122"/>
        <v>3.1500000000000057</v>
      </c>
      <c r="S1535" s="6">
        <f t="shared" si="123"/>
        <v>3.4035656401944954E-2</v>
      </c>
      <c r="T1535" s="6">
        <f t="shared" si="124"/>
        <v>1.8597019007246E-3</v>
      </c>
    </row>
    <row r="1536" spans="1:20" hidden="1" x14ac:dyDescent="0.25">
      <c r="A1536" s="4" t="s">
        <v>1456</v>
      </c>
      <c r="B1536" s="5" t="s">
        <v>16</v>
      </c>
      <c r="C1536" s="5" t="s">
        <v>1823</v>
      </c>
      <c r="D1536" s="5">
        <v>85.4</v>
      </c>
      <c r="E1536" s="5">
        <v>86</v>
      </c>
      <c r="F1536" s="5">
        <v>86.6</v>
      </c>
      <c r="G1536" s="5">
        <v>83.55</v>
      </c>
      <c r="H1536" s="5">
        <v>85.4</v>
      </c>
      <c r="I1536" s="5">
        <v>85.45</v>
      </c>
      <c r="J1536" s="5">
        <v>85.19</v>
      </c>
      <c r="K1536" s="5">
        <v>48514</v>
      </c>
      <c r="L1536" s="5">
        <v>41.33</v>
      </c>
      <c r="M1536" s="5">
        <v>805</v>
      </c>
      <c r="N1536" s="5">
        <v>29443</v>
      </c>
      <c r="O1536" s="5">
        <v>60.69</v>
      </c>
      <c r="P1536" s="5">
        <f t="shared" si="120"/>
        <v>4.9999999999997158E-2</v>
      </c>
      <c r="Q1536" s="6">
        <f t="shared" si="121"/>
        <v>5.854800936767817E-4</v>
      </c>
      <c r="R1536" s="5">
        <f t="shared" si="122"/>
        <v>3.0499999999999972</v>
      </c>
      <c r="S1536" s="6">
        <f t="shared" si="123"/>
        <v>3.5714285714285678E-2</v>
      </c>
      <c r="T1536" s="6">
        <f t="shared" si="124"/>
        <v>3.0444964871194982E-3</v>
      </c>
    </row>
    <row r="1537" spans="1:20" x14ac:dyDescent="0.25">
      <c r="A1537" s="4" t="s">
        <v>1057</v>
      </c>
      <c r="B1537" s="5" t="s">
        <v>16</v>
      </c>
      <c r="C1537" s="5" t="s">
        <v>1823</v>
      </c>
      <c r="D1537" s="5">
        <v>11.05</v>
      </c>
      <c r="E1537" s="5">
        <v>10.85</v>
      </c>
      <c r="F1537" s="5">
        <v>10.9</v>
      </c>
      <c r="G1537" s="5">
        <v>10.3</v>
      </c>
      <c r="H1537" s="5">
        <v>10.4</v>
      </c>
      <c r="I1537" s="5">
        <v>10.4</v>
      </c>
      <c r="J1537" s="5">
        <v>10.56</v>
      </c>
      <c r="K1537" s="5">
        <v>376021</v>
      </c>
      <c r="L1537" s="5">
        <v>39.700000000000003</v>
      </c>
      <c r="M1537" s="5">
        <v>897</v>
      </c>
      <c r="N1537" s="5">
        <v>253069</v>
      </c>
      <c r="O1537" s="5">
        <v>67.3</v>
      </c>
      <c r="P1537" s="5">
        <f t="shared" si="120"/>
        <v>-0.65000000000000036</v>
      </c>
      <c r="Q1537" s="6">
        <f t="shared" si="121"/>
        <v>-5.8823529411764733E-2</v>
      </c>
      <c r="R1537" s="5">
        <f t="shared" si="122"/>
        <v>0.59999999999999964</v>
      </c>
      <c r="S1537" s="6">
        <f t="shared" si="123"/>
        <v>5.4298642533936618E-2</v>
      </c>
      <c r="T1537" s="6">
        <f t="shared" si="124"/>
        <v>-1.5076560659599544E-2</v>
      </c>
    </row>
    <row r="1538" spans="1:20" hidden="1" x14ac:dyDescent="0.25">
      <c r="A1538" s="4" t="s">
        <v>1458</v>
      </c>
      <c r="B1538" s="5" t="s">
        <v>16</v>
      </c>
      <c r="C1538" s="5" t="s">
        <v>1823</v>
      </c>
      <c r="D1538" s="5">
        <v>97.25</v>
      </c>
      <c r="E1538" s="5">
        <v>100</v>
      </c>
      <c r="F1538" s="5">
        <v>103.45</v>
      </c>
      <c r="G1538" s="5">
        <v>96</v>
      </c>
      <c r="H1538" s="5">
        <v>97.75</v>
      </c>
      <c r="I1538" s="5">
        <v>97.65</v>
      </c>
      <c r="J1538" s="5">
        <v>96.86</v>
      </c>
      <c r="K1538" s="5">
        <v>9120</v>
      </c>
      <c r="L1538" s="5">
        <v>8.83</v>
      </c>
      <c r="M1538" s="5">
        <v>166</v>
      </c>
      <c r="N1538" s="5">
        <v>8122</v>
      </c>
      <c r="O1538" s="5">
        <v>89.06</v>
      </c>
      <c r="P1538" s="5">
        <f t="shared" si="120"/>
        <v>0.40000000000000568</v>
      </c>
      <c r="Q1538" s="6">
        <f t="shared" si="121"/>
        <v>4.113110539845817E-3</v>
      </c>
      <c r="R1538" s="5">
        <f t="shared" si="122"/>
        <v>7.4500000000000028</v>
      </c>
      <c r="S1538" s="6">
        <f t="shared" si="123"/>
        <v>7.6606683804627276E-2</v>
      </c>
      <c r="T1538" s="6">
        <f t="shared" si="124"/>
        <v>7.9576932762528956E-3</v>
      </c>
    </row>
    <row r="1539" spans="1:20" x14ac:dyDescent="0.25">
      <c r="A1539" s="4" t="s">
        <v>1129</v>
      </c>
      <c r="B1539" s="5" t="s">
        <v>16</v>
      </c>
      <c r="C1539" s="5" t="s">
        <v>1823</v>
      </c>
      <c r="D1539" s="5">
        <v>23.75</v>
      </c>
      <c r="E1539" s="5">
        <v>24</v>
      </c>
      <c r="F1539" s="5">
        <v>24</v>
      </c>
      <c r="G1539" s="5">
        <v>22.25</v>
      </c>
      <c r="H1539" s="5">
        <v>22.3</v>
      </c>
      <c r="I1539" s="5">
        <v>22.4</v>
      </c>
      <c r="J1539" s="5">
        <v>22.76</v>
      </c>
      <c r="K1539" s="5">
        <v>408982</v>
      </c>
      <c r="L1539" s="5">
        <v>93.1</v>
      </c>
      <c r="M1539" s="5">
        <v>1925</v>
      </c>
      <c r="N1539" s="5">
        <v>275591</v>
      </c>
      <c r="O1539" s="5">
        <v>67.38</v>
      </c>
      <c r="P1539" s="5">
        <f t="shared" si="120"/>
        <v>-1.3500000000000014</v>
      </c>
      <c r="Q1539" s="6">
        <f t="shared" si="121"/>
        <v>-5.6842105263157958E-2</v>
      </c>
      <c r="R1539" s="5">
        <f t="shared" si="122"/>
        <v>1.75</v>
      </c>
      <c r="S1539" s="6">
        <f t="shared" si="123"/>
        <v>7.3684210526315783E-2</v>
      </c>
      <c r="T1539" s="6">
        <f t="shared" si="124"/>
        <v>-1.5542363734484747E-2</v>
      </c>
    </row>
    <row r="1540" spans="1:20" hidden="1" x14ac:dyDescent="0.25">
      <c r="A1540" s="4" t="s">
        <v>1460</v>
      </c>
      <c r="B1540" s="5" t="s">
        <v>16</v>
      </c>
      <c r="C1540" s="5" t="s">
        <v>1823</v>
      </c>
      <c r="D1540" s="5">
        <v>961.8</v>
      </c>
      <c r="E1540" s="5">
        <v>961.8</v>
      </c>
      <c r="F1540" s="5">
        <v>961.8</v>
      </c>
      <c r="G1540" s="5">
        <v>941.95</v>
      </c>
      <c r="H1540" s="5">
        <v>950</v>
      </c>
      <c r="I1540" s="5">
        <v>948.9</v>
      </c>
      <c r="J1540" s="5">
        <v>949.81</v>
      </c>
      <c r="K1540" s="5">
        <v>1192</v>
      </c>
      <c r="L1540" s="5">
        <v>11.32</v>
      </c>
      <c r="M1540" s="5">
        <v>184</v>
      </c>
      <c r="N1540" s="5">
        <v>1042</v>
      </c>
      <c r="O1540" s="5">
        <v>87.42</v>
      </c>
      <c r="P1540" s="5">
        <f t="shared" si="120"/>
        <v>-12.899999999999977</v>
      </c>
      <c r="Q1540" s="6">
        <f t="shared" si="121"/>
        <v>-1.3412351840299416E-2</v>
      </c>
      <c r="R1540" s="5">
        <f t="shared" si="122"/>
        <v>19.849999999999909</v>
      </c>
      <c r="S1540" s="6">
        <f t="shared" si="123"/>
        <v>2.0638386358910282E-2</v>
      </c>
      <c r="T1540" s="6">
        <f t="shared" si="124"/>
        <v>-9.5426601475963042E-4</v>
      </c>
    </row>
    <row r="1541" spans="1:20" hidden="1" x14ac:dyDescent="0.25">
      <c r="A1541" s="4" t="s">
        <v>1461</v>
      </c>
      <c r="B1541" s="5" t="s">
        <v>16</v>
      </c>
      <c r="C1541" s="5" t="s">
        <v>1823</v>
      </c>
      <c r="D1541" s="5">
        <v>256</v>
      </c>
      <c r="E1541" s="5">
        <v>258.5</v>
      </c>
      <c r="F1541" s="5">
        <v>258.5</v>
      </c>
      <c r="G1541" s="5">
        <v>258.39999999999998</v>
      </c>
      <c r="H1541" s="5">
        <v>258.45</v>
      </c>
      <c r="I1541" s="5">
        <v>258.43</v>
      </c>
      <c r="J1541" s="5">
        <v>258.44</v>
      </c>
      <c r="K1541" s="5">
        <v>16</v>
      </c>
      <c r="L1541" s="5">
        <v>0.04</v>
      </c>
      <c r="M1541" s="5">
        <v>7</v>
      </c>
      <c r="N1541" s="5">
        <v>8</v>
      </c>
      <c r="O1541" s="5">
        <v>50</v>
      </c>
      <c r="P1541" s="5">
        <f t="shared" si="120"/>
        <v>2.4300000000000068</v>
      </c>
      <c r="Q1541" s="6">
        <f t="shared" si="121"/>
        <v>9.4921875000000266E-3</v>
      </c>
      <c r="R1541" s="5">
        <f t="shared" si="122"/>
        <v>0.10000000000002274</v>
      </c>
      <c r="S1541" s="6">
        <f t="shared" si="123"/>
        <v>3.9062500000008882E-4</v>
      </c>
      <c r="T1541" s="6">
        <f t="shared" si="124"/>
        <v>-3.8691080738577546E-5</v>
      </c>
    </row>
    <row r="1542" spans="1:20" hidden="1" x14ac:dyDescent="0.25">
      <c r="A1542" s="4" t="s">
        <v>1462</v>
      </c>
      <c r="B1542" s="5" t="s">
        <v>16</v>
      </c>
      <c r="C1542" s="5" t="s">
        <v>1823</v>
      </c>
      <c r="D1542" s="5">
        <v>253.9</v>
      </c>
      <c r="E1542" s="5">
        <v>254</v>
      </c>
      <c r="F1542" s="5">
        <v>255</v>
      </c>
      <c r="G1542" s="5">
        <v>246.1</v>
      </c>
      <c r="H1542" s="5">
        <v>249.95</v>
      </c>
      <c r="I1542" s="5">
        <v>248.95</v>
      </c>
      <c r="J1542" s="5">
        <v>252.82</v>
      </c>
      <c r="K1542" s="5">
        <v>10627</v>
      </c>
      <c r="L1542" s="5">
        <v>26.87</v>
      </c>
      <c r="M1542" s="5">
        <v>739</v>
      </c>
      <c r="N1542" s="5">
        <v>3317</v>
      </c>
      <c r="O1542" s="5">
        <v>31.21</v>
      </c>
      <c r="P1542" s="5">
        <f t="shared" si="120"/>
        <v>-4.9500000000000171</v>
      </c>
      <c r="Q1542" s="6">
        <f t="shared" si="121"/>
        <v>-1.9495864513588094E-2</v>
      </c>
      <c r="R1542" s="5">
        <f t="shared" si="122"/>
        <v>8.9000000000000057</v>
      </c>
      <c r="S1542" s="6">
        <f t="shared" si="123"/>
        <v>3.5053170539582533E-2</v>
      </c>
      <c r="T1542" s="6">
        <f t="shared" si="124"/>
        <v>-1.5417558886509655E-2</v>
      </c>
    </row>
    <row r="1543" spans="1:20" hidden="1" x14ac:dyDescent="0.25">
      <c r="A1543" s="4" t="s">
        <v>1463</v>
      </c>
      <c r="B1543" s="5" t="s">
        <v>16</v>
      </c>
      <c r="C1543" s="5" t="s">
        <v>1823</v>
      </c>
      <c r="D1543" s="5">
        <v>277.35000000000002</v>
      </c>
      <c r="E1543" s="5">
        <v>280</v>
      </c>
      <c r="F1543" s="5">
        <v>291.2</v>
      </c>
      <c r="G1543" s="5">
        <v>280</v>
      </c>
      <c r="H1543" s="5">
        <v>288.05</v>
      </c>
      <c r="I1543" s="5">
        <v>289.85000000000002</v>
      </c>
      <c r="J1543" s="5">
        <v>288.87</v>
      </c>
      <c r="K1543" s="5">
        <v>21945</v>
      </c>
      <c r="L1543" s="5">
        <v>63.39</v>
      </c>
      <c r="M1543" s="5">
        <v>501</v>
      </c>
      <c r="N1543" s="5">
        <v>17393</v>
      </c>
      <c r="O1543" s="5">
        <v>79.260000000000005</v>
      </c>
      <c r="P1543" s="5">
        <f t="shared" si="120"/>
        <v>12.5</v>
      </c>
      <c r="Q1543" s="6">
        <f t="shared" si="121"/>
        <v>4.5069406886605372E-2</v>
      </c>
      <c r="R1543" s="5">
        <f t="shared" si="122"/>
        <v>11.199999999999989</v>
      </c>
      <c r="S1543" s="6">
        <f t="shared" si="123"/>
        <v>4.0382188570398367E-2</v>
      </c>
      <c r="T1543" s="6">
        <f t="shared" si="124"/>
        <v>3.4354322772885255E-3</v>
      </c>
    </row>
    <row r="1544" spans="1:20" hidden="1" x14ac:dyDescent="0.25">
      <c r="A1544" s="4" t="s">
        <v>1464</v>
      </c>
      <c r="B1544" s="5" t="s">
        <v>39</v>
      </c>
      <c r="C1544" s="5" t="s">
        <v>1823</v>
      </c>
      <c r="D1544" s="5">
        <v>13</v>
      </c>
      <c r="E1544" s="5">
        <v>13</v>
      </c>
      <c r="F1544" s="5">
        <v>13.4</v>
      </c>
      <c r="G1544" s="5">
        <v>12.75</v>
      </c>
      <c r="H1544" s="5">
        <v>12.85</v>
      </c>
      <c r="I1544" s="5">
        <v>12.85</v>
      </c>
      <c r="J1544" s="5">
        <v>12.98</v>
      </c>
      <c r="K1544" s="5">
        <v>11642</v>
      </c>
      <c r="L1544" s="5">
        <v>1.51</v>
      </c>
      <c r="M1544" s="5">
        <v>52</v>
      </c>
      <c r="N1544" s="5" t="s">
        <v>25</v>
      </c>
      <c r="O1544" s="5" t="s">
        <v>25</v>
      </c>
      <c r="P1544" s="5">
        <f t="shared" si="120"/>
        <v>-0.15000000000000036</v>
      </c>
      <c r="Q1544" s="6">
        <f t="shared" si="121"/>
        <v>-1.1538461538461565E-2</v>
      </c>
      <c r="R1544" s="5">
        <f t="shared" si="122"/>
        <v>0.65000000000000036</v>
      </c>
      <c r="S1544" s="6">
        <f t="shared" si="123"/>
        <v>5.0000000000000031E-2</v>
      </c>
      <c r="T1544" s="6">
        <f t="shared" si="124"/>
        <v>-1.0000000000000061E-2</v>
      </c>
    </row>
    <row r="1545" spans="1:20" hidden="1" x14ac:dyDescent="0.25">
      <c r="A1545" s="4" t="s">
        <v>1465</v>
      </c>
      <c r="B1545" s="5" t="s">
        <v>16</v>
      </c>
      <c r="C1545" s="5" t="s">
        <v>1823</v>
      </c>
      <c r="D1545" s="5">
        <v>24.9</v>
      </c>
      <c r="E1545" s="5">
        <v>25.4</v>
      </c>
      <c r="F1545" s="5">
        <v>25.45</v>
      </c>
      <c r="G1545" s="5">
        <v>23.35</v>
      </c>
      <c r="H1545" s="5">
        <v>23.65</v>
      </c>
      <c r="I1545" s="5">
        <v>23.65</v>
      </c>
      <c r="J1545" s="5">
        <v>23.99</v>
      </c>
      <c r="K1545" s="5">
        <v>23527</v>
      </c>
      <c r="L1545" s="5">
        <v>5.64</v>
      </c>
      <c r="M1545" s="5">
        <v>773</v>
      </c>
      <c r="N1545" s="5">
        <v>20263</v>
      </c>
      <c r="O1545" s="5">
        <v>86.13</v>
      </c>
      <c r="P1545" s="5">
        <f t="shared" si="120"/>
        <v>-1.25</v>
      </c>
      <c r="Q1545" s="6">
        <f t="shared" si="121"/>
        <v>-5.0200803212851405E-2</v>
      </c>
      <c r="R1545" s="5">
        <f t="shared" si="122"/>
        <v>2.0999999999999979</v>
      </c>
      <c r="S1545" s="6">
        <f t="shared" si="123"/>
        <v>8.4337349397590286E-2</v>
      </c>
      <c r="T1545" s="6">
        <f t="shared" si="124"/>
        <v>-1.3898824731732238E-2</v>
      </c>
    </row>
    <row r="1546" spans="1:20" hidden="1" x14ac:dyDescent="0.25">
      <c r="A1546" s="4" t="s">
        <v>1466</v>
      </c>
      <c r="B1546" s="5" t="s">
        <v>16</v>
      </c>
      <c r="C1546" s="5" t="s">
        <v>1823</v>
      </c>
      <c r="D1546" s="5">
        <v>35</v>
      </c>
      <c r="E1546" s="5">
        <v>35</v>
      </c>
      <c r="F1546" s="5">
        <v>36</v>
      </c>
      <c r="G1546" s="5">
        <v>35</v>
      </c>
      <c r="H1546" s="5">
        <v>35</v>
      </c>
      <c r="I1546" s="5">
        <v>35</v>
      </c>
      <c r="J1546" s="5">
        <v>35</v>
      </c>
      <c r="K1546" s="5">
        <v>501</v>
      </c>
      <c r="L1546" s="5">
        <v>0.18</v>
      </c>
      <c r="M1546" s="5">
        <v>4</v>
      </c>
      <c r="N1546" s="5">
        <v>501</v>
      </c>
      <c r="O1546" s="5">
        <v>100</v>
      </c>
      <c r="P1546" s="5">
        <f t="shared" si="120"/>
        <v>0</v>
      </c>
      <c r="Q1546" s="6">
        <f t="shared" si="121"/>
        <v>0</v>
      </c>
      <c r="R1546" s="5">
        <f t="shared" si="122"/>
        <v>1</v>
      </c>
      <c r="S1546" s="6">
        <f t="shared" si="123"/>
        <v>2.8571428571428571E-2</v>
      </c>
      <c r="T1546" s="6">
        <f t="shared" si="124"/>
        <v>0</v>
      </c>
    </row>
    <row r="1547" spans="1:20" hidden="1" x14ac:dyDescent="0.25">
      <c r="A1547" s="4" t="s">
        <v>1467</v>
      </c>
      <c r="B1547" s="5" t="s">
        <v>16</v>
      </c>
      <c r="C1547" s="5" t="s">
        <v>1823</v>
      </c>
      <c r="D1547" s="5">
        <v>126.7</v>
      </c>
      <c r="E1547" s="5">
        <v>131</v>
      </c>
      <c r="F1547" s="5">
        <v>131</v>
      </c>
      <c r="G1547" s="5">
        <v>122.05</v>
      </c>
      <c r="H1547" s="5">
        <v>123.55</v>
      </c>
      <c r="I1547" s="5">
        <v>123.7</v>
      </c>
      <c r="J1547" s="5">
        <v>125.56</v>
      </c>
      <c r="K1547" s="5">
        <v>1892</v>
      </c>
      <c r="L1547" s="5">
        <v>2.38</v>
      </c>
      <c r="M1547" s="5">
        <v>120</v>
      </c>
      <c r="N1547" s="5">
        <v>1301</v>
      </c>
      <c r="O1547" s="5">
        <v>68.760000000000005</v>
      </c>
      <c r="P1547" s="5">
        <f t="shared" si="120"/>
        <v>-3</v>
      </c>
      <c r="Q1547" s="6">
        <f t="shared" si="121"/>
        <v>-2.3677979479084451E-2</v>
      </c>
      <c r="R1547" s="5">
        <f t="shared" si="122"/>
        <v>8.9500000000000028</v>
      </c>
      <c r="S1547" s="6">
        <f t="shared" si="123"/>
        <v>7.0639305445935302E-2</v>
      </c>
      <c r="T1547" s="6">
        <f t="shared" si="124"/>
        <v>-1.4652880354505165E-2</v>
      </c>
    </row>
    <row r="1548" spans="1:20" hidden="1" x14ac:dyDescent="0.25">
      <c r="A1548" s="4" t="s">
        <v>1468</v>
      </c>
      <c r="B1548" s="5" t="s">
        <v>16</v>
      </c>
      <c r="C1548" s="5" t="s">
        <v>1823</v>
      </c>
      <c r="D1548" s="5">
        <v>138.44999999999999</v>
      </c>
      <c r="E1548" s="5">
        <v>136</v>
      </c>
      <c r="F1548" s="5">
        <v>138.6</v>
      </c>
      <c r="G1548" s="5">
        <v>129.75</v>
      </c>
      <c r="H1548" s="5">
        <v>131.30000000000001</v>
      </c>
      <c r="I1548" s="5">
        <v>131.1</v>
      </c>
      <c r="J1548" s="5">
        <v>133.99</v>
      </c>
      <c r="K1548" s="5">
        <v>30668</v>
      </c>
      <c r="L1548" s="5">
        <v>41.09</v>
      </c>
      <c r="M1548" s="5">
        <v>1142</v>
      </c>
      <c r="N1548" s="5">
        <v>23237</v>
      </c>
      <c r="O1548" s="5">
        <v>75.77</v>
      </c>
      <c r="P1548" s="5">
        <f t="shared" ref="P1548:P1611" si="125">I1548-D1548</f>
        <v>-7.3499999999999943</v>
      </c>
      <c r="Q1548" s="6">
        <f t="shared" ref="Q1548:Q1611" si="126">P1548/D1548</f>
        <v>-5.3087757313109392E-2</v>
      </c>
      <c r="R1548" s="5">
        <f t="shared" ref="R1548:R1611" si="127">ABS(F1548-G1548)</f>
        <v>8.8499999999999943</v>
      </c>
      <c r="S1548" s="6">
        <f t="shared" ref="S1548:S1611" si="128">R1548/D1548</f>
        <v>6.3921993499458249E-2</v>
      </c>
      <c r="T1548" s="6">
        <f t="shared" ref="T1548:T1611" si="129">(I1548-J1548)/AVERAGE(E1548:G1548,I1548)</f>
        <v>-2.1589317396582423E-2</v>
      </c>
    </row>
    <row r="1549" spans="1:20" hidden="1" x14ac:dyDescent="0.25">
      <c r="A1549" s="4" t="s">
        <v>1469</v>
      </c>
      <c r="B1549" s="5" t="s">
        <v>16</v>
      </c>
      <c r="C1549" s="5" t="s">
        <v>1823</v>
      </c>
      <c r="D1549" s="5">
        <v>424.45</v>
      </c>
      <c r="E1549" s="5">
        <v>429.85</v>
      </c>
      <c r="F1549" s="5">
        <v>429.85</v>
      </c>
      <c r="G1549" s="5">
        <v>402</v>
      </c>
      <c r="H1549" s="5">
        <v>402.3</v>
      </c>
      <c r="I1549" s="5">
        <v>405.9</v>
      </c>
      <c r="J1549" s="5">
        <v>410.53</v>
      </c>
      <c r="K1549" s="5">
        <v>59070</v>
      </c>
      <c r="L1549" s="5">
        <v>242.5</v>
      </c>
      <c r="M1549" s="5">
        <v>737</v>
      </c>
      <c r="N1549" s="5">
        <v>52704</v>
      </c>
      <c r="O1549" s="5">
        <v>89.22</v>
      </c>
      <c r="P1549" s="5">
        <f t="shared" si="125"/>
        <v>-18.550000000000011</v>
      </c>
      <c r="Q1549" s="6">
        <f t="shared" si="126"/>
        <v>-4.370361644481096E-2</v>
      </c>
      <c r="R1549" s="5">
        <f t="shared" si="127"/>
        <v>27.850000000000023</v>
      </c>
      <c r="S1549" s="6">
        <f t="shared" si="128"/>
        <v>6.5614324419837486E-2</v>
      </c>
      <c r="T1549" s="6">
        <f t="shared" si="129"/>
        <v>-1.1105780762772837E-2</v>
      </c>
    </row>
    <row r="1550" spans="1:20" hidden="1" x14ac:dyDescent="0.25">
      <c r="A1550" s="4" t="s">
        <v>1470</v>
      </c>
      <c r="B1550" s="5" t="s">
        <v>16</v>
      </c>
      <c r="C1550" s="5" t="s">
        <v>1823</v>
      </c>
      <c r="D1550" s="5">
        <v>17.8</v>
      </c>
      <c r="E1550" s="5">
        <v>17.8</v>
      </c>
      <c r="F1550" s="5">
        <v>18.100000000000001</v>
      </c>
      <c r="G1550" s="5">
        <v>17.350000000000001</v>
      </c>
      <c r="H1550" s="5">
        <v>17.55</v>
      </c>
      <c r="I1550" s="5">
        <v>17.399999999999999</v>
      </c>
      <c r="J1550" s="5">
        <v>17.57</v>
      </c>
      <c r="K1550" s="5">
        <v>93225</v>
      </c>
      <c r="L1550" s="5">
        <v>16.38</v>
      </c>
      <c r="M1550" s="5">
        <v>330</v>
      </c>
      <c r="N1550" s="5">
        <v>79938</v>
      </c>
      <c r="O1550" s="5">
        <v>85.75</v>
      </c>
      <c r="P1550" s="5">
        <f t="shared" si="125"/>
        <v>-0.40000000000000213</v>
      </c>
      <c r="Q1550" s="6">
        <f t="shared" si="126"/>
        <v>-2.2471910112359668E-2</v>
      </c>
      <c r="R1550" s="5">
        <f t="shared" si="127"/>
        <v>0.75</v>
      </c>
      <c r="S1550" s="6">
        <f t="shared" si="128"/>
        <v>4.2134831460674156E-2</v>
      </c>
      <c r="T1550" s="6">
        <f t="shared" si="129"/>
        <v>-9.6249115357396574E-3</v>
      </c>
    </row>
    <row r="1551" spans="1:20" hidden="1" x14ac:dyDescent="0.25">
      <c r="A1551" s="4" t="s">
        <v>1471</v>
      </c>
      <c r="B1551" s="5" t="s">
        <v>16</v>
      </c>
      <c r="C1551" s="5" t="s">
        <v>1823</v>
      </c>
      <c r="D1551" s="5">
        <v>19931</v>
      </c>
      <c r="E1551" s="5">
        <v>20145</v>
      </c>
      <c r="F1551" s="5">
        <v>20145</v>
      </c>
      <c r="G1551" s="5">
        <v>19175.400000000001</v>
      </c>
      <c r="H1551" s="5">
        <v>19398</v>
      </c>
      <c r="I1551" s="5">
        <v>19457.400000000001</v>
      </c>
      <c r="J1551" s="5">
        <v>19513.84</v>
      </c>
      <c r="K1551" s="5">
        <v>21188</v>
      </c>
      <c r="L1551" s="5">
        <v>4134.59</v>
      </c>
      <c r="M1551" s="5">
        <v>8353</v>
      </c>
      <c r="N1551" s="5">
        <v>10454</v>
      </c>
      <c r="O1551" s="5">
        <v>49.34</v>
      </c>
      <c r="P1551" s="5">
        <f t="shared" si="125"/>
        <v>-473.59999999999854</v>
      </c>
      <c r="Q1551" s="6">
        <f t="shared" si="126"/>
        <v>-2.3761978826952915E-2</v>
      </c>
      <c r="R1551" s="5">
        <f t="shared" si="127"/>
        <v>969.59999999999854</v>
      </c>
      <c r="S1551" s="6">
        <f t="shared" si="128"/>
        <v>4.864783503085638E-2</v>
      </c>
      <c r="T1551" s="6">
        <f t="shared" si="129"/>
        <v>-2.8605168595132809E-3</v>
      </c>
    </row>
    <row r="1552" spans="1:20" hidden="1" x14ac:dyDescent="0.25">
      <c r="A1552" s="4" t="s">
        <v>1472</v>
      </c>
      <c r="B1552" s="5" t="s">
        <v>16</v>
      </c>
      <c r="C1552" s="5" t="s">
        <v>1823</v>
      </c>
      <c r="D1552" s="5">
        <v>111.1</v>
      </c>
      <c r="E1552" s="5">
        <v>111</v>
      </c>
      <c r="F1552" s="5">
        <v>111.85</v>
      </c>
      <c r="G1552" s="5">
        <v>108</v>
      </c>
      <c r="H1552" s="5">
        <v>108.25</v>
      </c>
      <c r="I1552" s="5">
        <v>109.3</v>
      </c>
      <c r="J1552" s="5">
        <v>110.34</v>
      </c>
      <c r="K1552" s="5">
        <v>11285</v>
      </c>
      <c r="L1552" s="5">
        <v>12.45</v>
      </c>
      <c r="M1552" s="5">
        <v>448</v>
      </c>
      <c r="N1552" s="5">
        <v>6796</v>
      </c>
      <c r="O1552" s="5">
        <v>60.22</v>
      </c>
      <c r="P1552" s="5">
        <f t="shared" si="125"/>
        <v>-1.7999999999999972</v>
      </c>
      <c r="Q1552" s="6">
        <f t="shared" si="126"/>
        <v>-1.6201620162016178E-2</v>
      </c>
      <c r="R1552" s="5">
        <f t="shared" si="127"/>
        <v>3.8499999999999943</v>
      </c>
      <c r="S1552" s="6">
        <f t="shared" si="128"/>
        <v>3.4653465346534601E-2</v>
      </c>
      <c r="T1552" s="6">
        <f t="shared" si="129"/>
        <v>-9.4513234124730758E-3</v>
      </c>
    </row>
    <row r="1553" spans="1:20" hidden="1" x14ac:dyDescent="0.25">
      <c r="A1553" s="4" t="s">
        <v>1473</v>
      </c>
      <c r="B1553" s="5" t="s">
        <v>16</v>
      </c>
      <c r="C1553" s="5" t="s">
        <v>1823</v>
      </c>
      <c r="D1553" s="5">
        <v>4.45</v>
      </c>
      <c r="E1553" s="5">
        <v>4.4000000000000004</v>
      </c>
      <c r="F1553" s="5">
        <v>4.4000000000000004</v>
      </c>
      <c r="G1553" s="5">
        <v>4.25</v>
      </c>
      <c r="H1553" s="5">
        <v>4.3</v>
      </c>
      <c r="I1553" s="5">
        <v>4.3</v>
      </c>
      <c r="J1553" s="5">
        <v>4.2699999999999996</v>
      </c>
      <c r="K1553" s="5">
        <v>5140</v>
      </c>
      <c r="L1553" s="5">
        <v>0.22</v>
      </c>
      <c r="M1553" s="5">
        <v>20</v>
      </c>
      <c r="N1553" s="5">
        <v>4805</v>
      </c>
      <c r="O1553" s="5">
        <v>93.48</v>
      </c>
      <c r="P1553" s="5">
        <f t="shared" si="125"/>
        <v>-0.15000000000000036</v>
      </c>
      <c r="Q1553" s="6">
        <f t="shared" si="126"/>
        <v>-3.3707865168539401E-2</v>
      </c>
      <c r="R1553" s="5">
        <f t="shared" si="127"/>
        <v>0.15000000000000036</v>
      </c>
      <c r="S1553" s="6">
        <f t="shared" si="128"/>
        <v>3.3707865168539401E-2</v>
      </c>
      <c r="T1553" s="6">
        <f t="shared" si="129"/>
        <v>6.9164265129683569E-3</v>
      </c>
    </row>
    <row r="1554" spans="1:20" hidden="1" x14ac:dyDescent="0.25">
      <c r="A1554" s="4" t="s">
        <v>1474</v>
      </c>
      <c r="B1554" s="5" t="s">
        <v>16</v>
      </c>
      <c r="C1554" s="5" t="s">
        <v>1823</v>
      </c>
      <c r="D1554" s="5">
        <v>43.1</v>
      </c>
      <c r="E1554" s="5">
        <v>44</v>
      </c>
      <c r="F1554" s="5">
        <v>44.4</v>
      </c>
      <c r="G1554" s="5">
        <v>41.05</v>
      </c>
      <c r="H1554" s="5">
        <v>41.05</v>
      </c>
      <c r="I1554" s="5">
        <v>42.4</v>
      </c>
      <c r="J1554" s="5">
        <v>42.45</v>
      </c>
      <c r="K1554" s="5">
        <v>35559</v>
      </c>
      <c r="L1554" s="5">
        <v>15.09</v>
      </c>
      <c r="M1554" s="5">
        <v>391</v>
      </c>
      <c r="N1554" s="5">
        <v>10026</v>
      </c>
      <c r="O1554" s="5">
        <v>28.2</v>
      </c>
      <c r="P1554" s="5">
        <f t="shared" si="125"/>
        <v>-0.70000000000000284</v>
      </c>
      <c r="Q1554" s="6">
        <f t="shared" si="126"/>
        <v>-1.6241299303944381E-2</v>
      </c>
      <c r="R1554" s="5">
        <f t="shared" si="127"/>
        <v>3.3500000000000014</v>
      </c>
      <c r="S1554" s="6">
        <f t="shared" si="128"/>
        <v>7.7726218097447827E-2</v>
      </c>
      <c r="T1554" s="6">
        <f t="shared" si="129"/>
        <v>-1.163805644457475E-3</v>
      </c>
    </row>
    <row r="1555" spans="1:20" hidden="1" x14ac:dyDescent="0.25">
      <c r="A1555" s="4" t="s">
        <v>1475</v>
      </c>
      <c r="B1555" s="5" t="s">
        <v>16</v>
      </c>
      <c r="C1555" s="5" t="s">
        <v>1823</v>
      </c>
      <c r="D1555" s="5">
        <v>138.55000000000001</v>
      </c>
      <c r="E1555" s="5">
        <v>137.19999999999999</v>
      </c>
      <c r="F1555" s="5">
        <v>144.05000000000001</v>
      </c>
      <c r="G1555" s="5">
        <v>136</v>
      </c>
      <c r="H1555" s="5">
        <v>140.65</v>
      </c>
      <c r="I1555" s="5">
        <v>140.44999999999999</v>
      </c>
      <c r="J1555" s="5">
        <v>140.87</v>
      </c>
      <c r="K1555" s="5">
        <v>59227</v>
      </c>
      <c r="L1555" s="5">
        <v>83.43</v>
      </c>
      <c r="M1555" s="5">
        <v>1031</v>
      </c>
      <c r="N1555" s="5">
        <v>37862</v>
      </c>
      <c r="O1555" s="5">
        <v>63.93</v>
      </c>
      <c r="P1555" s="5">
        <f t="shared" si="125"/>
        <v>1.8999999999999773</v>
      </c>
      <c r="Q1555" s="6">
        <f t="shared" si="126"/>
        <v>1.3713460844460318E-2</v>
      </c>
      <c r="R1555" s="5">
        <f t="shared" si="127"/>
        <v>8.0500000000000114</v>
      </c>
      <c r="S1555" s="6">
        <f t="shared" si="128"/>
        <v>5.8101768314687913E-2</v>
      </c>
      <c r="T1555" s="6">
        <f t="shared" si="129"/>
        <v>-3.0123722431415877E-3</v>
      </c>
    </row>
    <row r="1556" spans="1:20" hidden="1" x14ac:dyDescent="0.25">
      <c r="A1556" s="4" t="s">
        <v>1476</v>
      </c>
      <c r="B1556" s="5" t="s">
        <v>16</v>
      </c>
      <c r="C1556" s="5" t="s">
        <v>1823</v>
      </c>
      <c r="D1556" s="5">
        <v>92</v>
      </c>
      <c r="E1556" s="5">
        <v>91.8</v>
      </c>
      <c r="F1556" s="5">
        <v>91.8</v>
      </c>
      <c r="G1556" s="5">
        <v>88.1</v>
      </c>
      <c r="H1556" s="5">
        <v>89</v>
      </c>
      <c r="I1556" s="5">
        <v>89.05</v>
      </c>
      <c r="J1556" s="5">
        <v>90.34</v>
      </c>
      <c r="K1556" s="5">
        <v>1592</v>
      </c>
      <c r="L1556" s="5">
        <v>1.44</v>
      </c>
      <c r="M1556" s="5">
        <v>45</v>
      </c>
      <c r="N1556" s="5">
        <v>1487</v>
      </c>
      <c r="O1556" s="5">
        <v>93.4</v>
      </c>
      <c r="P1556" s="5">
        <f t="shared" si="125"/>
        <v>-2.9500000000000028</v>
      </c>
      <c r="Q1556" s="6">
        <f t="shared" si="126"/>
        <v>-3.2065217391304378E-2</v>
      </c>
      <c r="R1556" s="5">
        <f t="shared" si="127"/>
        <v>3.7000000000000028</v>
      </c>
      <c r="S1556" s="6">
        <f t="shared" si="128"/>
        <v>4.0217391304347858E-2</v>
      </c>
      <c r="T1556" s="6">
        <f t="shared" si="129"/>
        <v>-1.4303534303534373E-2</v>
      </c>
    </row>
    <row r="1557" spans="1:20" hidden="1" x14ac:dyDescent="0.25">
      <c r="A1557" s="4" t="s">
        <v>1477</v>
      </c>
      <c r="B1557" s="5" t="s">
        <v>16</v>
      </c>
      <c r="C1557" s="5" t="s">
        <v>1823</v>
      </c>
      <c r="D1557" s="5">
        <v>1348.3</v>
      </c>
      <c r="E1557" s="5">
        <v>1342.7</v>
      </c>
      <c r="F1557" s="5">
        <v>1349.9</v>
      </c>
      <c r="G1557" s="5">
        <v>1315</v>
      </c>
      <c r="H1557" s="5">
        <v>1340</v>
      </c>
      <c r="I1557" s="5">
        <v>1339.65</v>
      </c>
      <c r="J1557" s="5">
        <v>1338.96</v>
      </c>
      <c r="K1557" s="5">
        <v>12478</v>
      </c>
      <c r="L1557" s="5">
        <v>167.07</v>
      </c>
      <c r="M1557" s="5">
        <v>1415</v>
      </c>
      <c r="N1557" s="5">
        <v>11563</v>
      </c>
      <c r="O1557" s="5">
        <v>92.67</v>
      </c>
      <c r="P1557" s="5">
        <f t="shared" si="125"/>
        <v>-8.6499999999998636</v>
      </c>
      <c r="Q1557" s="6">
        <f t="shared" si="126"/>
        <v>-6.4154861677667161E-3</v>
      </c>
      <c r="R1557" s="5">
        <f t="shared" si="127"/>
        <v>34.900000000000091</v>
      </c>
      <c r="S1557" s="6">
        <f t="shared" si="128"/>
        <v>2.5884447081510119E-2</v>
      </c>
      <c r="T1557" s="6">
        <f t="shared" si="129"/>
        <v>5.1615316284075335E-4</v>
      </c>
    </row>
    <row r="1558" spans="1:20" x14ac:dyDescent="0.25">
      <c r="A1558" s="4" t="s">
        <v>158</v>
      </c>
      <c r="B1558" s="5" t="s">
        <v>16</v>
      </c>
      <c r="C1558" s="5" t="s">
        <v>1823</v>
      </c>
      <c r="D1558" s="5">
        <v>112.55</v>
      </c>
      <c r="E1558" s="5">
        <v>112.4</v>
      </c>
      <c r="F1558" s="5">
        <v>113.7</v>
      </c>
      <c r="G1558" s="5">
        <v>109.15</v>
      </c>
      <c r="H1558" s="5">
        <v>110.85</v>
      </c>
      <c r="I1558" s="5">
        <v>110.6</v>
      </c>
      <c r="J1558" s="5">
        <v>112.43</v>
      </c>
      <c r="K1558" s="5">
        <v>368046</v>
      </c>
      <c r="L1558" s="5">
        <v>413.79</v>
      </c>
      <c r="M1558" s="5">
        <v>3591</v>
      </c>
      <c r="N1558" s="5">
        <v>250010</v>
      </c>
      <c r="O1558" s="5">
        <v>67.930000000000007</v>
      </c>
      <c r="P1558" s="5">
        <f t="shared" si="125"/>
        <v>-1.9500000000000028</v>
      </c>
      <c r="Q1558" s="6">
        <f t="shared" si="126"/>
        <v>-1.7325633051976926E-2</v>
      </c>
      <c r="R1558" s="5">
        <f t="shared" si="127"/>
        <v>4.5499999999999972</v>
      </c>
      <c r="S1558" s="6">
        <f t="shared" si="128"/>
        <v>4.0426477121279406E-2</v>
      </c>
      <c r="T1558" s="6">
        <f t="shared" si="129"/>
        <v>-1.6418077828866322E-2</v>
      </c>
    </row>
    <row r="1559" spans="1:20" hidden="1" x14ac:dyDescent="0.25">
      <c r="A1559" s="4" t="s">
        <v>1479</v>
      </c>
      <c r="B1559" s="5" t="s">
        <v>28</v>
      </c>
      <c r="C1559" s="5" t="s">
        <v>1823</v>
      </c>
      <c r="D1559" s="5">
        <v>167</v>
      </c>
      <c r="E1559" s="5">
        <v>168</v>
      </c>
      <c r="F1559" s="5">
        <v>172</v>
      </c>
      <c r="G1559" s="5">
        <v>153.1</v>
      </c>
      <c r="H1559" s="5">
        <v>159.5</v>
      </c>
      <c r="I1559" s="5">
        <v>158.75</v>
      </c>
      <c r="J1559" s="5">
        <v>158.78</v>
      </c>
      <c r="K1559" s="5">
        <v>11000</v>
      </c>
      <c r="L1559" s="5">
        <v>17.47</v>
      </c>
      <c r="M1559" s="5">
        <v>11</v>
      </c>
      <c r="N1559" s="5">
        <v>8000</v>
      </c>
      <c r="O1559" s="5">
        <v>72.73</v>
      </c>
      <c r="P1559" s="5">
        <f t="shared" si="125"/>
        <v>-8.25</v>
      </c>
      <c r="Q1559" s="6">
        <f t="shared" si="126"/>
        <v>-4.940119760479042E-2</v>
      </c>
      <c r="R1559" s="5">
        <f t="shared" si="127"/>
        <v>18.900000000000006</v>
      </c>
      <c r="S1559" s="6">
        <f t="shared" si="128"/>
        <v>0.11317365269461081</v>
      </c>
      <c r="T1559" s="6">
        <f t="shared" si="129"/>
        <v>-1.8409143207793902E-4</v>
      </c>
    </row>
    <row r="1560" spans="1:20" hidden="1" x14ac:dyDescent="0.25">
      <c r="A1560" s="4" t="s">
        <v>1480</v>
      </c>
      <c r="B1560" s="5" t="s">
        <v>16</v>
      </c>
      <c r="C1560" s="5" t="s">
        <v>1823</v>
      </c>
      <c r="D1560" s="5">
        <v>2.85</v>
      </c>
      <c r="E1560" s="5">
        <v>2.8</v>
      </c>
      <c r="F1560" s="5">
        <v>2.95</v>
      </c>
      <c r="G1560" s="5">
        <v>2.75</v>
      </c>
      <c r="H1560" s="5">
        <v>2.85</v>
      </c>
      <c r="I1560" s="5">
        <v>2.85</v>
      </c>
      <c r="J1560" s="5">
        <v>2.82</v>
      </c>
      <c r="K1560" s="5">
        <v>3801</v>
      </c>
      <c r="L1560" s="5">
        <v>0.11</v>
      </c>
      <c r="M1560" s="5">
        <v>14</v>
      </c>
      <c r="N1560" s="5">
        <v>3790</v>
      </c>
      <c r="O1560" s="5">
        <v>99.71</v>
      </c>
      <c r="P1560" s="5">
        <f t="shared" si="125"/>
        <v>0</v>
      </c>
      <c r="Q1560" s="6">
        <f t="shared" si="126"/>
        <v>0</v>
      </c>
      <c r="R1560" s="5">
        <f t="shared" si="127"/>
        <v>0.20000000000000018</v>
      </c>
      <c r="S1560" s="6">
        <f t="shared" si="128"/>
        <v>7.0175438596491294E-2</v>
      </c>
      <c r="T1560" s="6">
        <f t="shared" si="129"/>
        <v>1.0572687224669692E-2</v>
      </c>
    </row>
    <row r="1561" spans="1:20" hidden="1" x14ac:dyDescent="0.25">
      <c r="A1561" s="4" t="s">
        <v>1481</v>
      </c>
      <c r="B1561" s="5" t="s">
        <v>39</v>
      </c>
      <c r="C1561" s="5" t="s">
        <v>1823</v>
      </c>
      <c r="D1561" s="5">
        <v>19.7</v>
      </c>
      <c r="E1561" s="5">
        <v>19.25</v>
      </c>
      <c r="F1561" s="5">
        <v>19.95</v>
      </c>
      <c r="G1561" s="5">
        <v>19.2</v>
      </c>
      <c r="H1561" s="5">
        <v>19.2</v>
      </c>
      <c r="I1561" s="5">
        <v>19.25</v>
      </c>
      <c r="J1561" s="5">
        <v>19.350000000000001</v>
      </c>
      <c r="K1561" s="5">
        <v>1665</v>
      </c>
      <c r="L1561" s="5">
        <v>0.32</v>
      </c>
      <c r="M1561" s="5">
        <v>24</v>
      </c>
      <c r="N1561" s="5" t="s">
        <v>25</v>
      </c>
      <c r="O1561" s="5" t="s">
        <v>25</v>
      </c>
      <c r="P1561" s="5">
        <f t="shared" si="125"/>
        <v>-0.44999999999999929</v>
      </c>
      <c r="Q1561" s="6">
        <f t="shared" si="126"/>
        <v>-2.2842639593908594E-2</v>
      </c>
      <c r="R1561" s="5">
        <f t="shared" si="127"/>
        <v>0.75</v>
      </c>
      <c r="S1561" s="6">
        <f t="shared" si="128"/>
        <v>3.8071065989847719E-2</v>
      </c>
      <c r="T1561" s="6">
        <f t="shared" si="129"/>
        <v>-5.1513200257566729E-3</v>
      </c>
    </row>
    <row r="1562" spans="1:20" hidden="1" x14ac:dyDescent="0.25">
      <c r="A1562" s="4" t="s">
        <v>1482</v>
      </c>
      <c r="B1562" s="5" t="s">
        <v>16</v>
      </c>
      <c r="C1562" s="5" t="s">
        <v>1823</v>
      </c>
      <c r="D1562" s="5">
        <v>27.4</v>
      </c>
      <c r="E1562" s="5">
        <v>27.6</v>
      </c>
      <c r="F1562" s="5">
        <v>27.6</v>
      </c>
      <c r="G1562" s="5">
        <v>26.6</v>
      </c>
      <c r="H1562" s="5">
        <v>27</v>
      </c>
      <c r="I1562" s="5">
        <v>27.05</v>
      </c>
      <c r="J1562" s="5">
        <v>27.05</v>
      </c>
      <c r="K1562" s="5">
        <v>19914</v>
      </c>
      <c r="L1562" s="5">
        <v>5.39</v>
      </c>
      <c r="M1562" s="5">
        <v>207</v>
      </c>
      <c r="N1562" s="5">
        <v>15110</v>
      </c>
      <c r="O1562" s="5">
        <v>75.88</v>
      </c>
      <c r="P1562" s="5">
        <f t="shared" si="125"/>
        <v>-0.34999999999999787</v>
      </c>
      <c r="Q1562" s="6">
        <f t="shared" si="126"/>
        <v>-1.277372262773715E-2</v>
      </c>
      <c r="R1562" s="5">
        <f t="shared" si="127"/>
        <v>1</v>
      </c>
      <c r="S1562" s="6">
        <f t="shared" si="128"/>
        <v>3.6496350364963508E-2</v>
      </c>
      <c r="T1562" s="6">
        <f t="shared" si="129"/>
        <v>0</v>
      </c>
    </row>
    <row r="1563" spans="1:20" x14ac:dyDescent="0.25">
      <c r="A1563" s="4" t="s">
        <v>969</v>
      </c>
      <c r="B1563" s="5" t="s">
        <v>16</v>
      </c>
      <c r="C1563" s="5" t="s">
        <v>1823</v>
      </c>
      <c r="D1563" s="5">
        <v>1477.1</v>
      </c>
      <c r="E1563" s="5">
        <v>1485.9</v>
      </c>
      <c r="F1563" s="5">
        <v>1515</v>
      </c>
      <c r="G1563" s="5">
        <v>1465</v>
      </c>
      <c r="H1563" s="5">
        <v>1493</v>
      </c>
      <c r="I1563" s="5">
        <v>1494.15</v>
      </c>
      <c r="J1563" s="5">
        <v>1502.26</v>
      </c>
      <c r="K1563" s="5">
        <v>444863</v>
      </c>
      <c r="L1563" s="5">
        <v>6683</v>
      </c>
      <c r="M1563" s="5">
        <v>30760</v>
      </c>
      <c r="N1563" s="5">
        <v>303115</v>
      </c>
      <c r="O1563" s="5">
        <v>68.14</v>
      </c>
      <c r="P1563" s="5">
        <f t="shared" si="125"/>
        <v>17.050000000000182</v>
      </c>
      <c r="Q1563" s="6">
        <f t="shared" si="126"/>
        <v>1.1542888091530826E-2</v>
      </c>
      <c r="R1563" s="5">
        <f t="shared" si="127"/>
        <v>50</v>
      </c>
      <c r="S1563" s="6">
        <f t="shared" si="128"/>
        <v>3.3850111705368627E-2</v>
      </c>
      <c r="T1563" s="6">
        <f t="shared" si="129"/>
        <v>-5.4429073581596802E-3</v>
      </c>
    </row>
    <row r="1564" spans="1:20" hidden="1" x14ac:dyDescent="0.25">
      <c r="A1564" s="4" t="s">
        <v>1484</v>
      </c>
      <c r="B1564" s="5" t="s">
        <v>16</v>
      </c>
      <c r="C1564" s="5" t="s">
        <v>1823</v>
      </c>
      <c r="D1564" s="5">
        <v>24.8</v>
      </c>
      <c r="E1564" s="5">
        <v>25.25</v>
      </c>
      <c r="F1564" s="5">
        <v>25.25</v>
      </c>
      <c r="G1564" s="5">
        <v>24.35</v>
      </c>
      <c r="H1564" s="5">
        <v>24.55</v>
      </c>
      <c r="I1564" s="5">
        <v>24.75</v>
      </c>
      <c r="J1564" s="5">
        <v>24.68</v>
      </c>
      <c r="K1564" s="5">
        <v>5038</v>
      </c>
      <c r="L1564" s="5">
        <v>1.24</v>
      </c>
      <c r="M1564" s="5">
        <v>102</v>
      </c>
      <c r="N1564" s="5">
        <v>4374</v>
      </c>
      <c r="O1564" s="5">
        <v>86.82</v>
      </c>
      <c r="P1564" s="5">
        <f t="shared" si="125"/>
        <v>-5.0000000000000711E-2</v>
      </c>
      <c r="Q1564" s="6">
        <f t="shared" si="126"/>
        <v>-2.0161290322580931E-3</v>
      </c>
      <c r="R1564" s="5">
        <f t="shared" si="127"/>
        <v>0.89999999999999858</v>
      </c>
      <c r="S1564" s="6">
        <f t="shared" si="128"/>
        <v>3.6290322580645101E-2</v>
      </c>
      <c r="T1564" s="6">
        <f t="shared" si="129"/>
        <v>2.8112449799196902E-3</v>
      </c>
    </row>
    <row r="1565" spans="1:20" hidden="1" x14ac:dyDescent="0.25">
      <c r="A1565" s="4" t="s">
        <v>1485</v>
      </c>
      <c r="B1565" s="5" t="s">
        <v>39</v>
      </c>
      <c r="C1565" s="5" t="s">
        <v>1823</v>
      </c>
      <c r="D1565" s="5">
        <v>12.25</v>
      </c>
      <c r="E1565" s="5">
        <v>12</v>
      </c>
      <c r="F1565" s="5">
        <v>12.4</v>
      </c>
      <c r="G1565" s="5">
        <v>11.65</v>
      </c>
      <c r="H1565" s="5">
        <v>11.65</v>
      </c>
      <c r="I1565" s="5">
        <v>11.65</v>
      </c>
      <c r="J1565" s="5">
        <v>11.75</v>
      </c>
      <c r="K1565" s="5">
        <v>4359</v>
      </c>
      <c r="L1565" s="5">
        <v>0.51</v>
      </c>
      <c r="M1565" s="5">
        <v>27</v>
      </c>
      <c r="N1565" s="5" t="s">
        <v>25</v>
      </c>
      <c r="O1565" s="5" t="s">
        <v>25</v>
      </c>
      <c r="P1565" s="5">
        <f t="shared" si="125"/>
        <v>-0.59999999999999964</v>
      </c>
      <c r="Q1565" s="6">
        <f t="shared" si="126"/>
        <v>-4.8979591836734664E-2</v>
      </c>
      <c r="R1565" s="5">
        <f t="shared" si="127"/>
        <v>0.75</v>
      </c>
      <c r="S1565" s="6">
        <f t="shared" si="128"/>
        <v>6.1224489795918366E-2</v>
      </c>
      <c r="T1565" s="6">
        <f t="shared" si="129"/>
        <v>-8.3857442348008095E-3</v>
      </c>
    </row>
    <row r="1566" spans="1:20" hidden="1" x14ac:dyDescent="0.25">
      <c r="A1566" s="4" t="s">
        <v>1486</v>
      </c>
      <c r="B1566" s="5" t="s">
        <v>16</v>
      </c>
      <c r="C1566" s="5" t="s">
        <v>1823</v>
      </c>
      <c r="D1566" s="5">
        <v>161</v>
      </c>
      <c r="E1566" s="5">
        <v>172</v>
      </c>
      <c r="F1566" s="5">
        <v>172</v>
      </c>
      <c r="G1566" s="5">
        <v>157.05000000000001</v>
      </c>
      <c r="H1566" s="5">
        <v>158.30000000000001</v>
      </c>
      <c r="I1566" s="5">
        <v>158.30000000000001</v>
      </c>
      <c r="J1566" s="5">
        <v>160.1</v>
      </c>
      <c r="K1566" s="5">
        <v>3613</v>
      </c>
      <c r="L1566" s="5">
        <v>5.78</v>
      </c>
      <c r="M1566" s="5">
        <v>509</v>
      </c>
      <c r="N1566" s="5">
        <v>1556</v>
      </c>
      <c r="O1566" s="5">
        <v>43.07</v>
      </c>
      <c r="P1566" s="5">
        <f t="shared" si="125"/>
        <v>-2.6999999999999886</v>
      </c>
      <c r="Q1566" s="6">
        <f t="shared" si="126"/>
        <v>-1.6770186335403656E-2</v>
      </c>
      <c r="R1566" s="5">
        <f t="shared" si="127"/>
        <v>14.949999999999989</v>
      </c>
      <c r="S1566" s="6">
        <f t="shared" si="128"/>
        <v>9.2857142857142791E-2</v>
      </c>
      <c r="T1566" s="6">
        <f t="shared" si="129"/>
        <v>-1.0919845302191448E-2</v>
      </c>
    </row>
    <row r="1567" spans="1:20" hidden="1" x14ac:dyDescent="0.25">
      <c r="A1567" s="4" t="s">
        <v>1855</v>
      </c>
      <c r="B1567" s="5" t="s">
        <v>28</v>
      </c>
      <c r="C1567" s="5" t="s">
        <v>1823</v>
      </c>
      <c r="D1567" s="5">
        <v>68</v>
      </c>
      <c r="E1567" s="5">
        <v>69.3</v>
      </c>
      <c r="F1567" s="5">
        <v>69.8</v>
      </c>
      <c r="G1567" s="5">
        <v>69.3</v>
      </c>
      <c r="H1567" s="5">
        <v>69.8</v>
      </c>
      <c r="I1567" s="5">
        <v>69.8</v>
      </c>
      <c r="J1567" s="5">
        <v>69.55</v>
      </c>
      <c r="K1567" s="5">
        <v>2400</v>
      </c>
      <c r="L1567" s="5">
        <v>1.67</v>
      </c>
      <c r="M1567" s="5">
        <v>2</v>
      </c>
      <c r="N1567" s="5">
        <v>2400</v>
      </c>
      <c r="O1567" s="5">
        <v>100</v>
      </c>
      <c r="P1567" s="5">
        <f t="shared" si="125"/>
        <v>1.7999999999999972</v>
      </c>
      <c r="Q1567" s="6">
        <f t="shared" si="126"/>
        <v>2.6470588235294076E-2</v>
      </c>
      <c r="R1567" s="5">
        <f t="shared" si="127"/>
        <v>0.5</v>
      </c>
      <c r="S1567" s="6">
        <f t="shared" si="128"/>
        <v>7.3529411764705881E-3</v>
      </c>
      <c r="T1567" s="6">
        <f t="shared" si="129"/>
        <v>3.5945363048166786E-3</v>
      </c>
    </row>
    <row r="1568" spans="1:20" hidden="1" x14ac:dyDescent="0.25">
      <c r="A1568" s="4" t="s">
        <v>1487</v>
      </c>
      <c r="B1568" s="5" t="s">
        <v>28</v>
      </c>
      <c r="C1568" s="5" t="s">
        <v>1823</v>
      </c>
      <c r="D1568" s="5">
        <v>116.9</v>
      </c>
      <c r="E1568" s="5">
        <v>112.05</v>
      </c>
      <c r="F1568" s="5">
        <v>116.75</v>
      </c>
      <c r="G1568" s="5">
        <v>112.05</v>
      </c>
      <c r="H1568" s="5">
        <v>116.75</v>
      </c>
      <c r="I1568" s="5">
        <v>116.75</v>
      </c>
      <c r="J1568" s="5">
        <v>112.34</v>
      </c>
      <c r="K1568" s="5">
        <v>16000</v>
      </c>
      <c r="L1568" s="5">
        <v>17.98</v>
      </c>
      <c r="M1568" s="5">
        <v>14</v>
      </c>
      <c r="N1568" s="5">
        <v>15000</v>
      </c>
      <c r="O1568" s="5">
        <v>93.75</v>
      </c>
      <c r="P1568" s="5">
        <f t="shared" si="125"/>
        <v>-0.15000000000000568</v>
      </c>
      <c r="Q1568" s="6">
        <f t="shared" si="126"/>
        <v>-1.2831479897348647E-3</v>
      </c>
      <c r="R1568" s="5">
        <f t="shared" si="127"/>
        <v>4.7000000000000028</v>
      </c>
      <c r="S1568" s="6">
        <f t="shared" si="128"/>
        <v>4.020530367835759E-2</v>
      </c>
      <c r="T1568" s="6">
        <f t="shared" si="129"/>
        <v>3.8548951048951015E-2</v>
      </c>
    </row>
    <row r="1569" spans="1:20" hidden="1" x14ac:dyDescent="0.25">
      <c r="A1569" s="4" t="s">
        <v>1488</v>
      </c>
      <c r="B1569" s="5" t="s">
        <v>39</v>
      </c>
      <c r="C1569" s="5" t="s">
        <v>1823</v>
      </c>
      <c r="D1569" s="5">
        <v>7.5</v>
      </c>
      <c r="E1569" s="5">
        <v>7.5</v>
      </c>
      <c r="F1569" s="5">
        <v>7.65</v>
      </c>
      <c r="G1569" s="5">
        <v>7.15</v>
      </c>
      <c r="H1569" s="5">
        <v>7.55</v>
      </c>
      <c r="I1569" s="5">
        <v>7.35</v>
      </c>
      <c r="J1569" s="5">
        <v>7.2</v>
      </c>
      <c r="K1569" s="5">
        <v>9637</v>
      </c>
      <c r="L1569" s="5">
        <v>0.69</v>
      </c>
      <c r="M1569" s="5">
        <v>37</v>
      </c>
      <c r="N1569" s="5" t="s">
        <v>25</v>
      </c>
      <c r="O1569" s="5" t="s">
        <v>25</v>
      </c>
      <c r="P1569" s="5">
        <f t="shared" si="125"/>
        <v>-0.15000000000000036</v>
      </c>
      <c r="Q1569" s="6">
        <f t="shared" si="126"/>
        <v>-2.0000000000000049E-2</v>
      </c>
      <c r="R1569" s="5">
        <f t="shared" si="127"/>
        <v>0.5</v>
      </c>
      <c r="S1569" s="6">
        <f t="shared" si="128"/>
        <v>6.6666666666666666E-2</v>
      </c>
      <c r="T1569" s="6">
        <f t="shared" si="129"/>
        <v>2.0236087689713252E-2</v>
      </c>
    </row>
    <row r="1570" spans="1:20" x14ac:dyDescent="0.25">
      <c r="A1570" s="4" t="s">
        <v>1786</v>
      </c>
      <c r="B1570" s="5" t="s">
        <v>16</v>
      </c>
      <c r="C1570" s="5" t="s">
        <v>1823</v>
      </c>
      <c r="D1570" s="5">
        <v>57.3</v>
      </c>
      <c r="E1570" s="5">
        <v>56.2</v>
      </c>
      <c r="F1570" s="5">
        <v>57.4</v>
      </c>
      <c r="G1570" s="5">
        <v>53.55</v>
      </c>
      <c r="H1570" s="5">
        <v>54.05</v>
      </c>
      <c r="I1570" s="5">
        <v>54.6</v>
      </c>
      <c r="J1570" s="5">
        <v>55.96</v>
      </c>
      <c r="K1570" s="5">
        <v>457732</v>
      </c>
      <c r="L1570" s="5">
        <v>256.14</v>
      </c>
      <c r="M1570" s="5">
        <v>8732</v>
      </c>
      <c r="N1570" s="5">
        <v>311891</v>
      </c>
      <c r="O1570" s="5">
        <v>68.14</v>
      </c>
      <c r="P1570" s="5">
        <f t="shared" si="125"/>
        <v>-2.6999999999999957</v>
      </c>
      <c r="Q1570" s="6">
        <f t="shared" si="126"/>
        <v>-4.7120418848167464E-2</v>
      </c>
      <c r="R1570" s="5">
        <f t="shared" si="127"/>
        <v>3.8500000000000014</v>
      </c>
      <c r="S1570" s="6">
        <f t="shared" si="128"/>
        <v>6.7190226876090775E-2</v>
      </c>
      <c r="T1570" s="6">
        <f t="shared" si="129"/>
        <v>-2.4532130777903036E-2</v>
      </c>
    </row>
    <row r="1571" spans="1:20" hidden="1" x14ac:dyDescent="0.25">
      <c r="A1571" s="4" t="s">
        <v>1490</v>
      </c>
      <c r="B1571" s="5" t="s">
        <v>16</v>
      </c>
      <c r="C1571" s="5" t="s">
        <v>1823</v>
      </c>
      <c r="D1571" s="5">
        <v>2.15</v>
      </c>
      <c r="E1571" s="5">
        <v>2.0499999999999998</v>
      </c>
      <c r="F1571" s="5">
        <v>2.0499999999999998</v>
      </c>
      <c r="G1571" s="5">
        <v>2.0499999999999998</v>
      </c>
      <c r="H1571" s="5">
        <v>2.0499999999999998</v>
      </c>
      <c r="I1571" s="5">
        <v>2.0499999999999998</v>
      </c>
      <c r="J1571" s="5">
        <v>2.0499999999999998</v>
      </c>
      <c r="K1571" s="5">
        <v>458545</v>
      </c>
      <c r="L1571" s="5">
        <v>9.4</v>
      </c>
      <c r="M1571" s="5">
        <v>407</v>
      </c>
      <c r="N1571" s="5">
        <v>458545</v>
      </c>
      <c r="O1571" s="5">
        <v>100</v>
      </c>
      <c r="P1571" s="5">
        <f t="shared" si="125"/>
        <v>-0.10000000000000009</v>
      </c>
      <c r="Q1571" s="6">
        <f t="shared" si="126"/>
        <v>-4.6511627906976785E-2</v>
      </c>
      <c r="R1571" s="5">
        <f t="shared" si="127"/>
        <v>0</v>
      </c>
      <c r="S1571" s="6">
        <f t="shared" si="128"/>
        <v>0</v>
      </c>
      <c r="T1571" s="6">
        <f t="shared" si="129"/>
        <v>0</v>
      </c>
    </row>
    <row r="1572" spans="1:20" hidden="1" x14ac:dyDescent="0.25">
      <c r="A1572" s="4" t="s">
        <v>1491</v>
      </c>
      <c r="B1572" s="5" t="s">
        <v>16</v>
      </c>
      <c r="C1572" s="5" t="s">
        <v>1823</v>
      </c>
      <c r="D1572" s="5">
        <v>196.8</v>
      </c>
      <c r="E1572" s="5">
        <v>200</v>
      </c>
      <c r="F1572" s="5">
        <v>200</v>
      </c>
      <c r="G1572" s="5">
        <v>190.75</v>
      </c>
      <c r="H1572" s="5">
        <v>200</v>
      </c>
      <c r="I1572" s="5">
        <v>198.5</v>
      </c>
      <c r="J1572" s="5">
        <v>199.01</v>
      </c>
      <c r="K1572" s="5">
        <v>11698</v>
      </c>
      <c r="L1572" s="5">
        <v>23.28</v>
      </c>
      <c r="M1572" s="5">
        <v>80</v>
      </c>
      <c r="N1572" s="5">
        <v>11146</v>
      </c>
      <c r="O1572" s="5">
        <v>95.28</v>
      </c>
      <c r="P1572" s="5">
        <f t="shared" si="125"/>
        <v>1.6999999999999886</v>
      </c>
      <c r="Q1572" s="6">
        <f t="shared" si="126"/>
        <v>8.6382113821137623E-3</v>
      </c>
      <c r="R1572" s="5">
        <f t="shared" si="127"/>
        <v>9.25</v>
      </c>
      <c r="S1572" s="6">
        <f t="shared" si="128"/>
        <v>4.7002032520325199E-2</v>
      </c>
      <c r="T1572" s="6">
        <f t="shared" si="129"/>
        <v>-2.5847323408298558E-3</v>
      </c>
    </row>
    <row r="1573" spans="1:20" hidden="1" x14ac:dyDescent="0.25">
      <c r="A1573" s="4" t="s">
        <v>1492</v>
      </c>
      <c r="B1573" s="5" t="s">
        <v>16</v>
      </c>
      <c r="C1573" s="5" t="s">
        <v>1823</v>
      </c>
      <c r="D1573" s="5">
        <v>863.15</v>
      </c>
      <c r="E1573" s="5">
        <v>855.05</v>
      </c>
      <c r="F1573" s="5">
        <v>885.2</v>
      </c>
      <c r="G1573" s="5">
        <v>855.05</v>
      </c>
      <c r="H1573" s="5">
        <v>858</v>
      </c>
      <c r="I1573" s="5">
        <v>869.25</v>
      </c>
      <c r="J1573" s="5">
        <v>875.9</v>
      </c>
      <c r="K1573" s="5">
        <v>8390</v>
      </c>
      <c r="L1573" s="5">
        <v>73.489999999999995</v>
      </c>
      <c r="M1573" s="5">
        <v>858</v>
      </c>
      <c r="N1573" s="5">
        <v>3321</v>
      </c>
      <c r="O1573" s="5">
        <v>39.58</v>
      </c>
      <c r="P1573" s="5">
        <f t="shared" si="125"/>
        <v>6.1000000000000227</v>
      </c>
      <c r="Q1573" s="6">
        <f t="shared" si="126"/>
        <v>7.0671378091873059E-3</v>
      </c>
      <c r="R1573" s="5">
        <f t="shared" si="127"/>
        <v>30.150000000000091</v>
      </c>
      <c r="S1573" s="6">
        <f t="shared" si="128"/>
        <v>3.4930197532294607E-2</v>
      </c>
      <c r="T1573" s="6">
        <f t="shared" si="129"/>
        <v>-7.6777647890779203E-3</v>
      </c>
    </row>
    <row r="1574" spans="1:20" hidden="1" x14ac:dyDescent="0.25">
      <c r="A1574" s="4" t="s">
        <v>1493</v>
      </c>
      <c r="B1574" s="5" t="s">
        <v>16</v>
      </c>
      <c r="C1574" s="5" t="s">
        <v>1823</v>
      </c>
      <c r="D1574" s="5">
        <v>2.4</v>
      </c>
      <c r="E1574" s="5">
        <v>2.4</v>
      </c>
      <c r="F1574" s="5">
        <v>2.4500000000000002</v>
      </c>
      <c r="G1574" s="5">
        <v>2.2999999999999998</v>
      </c>
      <c r="H1574" s="5">
        <v>2.2999999999999998</v>
      </c>
      <c r="I1574" s="5">
        <v>2.2999999999999998</v>
      </c>
      <c r="J1574" s="5">
        <v>2.3199999999999998</v>
      </c>
      <c r="K1574" s="5">
        <v>18224</v>
      </c>
      <c r="L1574" s="5">
        <v>0.42</v>
      </c>
      <c r="M1574" s="5">
        <v>69</v>
      </c>
      <c r="N1574" s="5">
        <v>13251</v>
      </c>
      <c r="O1574" s="5">
        <v>72.709999999999994</v>
      </c>
      <c r="P1574" s="5">
        <f t="shared" si="125"/>
        <v>-0.10000000000000009</v>
      </c>
      <c r="Q1574" s="6">
        <f t="shared" si="126"/>
        <v>-4.1666666666666706E-2</v>
      </c>
      <c r="R1574" s="5">
        <f t="shared" si="127"/>
        <v>0.15000000000000036</v>
      </c>
      <c r="S1574" s="6">
        <f t="shared" si="128"/>
        <v>6.2500000000000153E-2</v>
      </c>
      <c r="T1574" s="6">
        <f t="shared" si="129"/>
        <v>-8.4656084656084731E-3</v>
      </c>
    </row>
    <row r="1575" spans="1:20" hidden="1" x14ac:dyDescent="0.25">
      <c r="A1575" s="4" t="s">
        <v>1494</v>
      </c>
      <c r="B1575" s="5" t="s">
        <v>16</v>
      </c>
      <c r="C1575" s="5" t="s">
        <v>1823</v>
      </c>
      <c r="D1575" s="5">
        <v>262.55</v>
      </c>
      <c r="E1575" s="5">
        <v>268</v>
      </c>
      <c r="F1575" s="5">
        <v>268</v>
      </c>
      <c r="G1575" s="5">
        <v>255.05</v>
      </c>
      <c r="H1575" s="5">
        <v>255.05</v>
      </c>
      <c r="I1575" s="5">
        <v>257.3</v>
      </c>
      <c r="J1575" s="5">
        <v>259.77999999999997</v>
      </c>
      <c r="K1575" s="5">
        <v>3691</v>
      </c>
      <c r="L1575" s="5">
        <v>9.59</v>
      </c>
      <c r="M1575" s="5">
        <v>216</v>
      </c>
      <c r="N1575" s="5">
        <v>2477</v>
      </c>
      <c r="O1575" s="5">
        <v>67.11</v>
      </c>
      <c r="P1575" s="5">
        <f t="shared" si="125"/>
        <v>-5.25</v>
      </c>
      <c r="Q1575" s="6">
        <f t="shared" si="126"/>
        <v>-1.999619120167587E-2</v>
      </c>
      <c r="R1575" s="5">
        <f t="shared" si="127"/>
        <v>12.949999999999989</v>
      </c>
      <c r="S1575" s="6">
        <f t="shared" si="128"/>
        <v>4.9323938297467104E-2</v>
      </c>
      <c r="T1575" s="6">
        <f t="shared" si="129"/>
        <v>-9.4624886726759633E-3</v>
      </c>
    </row>
    <row r="1576" spans="1:20" hidden="1" x14ac:dyDescent="0.25">
      <c r="A1576" s="4" t="s">
        <v>1495</v>
      </c>
      <c r="B1576" s="5" t="s">
        <v>16</v>
      </c>
      <c r="C1576" s="5" t="s">
        <v>1823</v>
      </c>
      <c r="D1576" s="5">
        <v>24.7</v>
      </c>
      <c r="E1576" s="5">
        <v>24.7</v>
      </c>
      <c r="F1576" s="5">
        <v>24.75</v>
      </c>
      <c r="G1576" s="5">
        <v>24.3</v>
      </c>
      <c r="H1576" s="5">
        <v>24.4</v>
      </c>
      <c r="I1576" s="5">
        <v>24.35</v>
      </c>
      <c r="J1576" s="5">
        <v>24.45</v>
      </c>
      <c r="K1576" s="5">
        <v>945744</v>
      </c>
      <c r="L1576" s="5">
        <v>231.2</v>
      </c>
      <c r="M1576" s="5">
        <v>11555</v>
      </c>
      <c r="N1576" s="5">
        <v>561688</v>
      </c>
      <c r="O1576" s="5">
        <v>59.39</v>
      </c>
      <c r="P1576" s="5">
        <f t="shared" si="125"/>
        <v>-0.34999999999999787</v>
      </c>
      <c r="Q1576" s="6">
        <f t="shared" si="126"/>
        <v>-1.4170040485829873E-2</v>
      </c>
      <c r="R1576" s="5">
        <f t="shared" si="127"/>
        <v>0.44999999999999929</v>
      </c>
      <c r="S1576" s="6">
        <f t="shared" si="128"/>
        <v>1.8218623481781347E-2</v>
      </c>
      <c r="T1576" s="6">
        <f t="shared" si="129"/>
        <v>-4.0774719673801378E-3</v>
      </c>
    </row>
    <row r="1577" spans="1:20" hidden="1" x14ac:dyDescent="0.25">
      <c r="A1577" s="4" t="s">
        <v>1496</v>
      </c>
      <c r="B1577" s="5" t="s">
        <v>16</v>
      </c>
      <c r="C1577" s="5" t="s">
        <v>1823</v>
      </c>
      <c r="D1577" s="5">
        <v>2149.65</v>
      </c>
      <c r="E1577" s="5">
        <v>2111</v>
      </c>
      <c r="F1577" s="5">
        <v>2140.0500000000002</v>
      </c>
      <c r="G1577" s="5">
        <v>2103.6999999999998</v>
      </c>
      <c r="H1577" s="5">
        <v>2121.1</v>
      </c>
      <c r="I1577" s="5">
        <v>2119.65</v>
      </c>
      <c r="J1577" s="5">
        <v>2120.4299999999998</v>
      </c>
      <c r="K1577" s="5">
        <v>2964</v>
      </c>
      <c r="L1577" s="5">
        <v>62.85</v>
      </c>
      <c r="M1577" s="5">
        <v>642</v>
      </c>
      <c r="N1577" s="5">
        <v>1531</v>
      </c>
      <c r="O1577" s="5">
        <v>51.65</v>
      </c>
      <c r="P1577" s="5">
        <f t="shared" si="125"/>
        <v>-30</v>
      </c>
      <c r="Q1577" s="6">
        <f t="shared" si="126"/>
        <v>-1.3955760240039075E-2</v>
      </c>
      <c r="R1577" s="5">
        <f t="shared" si="127"/>
        <v>36.350000000000364</v>
      </c>
      <c r="S1577" s="6">
        <f t="shared" si="128"/>
        <v>1.6909729490847517E-2</v>
      </c>
      <c r="T1577" s="6">
        <f t="shared" si="129"/>
        <v>-3.6816765788716388E-4</v>
      </c>
    </row>
    <row r="1578" spans="1:20" hidden="1" x14ac:dyDescent="0.25">
      <c r="A1578" s="4" t="s">
        <v>1497</v>
      </c>
      <c r="B1578" s="5" t="s">
        <v>39</v>
      </c>
      <c r="C1578" s="5" t="s">
        <v>1823</v>
      </c>
      <c r="D1578" s="5">
        <v>5.4</v>
      </c>
      <c r="E1578" s="5">
        <v>5.2</v>
      </c>
      <c r="F1578" s="5">
        <v>5.6</v>
      </c>
      <c r="G1578" s="5">
        <v>5.2</v>
      </c>
      <c r="H1578" s="5">
        <v>5.6</v>
      </c>
      <c r="I1578" s="5">
        <v>5.6</v>
      </c>
      <c r="J1578" s="5">
        <v>5.6</v>
      </c>
      <c r="K1578" s="5">
        <v>4109</v>
      </c>
      <c r="L1578" s="5">
        <v>0.23</v>
      </c>
      <c r="M1578" s="5">
        <v>7</v>
      </c>
      <c r="N1578" s="5" t="s">
        <v>25</v>
      </c>
      <c r="O1578" s="5" t="s">
        <v>25</v>
      </c>
      <c r="P1578" s="5">
        <f t="shared" si="125"/>
        <v>0.19999999999999929</v>
      </c>
      <c r="Q1578" s="6">
        <f t="shared" si="126"/>
        <v>3.7037037037036903E-2</v>
      </c>
      <c r="R1578" s="5">
        <f t="shared" si="127"/>
        <v>0.39999999999999947</v>
      </c>
      <c r="S1578" s="6">
        <f t="shared" si="128"/>
        <v>7.4074074074073973E-2</v>
      </c>
      <c r="T1578" s="6">
        <f t="shared" si="129"/>
        <v>0</v>
      </c>
    </row>
    <row r="1579" spans="1:20" hidden="1" x14ac:dyDescent="0.25">
      <c r="A1579" s="4" t="s">
        <v>1498</v>
      </c>
      <c r="B1579" s="5" t="s">
        <v>16</v>
      </c>
      <c r="C1579" s="5" t="s">
        <v>1823</v>
      </c>
      <c r="D1579" s="5">
        <v>55</v>
      </c>
      <c r="E1579" s="5">
        <v>55.2</v>
      </c>
      <c r="F1579" s="5">
        <v>55.6</v>
      </c>
      <c r="G1579" s="5">
        <v>53.55</v>
      </c>
      <c r="H1579" s="5">
        <v>54.45</v>
      </c>
      <c r="I1579" s="5">
        <v>54.05</v>
      </c>
      <c r="J1579" s="5">
        <v>54.69</v>
      </c>
      <c r="K1579" s="5">
        <v>12995</v>
      </c>
      <c r="L1579" s="5">
        <v>7.11</v>
      </c>
      <c r="M1579" s="5">
        <v>159</v>
      </c>
      <c r="N1579" s="5">
        <v>11051</v>
      </c>
      <c r="O1579" s="5">
        <v>85.04</v>
      </c>
      <c r="P1579" s="5">
        <f t="shared" si="125"/>
        <v>-0.95000000000000284</v>
      </c>
      <c r="Q1579" s="6">
        <f t="shared" si="126"/>
        <v>-1.7272727272727325E-2</v>
      </c>
      <c r="R1579" s="5">
        <f t="shared" si="127"/>
        <v>2.0500000000000043</v>
      </c>
      <c r="S1579" s="6">
        <f t="shared" si="128"/>
        <v>3.7272727272727353E-2</v>
      </c>
      <c r="T1579" s="6">
        <f t="shared" si="129"/>
        <v>-1.172161172161173E-2</v>
      </c>
    </row>
    <row r="1580" spans="1:20" hidden="1" x14ac:dyDescent="0.25">
      <c r="A1580" s="4" t="s">
        <v>1499</v>
      </c>
      <c r="B1580" s="5" t="s">
        <v>16</v>
      </c>
      <c r="C1580" s="5" t="s">
        <v>1823</v>
      </c>
      <c r="D1580" s="5">
        <v>40.75</v>
      </c>
      <c r="E1580" s="5">
        <v>40.799999999999997</v>
      </c>
      <c r="F1580" s="5">
        <v>42.25</v>
      </c>
      <c r="G1580" s="5">
        <v>40.200000000000003</v>
      </c>
      <c r="H1580" s="5">
        <v>41.5</v>
      </c>
      <c r="I1580" s="5">
        <v>41.45</v>
      </c>
      <c r="J1580" s="5">
        <v>40.869999999999997</v>
      </c>
      <c r="K1580" s="5">
        <v>7929</v>
      </c>
      <c r="L1580" s="5">
        <v>3.24</v>
      </c>
      <c r="M1580" s="5">
        <v>140</v>
      </c>
      <c r="N1580" s="5">
        <v>5535</v>
      </c>
      <c r="O1580" s="5">
        <v>69.81</v>
      </c>
      <c r="P1580" s="5">
        <f t="shared" si="125"/>
        <v>0.70000000000000284</v>
      </c>
      <c r="Q1580" s="6">
        <f t="shared" si="126"/>
        <v>1.7177914110429519E-2</v>
      </c>
      <c r="R1580" s="5">
        <f t="shared" si="127"/>
        <v>2.0499999999999972</v>
      </c>
      <c r="S1580" s="6">
        <f t="shared" si="128"/>
        <v>5.03067484662576E-2</v>
      </c>
      <c r="T1580" s="6">
        <f t="shared" si="129"/>
        <v>1.4086217364906022E-2</v>
      </c>
    </row>
    <row r="1581" spans="1:20" hidden="1" x14ac:dyDescent="0.25">
      <c r="A1581" s="4" t="s">
        <v>1500</v>
      </c>
      <c r="B1581" s="5" t="s">
        <v>16</v>
      </c>
      <c r="C1581" s="5" t="s">
        <v>1823</v>
      </c>
      <c r="D1581" s="5">
        <v>78.599999999999994</v>
      </c>
      <c r="E1581" s="5">
        <v>77.599999999999994</v>
      </c>
      <c r="F1581" s="5">
        <v>81.95</v>
      </c>
      <c r="G1581" s="5">
        <v>75.099999999999994</v>
      </c>
      <c r="H1581" s="5">
        <v>80.75</v>
      </c>
      <c r="I1581" s="5">
        <v>80.05</v>
      </c>
      <c r="J1581" s="5">
        <v>79.72</v>
      </c>
      <c r="K1581" s="5">
        <v>4792</v>
      </c>
      <c r="L1581" s="5">
        <v>3.82</v>
      </c>
      <c r="M1581" s="5">
        <v>52</v>
      </c>
      <c r="N1581" s="5">
        <v>3199</v>
      </c>
      <c r="O1581" s="5">
        <v>66.760000000000005</v>
      </c>
      <c r="P1581" s="5">
        <f t="shared" si="125"/>
        <v>1.4500000000000028</v>
      </c>
      <c r="Q1581" s="6">
        <f t="shared" si="126"/>
        <v>1.8447837150127263E-2</v>
      </c>
      <c r="R1581" s="5">
        <f t="shared" si="127"/>
        <v>6.8500000000000085</v>
      </c>
      <c r="S1581" s="6">
        <f t="shared" si="128"/>
        <v>8.7150127226463217E-2</v>
      </c>
      <c r="T1581" s="6">
        <f t="shared" si="129"/>
        <v>4.19447092469016E-3</v>
      </c>
    </row>
    <row r="1582" spans="1:20" hidden="1" x14ac:dyDescent="0.25">
      <c r="A1582" s="4" t="s">
        <v>1501</v>
      </c>
      <c r="B1582" s="5" t="s">
        <v>16</v>
      </c>
      <c r="C1582" s="5" t="s">
        <v>1823</v>
      </c>
      <c r="D1582" s="5">
        <v>575.04999999999995</v>
      </c>
      <c r="E1582" s="5">
        <v>575.04999999999995</v>
      </c>
      <c r="F1582" s="5">
        <v>575.04999999999995</v>
      </c>
      <c r="G1582" s="5">
        <v>555</v>
      </c>
      <c r="H1582" s="5">
        <v>560</v>
      </c>
      <c r="I1582" s="5">
        <v>561.25</v>
      </c>
      <c r="J1582" s="5">
        <v>564.62</v>
      </c>
      <c r="K1582" s="5">
        <v>12876</v>
      </c>
      <c r="L1582" s="5">
        <v>72.7</v>
      </c>
      <c r="M1582" s="5">
        <v>848</v>
      </c>
      <c r="N1582" s="5">
        <v>9798</v>
      </c>
      <c r="O1582" s="5">
        <v>76.099999999999994</v>
      </c>
      <c r="P1582" s="5">
        <f t="shared" si="125"/>
        <v>-13.799999999999955</v>
      </c>
      <c r="Q1582" s="6">
        <f t="shared" si="126"/>
        <v>-2.3997913224936884E-2</v>
      </c>
      <c r="R1582" s="5">
        <f t="shared" si="127"/>
        <v>20.049999999999955</v>
      </c>
      <c r="S1582" s="6">
        <f t="shared" si="128"/>
        <v>3.4866533344926454E-2</v>
      </c>
      <c r="T1582" s="6">
        <f t="shared" si="129"/>
        <v>-5.947889778719094E-3</v>
      </c>
    </row>
    <row r="1583" spans="1:20" hidden="1" x14ac:dyDescent="0.25">
      <c r="A1583" s="4" t="s">
        <v>1502</v>
      </c>
      <c r="B1583" s="5" t="s">
        <v>24</v>
      </c>
      <c r="C1583" s="5" t="s">
        <v>1823</v>
      </c>
      <c r="D1583" s="5">
        <v>0.2</v>
      </c>
      <c r="E1583" s="5">
        <v>0.15</v>
      </c>
      <c r="F1583" s="5">
        <v>0.2</v>
      </c>
      <c r="G1583" s="5">
        <v>0.15</v>
      </c>
      <c r="H1583" s="5">
        <v>0.15</v>
      </c>
      <c r="I1583" s="5">
        <v>0.15</v>
      </c>
      <c r="J1583" s="5">
        <v>0.16</v>
      </c>
      <c r="K1583" s="5">
        <v>10330</v>
      </c>
      <c r="L1583" s="5">
        <v>0.02</v>
      </c>
      <c r="M1583" s="5">
        <v>11</v>
      </c>
      <c r="N1583" s="5" t="s">
        <v>25</v>
      </c>
      <c r="O1583" s="5" t="s">
        <v>25</v>
      </c>
      <c r="P1583" s="5">
        <f t="shared" si="125"/>
        <v>-5.0000000000000017E-2</v>
      </c>
      <c r="Q1583" s="6">
        <f t="shared" si="126"/>
        <v>-0.25000000000000006</v>
      </c>
      <c r="R1583" s="5">
        <f t="shared" si="127"/>
        <v>5.0000000000000017E-2</v>
      </c>
      <c r="S1583" s="6">
        <f t="shared" si="128"/>
        <v>0.25000000000000006</v>
      </c>
      <c r="T1583" s="6">
        <f t="shared" si="129"/>
        <v>-6.153846153846159E-2</v>
      </c>
    </row>
    <row r="1584" spans="1:20" hidden="1" x14ac:dyDescent="0.25">
      <c r="A1584" s="4" t="s">
        <v>1503</v>
      </c>
      <c r="B1584" s="5" t="s">
        <v>16</v>
      </c>
      <c r="C1584" s="5" t="s">
        <v>1823</v>
      </c>
      <c r="D1584" s="5">
        <v>379.35</v>
      </c>
      <c r="E1584" s="5">
        <v>374.95</v>
      </c>
      <c r="F1584" s="5">
        <v>375</v>
      </c>
      <c r="G1584" s="5">
        <v>363.95</v>
      </c>
      <c r="H1584" s="5">
        <v>366</v>
      </c>
      <c r="I1584" s="5">
        <v>365.5</v>
      </c>
      <c r="J1584" s="5">
        <v>368.9</v>
      </c>
      <c r="K1584" s="5">
        <v>23740</v>
      </c>
      <c r="L1584" s="5">
        <v>87.58</v>
      </c>
      <c r="M1584" s="5">
        <v>837</v>
      </c>
      <c r="N1584" s="5">
        <v>17009</v>
      </c>
      <c r="O1584" s="5">
        <v>71.650000000000006</v>
      </c>
      <c r="P1584" s="5">
        <f t="shared" si="125"/>
        <v>-13.850000000000023</v>
      </c>
      <c r="Q1584" s="6">
        <f t="shared" si="126"/>
        <v>-3.6509819427968951E-2</v>
      </c>
      <c r="R1584" s="5">
        <f t="shared" si="127"/>
        <v>11.050000000000011</v>
      </c>
      <c r="S1584" s="6">
        <f t="shared" si="128"/>
        <v>2.9128772901014923E-2</v>
      </c>
      <c r="T1584" s="6">
        <f t="shared" si="129"/>
        <v>-9.1929160470460378E-3</v>
      </c>
    </row>
    <row r="1585" spans="1:20" hidden="1" x14ac:dyDescent="0.25">
      <c r="A1585" s="4" t="s">
        <v>1504</v>
      </c>
      <c r="B1585" s="5" t="s">
        <v>16</v>
      </c>
      <c r="C1585" s="5" t="s">
        <v>1823</v>
      </c>
      <c r="D1585" s="5">
        <v>42.5</v>
      </c>
      <c r="E1585" s="5">
        <v>43.75</v>
      </c>
      <c r="F1585" s="5">
        <v>43.75</v>
      </c>
      <c r="G1585" s="5">
        <v>41.15</v>
      </c>
      <c r="H1585" s="5">
        <v>42.35</v>
      </c>
      <c r="I1585" s="5">
        <v>42.3</v>
      </c>
      <c r="J1585" s="5">
        <v>42.04</v>
      </c>
      <c r="K1585" s="5">
        <v>27045</v>
      </c>
      <c r="L1585" s="5">
        <v>11.37</v>
      </c>
      <c r="M1585" s="5">
        <v>453</v>
      </c>
      <c r="N1585" s="5">
        <v>21754</v>
      </c>
      <c r="O1585" s="5">
        <v>80.44</v>
      </c>
      <c r="P1585" s="5">
        <f t="shared" si="125"/>
        <v>-0.20000000000000284</v>
      </c>
      <c r="Q1585" s="6">
        <f t="shared" si="126"/>
        <v>-4.7058823529412437E-3</v>
      </c>
      <c r="R1585" s="5">
        <f t="shared" si="127"/>
        <v>2.6000000000000014</v>
      </c>
      <c r="S1585" s="6">
        <f t="shared" si="128"/>
        <v>6.1176470588235325E-2</v>
      </c>
      <c r="T1585" s="6">
        <f t="shared" si="129"/>
        <v>6.0836501901140221E-3</v>
      </c>
    </row>
    <row r="1586" spans="1:20" x14ac:dyDescent="0.25">
      <c r="A1586" s="4" t="s">
        <v>458</v>
      </c>
      <c r="B1586" s="5" t="s">
        <v>16</v>
      </c>
      <c r="C1586" s="5" t="s">
        <v>1823</v>
      </c>
      <c r="D1586" s="5">
        <v>36.15</v>
      </c>
      <c r="E1586" s="5">
        <v>35.049999999999997</v>
      </c>
      <c r="F1586" s="5">
        <v>37.799999999999997</v>
      </c>
      <c r="G1586" s="5">
        <v>35.049999999999997</v>
      </c>
      <c r="H1586" s="5">
        <v>36.75</v>
      </c>
      <c r="I1586" s="5">
        <v>36.700000000000003</v>
      </c>
      <c r="J1586" s="5">
        <v>36.79</v>
      </c>
      <c r="K1586" s="5">
        <v>238786</v>
      </c>
      <c r="L1586" s="5">
        <v>87.85</v>
      </c>
      <c r="M1586" s="5">
        <v>1422</v>
      </c>
      <c r="N1586" s="5">
        <v>162845</v>
      </c>
      <c r="O1586" s="5">
        <v>68.2</v>
      </c>
      <c r="P1586" s="5">
        <f t="shared" si="125"/>
        <v>0.55000000000000426</v>
      </c>
      <c r="Q1586" s="6">
        <f t="shared" si="126"/>
        <v>1.5214384508990436E-2</v>
      </c>
      <c r="R1586" s="5">
        <f t="shared" si="127"/>
        <v>2.75</v>
      </c>
      <c r="S1586" s="6">
        <f t="shared" si="128"/>
        <v>7.6071922544951598E-2</v>
      </c>
      <c r="T1586" s="6">
        <f t="shared" si="129"/>
        <v>-2.4896265560164954E-3</v>
      </c>
    </row>
    <row r="1587" spans="1:20" hidden="1" x14ac:dyDescent="0.25">
      <c r="A1587" s="4" t="s">
        <v>1506</v>
      </c>
      <c r="B1587" s="5" t="s">
        <v>16</v>
      </c>
      <c r="C1587" s="5" t="s">
        <v>1823</v>
      </c>
      <c r="D1587" s="5">
        <v>518.25</v>
      </c>
      <c r="E1587" s="5">
        <v>517.25</v>
      </c>
      <c r="F1587" s="5">
        <v>523.95000000000005</v>
      </c>
      <c r="G1587" s="5">
        <v>501.5</v>
      </c>
      <c r="H1587" s="5">
        <v>502.75</v>
      </c>
      <c r="I1587" s="5">
        <v>503.1</v>
      </c>
      <c r="J1587" s="5">
        <v>510.72</v>
      </c>
      <c r="K1587" s="5">
        <v>93762</v>
      </c>
      <c r="L1587" s="5">
        <v>478.86</v>
      </c>
      <c r="M1587" s="5">
        <v>5923</v>
      </c>
      <c r="N1587" s="5">
        <v>39291</v>
      </c>
      <c r="O1587" s="5">
        <v>41.91</v>
      </c>
      <c r="P1587" s="5">
        <f t="shared" si="125"/>
        <v>-15.149999999999977</v>
      </c>
      <c r="Q1587" s="6">
        <f t="shared" si="126"/>
        <v>-2.9232995658465946E-2</v>
      </c>
      <c r="R1587" s="5">
        <f t="shared" si="127"/>
        <v>22.450000000000045</v>
      </c>
      <c r="S1587" s="6">
        <f t="shared" si="128"/>
        <v>4.3318861553304479E-2</v>
      </c>
      <c r="T1587" s="6">
        <f t="shared" si="129"/>
        <v>-1.4898817088669476E-2</v>
      </c>
    </row>
    <row r="1588" spans="1:20" hidden="1" x14ac:dyDescent="0.25">
      <c r="A1588" s="4" t="s">
        <v>1507</v>
      </c>
      <c r="B1588" s="5" t="s">
        <v>28</v>
      </c>
      <c r="C1588" s="5" t="s">
        <v>1823</v>
      </c>
      <c r="D1588" s="5">
        <v>67.8</v>
      </c>
      <c r="E1588" s="5">
        <v>67.099999999999994</v>
      </c>
      <c r="F1588" s="5">
        <v>67.099999999999994</v>
      </c>
      <c r="G1588" s="5">
        <v>66.099999999999994</v>
      </c>
      <c r="H1588" s="5">
        <v>66.099999999999994</v>
      </c>
      <c r="I1588" s="5">
        <v>66.099999999999994</v>
      </c>
      <c r="J1588" s="5">
        <v>66.87</v>
      </c>
      <c r="K1588" s="5">
        <v>8000</v>
      </c>
      <c r="L1588" s="5">
        <v>5.35</v>
      </c>
      <c r="M1588" s="5">
        <v>5</v>
      </c>
      <c r="N1588" s="5">
        <v>4800</v>
      </c>
      <c r="O1588" s="5">
        <v>60</v>
      </c>
      <c r="P1588" s="5">
        <f t="shared" si="125"/>
        <v>-1.7000000000000028</v>
      </c>
      <c r="Q1588" s="6">
        <f t="shared" si="126"/>
        <v>-2.5073746312684407E-2</v>
      </c>
      <c r="R1588" s="5">
        <f t="shared" si="127"/>
        <v>1</v>
      </c>
      <c r="S1588" s="6">
        <f t="shared" si="128"/>
        <v>1.4749262536873156E-2</v>
      </c>
      <c r="T1588" s="6">
        <f t="shared" si="129"/>
        <v>-1.1561561561561717E-2</v>
      </c>
    </row>
    <row r="1589" spans="1:20" x14ac:dyDescent="0.25">
      <c r="A1589" s="4" t="s">
        <v>1510</v>
      </c>
      <c r="B1589" s="5" t="s">
        <v>16</v>
      </c>
      <c r="C1589" s="5" t="s">
        <v>1823</v>
      </c>
      <c r="D1589" s="5">
        <v>202.45</v>
      </c>
      <c r="E1589" s="5">
        <v>202.4</v>
      </c>
      <c r="F1589" s="5">
        <v>202.95</v>
      </c>
      <c r="G1589" s="5">
        <v>193.1</v>
      </c>
      <c r="H1589" s="5">
        <v>194.5</v>
      </c>
      <c r="I1589" s="5">
        <v>194.6</v>
      </c>
      <c r="J1589" s="5">
        <v>198.02</v>
      </c>
      <c r="K1589" s="5">
        <v>118787</v>
      </c>
      <c r="L1589" s="5">
        <v>235.23</v>
      </c>
      <c r="M1589" s="5">
        <v>4763</v>
      </c>
      <c r="N1589" s="5">
        <v>81091</v>
      </c>
      <c r="O1589" s="5">
        <v>68.27</v>
      </c>
      <c r="P1589" s="5">
        <f t="shared" si="125"/>
        <v>-7.8499999999999943</v>
      </c>
      <c r="Q1589" s="6">
        <f t="shared" si="126"/>
        <v>-3.8775006174364017E-2</v>
      </c>
      <c r="R1589" s="5">
        <f t="shared" si="127"/>
        <v>9.8499999999999943</v>
      </c>
      <c r="S1589" s="6">
        <f t="shared" si="128"/>
        <v>4.8653988639170143E-2</v>
      </c>
      <c r="T1589" s="6">
        <f t="shared" si="129"/>
        <v>-1.7249858142614038E-2</v>
      </c>
    </row>
    <row r="1590" spans="1:20" hidden="1" x14ac:dyDescent="0.25">
      <c r="A1590" s="4" t="s">
        <v>1509</v>
      </c>
      <c r="B1590" s="5" t="s">
        <v>16</v>
      </c>
      <c r="C1590" s="5" t="s">
        <v>1823</v>
      </c>
      <c r="D1590" s="5">
        <v>1117.1500000000001</v>
      </c>
      <c r="E1590" s="5">
        <v>1119.4000000000001</v>
      </c>
      <c r="F1590" s="5">
        <v>1147.45</v>
      </c>
      <c r="G1590" s="5">
        <v>1101</v>
      </c>
      <c r="H1590" s="5">
        <v>1115</v>
      </c>
      <c r="I1590" s="5">
        <v>1109.3</v>
      </c>
      <c r="J1590" s="5">
        <v>1110.1600000000001</v>
      </c>
      <c r="K1590" s="5">
        <v>3478</v>
      </c>
      <c r="L1590" s="5">
        <v>38.61</v>
      </c>
      <c r="M1590" s="5">
        <v>534</v>
      </c>
      <c r="N1590" s="5">
        <v>2696</v>
      </c>
      <c r="O1590" s="5">
        <v>77.52</v>
      </c>
      <c r="P1590" s="5">
        <f t="shared" si="125"/>
        <v>-7.8500000000001364</v>
      </c>
      <c r="Q1590" s="6">
        <f t="shared" si="126"/>
        <v>-7.026809291500815E-3</v>
      </c>
      <c r="R1590" s="5">
        <f t="shared" si="127"/>
        <v>46.450000000000045</v>
      </c>
      <c r="S1590" s="6">
        <f t="shared" si="128"/>
        <v>4.1579018036969111E-2</v>
      </c>
      <c r="T1590" s="6">
        <f t="shared" si="129"/>
        <v>-7.6834593435567468E-4</v>
      </c>
    </row>
    <row r="1591" spans="1:20" x14ac:dyDescent="0.25">
      <c r="A1591" s="4" t="s">
        <v>1734</v>
      </c>
      <c r="B1591" s="5" t="s">
        <v>16</v>
      </c>
      <c r="C1591" s="5" t="s">
        <v>1823</v>
      </c>
      <c r="D1591" s="5">
        <v>12.65</v>
      </c>
      <c r="E1591" s="5">
        <v>13</v>
      </c>
      <c r="F1591" s="5">
        <v>13</v>
      </c>
      <c r="G1591" s="5">
        <v>12.05</v>
      </c>
      <c r="H1591" s="5">
        <v>12.4</v>
      </c>
      <c r="I1591" s="5">
        <v>12.15</v>
      </c>
      <c r="J1591" s="5">
        <v>12.42</v>
      </c>
      <c r="K1591" s="5">
        <v>190034</v>
      </c>
      <c r="L1591" s="5">
        <v>23.61</v>
      </c>
      <c r="M1591" s="5">
        <v>443</v>
      </c>
      <c r="N1591" s="5">
        <v>129874</v>
      </c>
      <c r="O1591" s="5">
        <v>68.34</v>
      </c>
      <c r="P1591" s="5">
        <f t="shared" si="125"/>
        <v>-0.5</v>
      </c>
      <c r="Q1591" s="6">
        <f t="shared" si="126"/>
        <v>-3.9525691699604744E-2</v>
      </c>
      <c r="R1591" s="5">
        <f t="shared" si="127"/>
        <v>0.94999999999999929</v>
      </c>
      <c r="S1591" s="6">
        <f t="shared" si="128"/>
        <v>7.5098814229248953E-2</v>
      </c>
      <c r="T1591" s="6">
        <f t="shared" si="129"/>
        <v>-2.1513944223107536E-2</v>
      </c>
    </row>
    <row r="1592" spans="1:20" hidden="1" x14ac:dyDescent="0.25">
      <c r="A1592" s="4" t="s">
        <v>1511</v>
      </c>
      <c r="B1592" s="5" t="s">
        <v>39</v>
      </c>
      <c r="C1592" s="5" t="s">
        <v>1823</v>
      </c>
      <c r="D1592" s="5">
        <v>3.75</v>
      </c>
      <c r="E1592" s="5">
        <v>3.6</v>
      </c>
      <c r="F1592" s="5">
        <v>3.6</v>
      </c>
      <c r="G1592" s="5">
        <v>3.6</v>
      </c>
      <c r="H1592" s="5">
        <v>3.6</v>
      </c>
      <c r="I1592" s="5">
        <v>3.6</v>
      </c>
      <c r="J1592" s="5">
        <v>3.6</v>
      </c>
      <c r="K1592" s="5">
        <v>8482</v>
      </c>
      <c r="L1592" s="5">
        <v>0.31</v>
      </c>
      <c r="M1592" s="5">
        <v>12</v>
      </c>
      <c r="N1592" s="5" t="s">
        <v>25</v>
      </c>
      <c r="O1592" s="5" t="s">
        <v>25</v>
      </c>
      <c r="P1592" s="5">
        <f t="shared" si="125"/>
        <v>-0.14999999999999991</v>
      </c>
      <c r="Q1592" s="6">
        <f t="shared" si="126"/>
        <v>-3.9999999999999973E-2</v>
      </c>
      <c r="R1592" s="5">
        <f t="shared" si="127"/>
        <v>0</v>
      </c>
      <c r="S1592" s="6">
        <f t="shared" si="128"/>
        <v>0</v>
      </c>
      <c r="T1592" s="6">
        <f t="shared" si="129"/>
        <v>0</v>
      </c>
    </row>
    <row r="1593" spans="1:20" hidden="1" x14ac:dyDescent="0.25">
      <c r="A1593" s="4" t="s">
        <v>1512</v>
      </c>
      <c r="B1593" s="5" t="s">
        <v>16</v>
      </c>
      <c r="C1593" s="5" t="s">
        <v>1823</v>
      </c>
      <c r="D1593" s="5">
        <v>13.55</v>
      </c>
      <c r="E1593" s="5">
        <v>13.15</v>
      </c>
      <c r="F1593" s="5">
        <v>14.6</v>
      </c>
      <c r="G1593" s="5">
        <v>13.1</v>
      </c>
      <c r="H1593" s="5">
        <v>14.6</v>
      </c>
      <c r="I1593" s="5">
        <v>14.35</v>
      </c>
      <c r="J1593" s="5">
        <v>13.69</v>
      </c>
      <c r="K1593" s="5">
        <v>1170</v>
      </c>
      <c r="L1593" s="5">
        <v>0.16</v>
      </c>
      <c r="M1593" s="5">
        <v>10</v>
      </c>
      <c r="N1593" s="5">
        <v>1013</v>
      </c>
      <c r="O1593" s="5">
        <v>86.58</v>
      </c>
      <c r="P1593" s="5">
        <f t="shared" si="125"/>
        <v>0.79999999999999893</v>
      </c>
      <c r="Q1593" s="6">
        <f t="shared" si="126"/>
        <v>5.9040590405903974E-2</v>
      </c>
      <c r="R1593" s="5">
        <f t="shared" si="127"/>
        <v>1.5</v>
      </c>
      <c r="S1593" s="6">
        <f t="shared" si="128"/>
        <v>0.11070110701107011</v>
      </c>
      <c r="T1593" s="6">
        <f t="shared" si="129"/>
        <v>4.7826086956521748E-2</v>
      </c>
    </row>
    <row r="1594" spans="1:20" hidden="1" x14ac:dyDescent="0.25">
      <c r="A1594" s="4" t="s">
        <v>1513</v>
      </c>
      <c r="B1594" s="5" t="s">
        <v>28</v>
      </c>
      <c r="C1594" s="5" t="s">
        <v>1823</v>
      </c>
      <c r="D1594" s="5">
        <v>37.5</v>
      </c>
      <c r="E1594" s="5">
        <v>38.5</v>
      </c>
      <c r="F1594" s="5">
        <v>38.5</v>
      </c>
      <c r="G1594" s="5">
        <v>38.5</v>
      </c>
      <c r="H1594" s="5">
        <v>38.5</v>
      </c>
      <c r="I1594" s="5">
        <v>38.5</v>
      </c>
      <c r="J1594" s="5">
        <v>38.5</v>
      </c>
      <c r="K1594" s="5">
        <v>27000</v>
      </c>
      <c r="L1594" s="5">
        <v>10.4</v>
      </c>
      <c r="M1594" s="5">
        <v>4</v>
      </c>
      <c r="N1594" s="5">
        <v>27000</v>
      </c>
      <c r="O1594" s="5">
        <v>100</v>
      </c>
      <c r="P1594" s="5">
        <f t="shared" si="125"/>
        <v>1</v>
      </c>
      <c r="Q1594" s="6">
        <f t="shared" si="126"/>
        <v>2.6666666666666668E-2</v>
      </c>
      <c r="R1594" s="5">
        <f t="shared" si="127"/>
        <v>0</v>
      </c>
      <c r="S1594" s="6">
        <f t="shared" si="128"/>
        <v>0</v>
      </c>
      <c r="T1594" s="6">
        <f t="shared" si="129"/>
        <v>0</v>
      </c>
    </row>
    <row r="1595" spans="1:20" hidden="1" x14ac:dyDescent="0.25">
      <c r="A1595" s="4" t="s">
        <v>1514</v>
      </c>
      <c r="B1595" s="5" t="s">
        <v>16</v>
      </c>
      <c r="C1595" s="5" t="s">
        <v>1823</v>
      </c>
      <c r="D1595" s="5">
        <v>321.85000000000002</v>
      </c>
      <c r="E1595" s="5">
        <v>324</v>
      </c>
      <c r="F1595" s="5">
        <v>324</v>
      </c>
      <c r="G1595" s="5">
        <v>317.85000000000002</v>
      </c>
      <c r="H1595" s="5">
        <v>318.85000000000002</v>
      </c>
      <c r="I1595" s="5">
        <v>319.25</v>
      </c>
      <c r="J1595" s="5">
        <v>320.18</v>
      </c>
      <c r="K1595" s="5">
        <v>47072</v>
      </c>
      <c r="L1595" s="5">
        <v>150.72</v>
      </c>
      <c r="M1595" s="5">
        <v>1843</v>
      </c>
      <c r="N1595" s="5">
        <v>25629</v>
      </c>
      <c r="O1595" s="5">
        <v>54.45</v>
      </c>
      <c r="P1595" s="5">
        <f t="shared" si="125"/>
        <v>-2.6000000000000227</v>
      </c>
      <c r="Q1595" s="6">
        <f t="shared" si="126"/>
        <v>-8.0782973434830596E-3</v>
      </c>
      <c r="R1595" s="5">
        <f t="shared" si="127"/>
        <v>6.1499999999999773</v>
      </c>
      <c r="S1595" s="6">
        <f t="shared" si="128"/>
        <v>1.9108280254776996E-2</v>
      </c>
      <c r="T1595" s="6">
        <f t="shared" si="129"/>
        <v>-2.8947163644852756E-3</v>
      </c>
    </row>
    <row r="1596" spans="1:20" x14ac:dyDescent="0.25">
      <c r="A1596" s="4" t="s">
        <v>360</v>
      </c>
      <c r="B1596" s="5" t="s">
        <v>16</v>
      </c>
      <c r="C1596" s="5" t="s">
        <v>1823</v>
      </c>
      <c r="D1596" s="5">
        <v>606.85</v>
      </c>
      <c r="E1596" s="5">
        <v>612</v>
      </c>
      <c r="F1596" s="5">
        <v>613.85</v>
      </c>
      <c r="G1596" s="5">
        <v>590.04999999999995</v>
      </c>
      <c r="H1596" s="5">
        <v>593.25</v>
      </c>
      <c r="I1596" s="5">
        <v>592.70000000000005</v>
      </c>
      <c r="J1596" s="5">
        <v>599.11</v>
      </c>
      <c r="K1596" s="5">
        <v>756476</v>
      </c>
      <c r="L1596" s="5">
        <v>4532.1099999999997</v>
      </c>
      <c r="M1596" s="5">
        <v>14698</v>
      </c>
      <c r="N1596" s="5">
        <v>517071</v>
      </c>
      <c r="O1596" s="5">
        <v>68.349999999999994</v>
      </c>
      <c r="P1596" s="5">
        <f t="shared" si="125"/>
        <v>-14.149999999999977</v>
      </c>
      <c r="Q1596" s="6">
        <f t="shared" si="126"/>
        <v>-2.3317129438905786E-2</v>
      </c>
      <c r="R1596" s="5">
        <f t="shared" si="127"/>
        <v>23.800000000000068</v>
      </c>
      <c r="S1596" s="6">
        <f t="shared" si="128"/>
        <v>3.9218917360138529E-2</v>
      </c>
      <c r="T1596" s="6">
        <f t="shared" si="129"/>
        <v>-1.0645188076060731E-2</v>
      </c>
    </row>
    <row r="1597" spans="1:20" hidden="1" x14ac:dyDescent="0.25">
      <c r="A1597" s="4" t="s">
        <v>1516</v>
      </c>
      <c r="B1597" s="5" t="s">
        <v>16</v>
      </c>
      <c r="C1597" s="5" t="s">
        <v>1823</v>
      </c>
      <c r="D1597" s="5">
        <v>944.65</v>
      </c>
      <c r="E1597" s="5">
        <v>925.05</v>
      </c>
      <c r="F1597" s="5">
        <v>948.95</v>
      </c>
      <c r="G1597" s="5">
        <v>919.95</v>
      </c>
      <c r="H1597" s="5">
        <v>939</v>
      </c>
      <c r="I1597" s="5">
        <v>936</v>
      </c>
      <c r="J1597" s="5">
        <v>933.89</v>
      </c>
      <c r="K1597" s="5">
        <v>743</v>
      </c>
      <c r="L1597" s="5">
        <v>6.94</v>
      </c>
      <c r="M1597" s="5">
        <v>227</v>
      </c>
      <c r="N1597" s="5">
        <v>362</v>
      </c>
      <c r="O1597" s="5">
        <v>48.72</v>
      </c>
      <c r="P1597" s="5">
        <f t="shared" si="125"/>
        <v>-8.6499999999999773</v>
      </c>
      <c r="Q1597" s="6">
        <f t="shared" si="126"/>
        <v>-9.1568305721695629E-3</v>
      </c>
      <c r="R1597" s="5">
        <f t="shared" si="127"/>
        <v>29</v>
      </c>
      <c r="S1597" s="6">
        <f t="shared" si="128"/>
        <v>3.0699200762187052E-2</v>
      </c>
      <c r="T1597" s="6">
        <f t="shared" si="129"/>
        <v>2.2627649164198059E-3</v>
      </c>
    </row>
    <row r="1598" spans="1:20" hidden="1" x14ac:dyDescent="0.25">
      <c r="A1598" s="4" t="s">
        <v>1517</v>
      </c>
      <c r="B1598" s="5" t="s">
        <v>16</v>
      </c>
      <c r="C1598" s="5" t="s">
        <v>1823</v>
      </c>
      <c r="D1598" s="5">
        <v>11.95</v>
      </c>
      <c r="E1598" s="5">
        <v>11.85</v>
      </c>
      <c r="F1598" s="5">
        <v>11.9</v>
      </c>
      <c r="G1598" s="5">
        <v>11.55</v>
      </c>
      <c r="H1598" s="5">
        <v>11.65</v>
      </c>
      <c r="I1598" s="5">
        <v>11.6</v>
      </c>
      <c r="J1598" s="5">
        <v>11.68</v>
      </c>
      <c r="K1598" s="5">
        <v>2371607</v>
      </c>
      <c r="L1598" s="5">
        <v>276.97000000000003</v>
      </c>
      <c r="M1598" s="5">
        <v>3552</v>
      </c>
      <c r="N1598" s="5">
        <v>1132877</v>
      </c>
      <c r="O1598" s="5">
        <v>47.77</v>
      </c>
      <c r="P1598" s="5">
        <f t="shared" si="125"/>
        <v>-0.34999999999999964</v>
      </c>
      <c r="Q1598" s="6">
        <f t="shared" si="126"/>
        <v>-2.9288702928870265E-2</v>
      </c>
      <c r="R1598" s="5">
        <f t="shared" si="127"/>
        <v>0.34999999999999964</v>
      </c>
      <c r="S1598" s="6">
        <f t="shared" si="128"/>
        <v>2.9288702928870265E-2</v>
      </c>
      <c r="T1598" s="6">
        <f t="shared" si="129"/>
        <v>-6.8230277185501132E-3</v>
      </c>
    </row>
    <row r="1599" spans="1:20" hidden="1" x14ac:dyDescent="0.25">
      <c r="A1599" s="4" t="s">
        <v>1518</v>
      </c>
      <c r="B1599" s="5" t="s">
        <v>16</v>
      </c>
      <c r="C1599" s="5" t="s">
        <v>1823</v>
      </c>
      <c r="D1599" s="5">
        <v>14.7</v>
      </c>
      <c r="E1599" s="5">
        <v>14.3</v>
      </c>
      <c r="F1599" s="5">
        <v>14.3</v>
      </c>
      <c r="G1599" s="5">
        <v>14</v>
      </c>
      <c r="H1599" s="5">
        <v>14</v>
      </c>
      <c r="I1599" s="5">
        <v>14</v>
      </c>
      <c r="J1599" s="5">
        <v>14.1</v>
      </c>
      <c r="K1599" s="5">
        <v>6886</v>
      </c>
      <c r="L1599" s="5">
        <v>0.97</v>
      </c>
      <c r="M1599" s="5">
        <v>16</v>
      </c>
      <c r="N1599" s="5">
        <v>6791</v>
      </c>
      <c r="O1599" s="5">
        <v>98.62</v>
      </c>
      <c r="P1599" s="5">
        <f t="shared" si="125"/>
        <v>-0.69999999999999929</v>
      </c>
      <c r="Q1599" s="6">
        <f t="shared" si="126"/>
        <v>-4.7619047619047575E-2</v>
      </c>
      <c r="R1599" s="5">
        <f t="shared" si="127"/>
        <v>0.30000000000000071</v>
      </c>
      <c r="S1599" s="6">
        <f t="shared" si="128"/>
        <v>2.0408163265306173E-2</v>
      </c>
      <c r="T1599" s="6">
        <f t="shared" si="129"/>
        <v>-7.0671378091872539E-3</v>
      </c>
    </row>
    <row r="1600" spans="1:20" hidden="1" x14ac:dyDescent="0.25">
      <c r="A1600" s="4" t="s">
        <v>1519</v>
      </c>
      <c r="B1600" s="5" t="s">
        <v>16</v>
      </c>
      <c r="C1600" s="5" t="s">
        <v>1823</v>
      </c>
      <c r="D1600" s="5">
        <v>189.15</v>
      </c>
      <c r="E1600" s="5">
        <v>189.15</v>
      </c>
      <c r="F1600" s="5">
        <v>198.05</v>
      </c>
      <c r="G1600" s="5">
        <v>188.3</v>
      </c>
      <c r="H1600" s="5">
        <v>192.95</v>
      </c>
      <c r="I1600" s="5">
        <v>195</v>
      </c>
      <c r="J1600" s="5">
        <v>194.26</v>
      </c>
      <c r="K1600" s="5">
        <v>18710</v>
      </c>
      <c r="L1600" s="5">
        <v>36.35</v>
      </c>
      <c r="M1600" s="5">
        <v>417</v>
      </c>
      <c r="N1600" s="5">
        <v>13378</v>
      </c>
      <c r="O1600" s="5">
        <v>71.5</v>
      </c>
      <c r="P1600" s="5">
        <f t="shared" si="125"/>
        <v>5.8499999999999943</v>
      </c>
      <c r="Q1600" s="6">
        <f t="shared" si="126"/>
        <v>3.0927835051546362E-2</v>
      </c>
      <c r="R1600" s="5">
        <f t="shared" si="127"/>
        <v>9.75</v>
      </c>
      <c r="S1600" s="6">
        <f t="shared" si="128"/>
        <v>5.1546391752577317E-2</v>
      </c>
      <c r="T1600" s="6">
        <f t="shared" si="129"/>
        <v>3.8416612589228247E-3</v>
      </c>
    </row>
    <row r="1601" spans="1:20" hidden="1" x14ac:dyDescent="0.25">
      <c r="A1601" s="4" t="s">
        <v>1520</v>
      </c>
      <c r="B1601" s="5" t="s">
        <v>16</v>
      </c>
      <c r="C1601" s="5" t="s">
        <v>1823</v>
      </c>
      <c r="D1601" s="5">
        <v>913.8</v>
      </c>
      <c r="E1601" s="5">
        <v>917.35</v>
      </c>
      <c r="F1601" s="5">
        <v>998.8</v>
      </c>
      <c r="G1601" s="5">
        <v>894.05</v>
      </c>
      <c r="H1601" s="5">
        <v>903.15</v>
      </c>
      <c r="I1601" s="5">
        <v>906.45</v>
      </c>
      <c r="J1601" s="5">
        <v>937.08</v>
      </c>
      <c r="K1601" s="5">
        <v>84469</v>
      </c>
      <c r="L1601" s="5">
        <v>791.54</v>
      </c>
      <c r="M1601" s="5">
        <v>4694</v>
      </c>
      <c r="N1601" s="5">
        <v>34776</v>
      </c>
      <c r="O1601" s="5">
        <v>41.17</v>
      </c>
      <c r="P1601" s="5">
        <f t="shared" si="125"/>
        <v>-7.3499999999999091</v>
      </c>
      <c r="Q1601" s="6">
        <f t="shared" si="126"/>
        <v>-8.0433355219959608E-3</v>
      </c>
      <c r="R1601" s="5">
        <f t="shared" si="127"/>
        <v>104.75</v>
      </c>
      <c r="S1601" s="6">
        <f t="shared" si="128"/>
        <v>0.11463121033048808</v>
      </c>
      <c r="T1601" s="6">
        <f t="shared" si="129"/>
        <v>-3.2965170247400213E-2</v>
      </c>
    </row>
    <row r="1602" spans="1:20" x14ac:dyDescent="0.25">
      <c r="A1602" s="4" t="s">
        <v>1673</v>
      </c>
      <c r="B1602" s="5" t="s">
        <v>16</v>
      </c>
      <c r="C1602" s="5" t="s">
        <v>1823</v>
      </c>
      <c r="D1602" s="5">
        <v>196.3</v>
      </c>
      <c r="E1602" s="5">
        <v>198</v>
      </c>
      <c r="F1602" s="5">
        <v>205</v>
      </c>
      <c r="G1602" s="5">
        <v>194.5</v>
      </c>
      <c r="H1602" s="5">
        <v>196.1</v>
      </c>
      <c r="I1602" s="5">
        <v>197.45</v>
      </c>
      <c r="J1602" s="5">
        <v>198.45</v>
      </c>
      <c r="K1602" s="5">
        <v>608373</v>
      </c>
      <c r="L1602" s="5">
        <v>1207.31</v>
      </c>
      <c r="M1602" s="5">
        <v>5104</v>
      </c>
      <c r="N1602" s="5">
        <v>416252</v>
      </c>
      <c r="O1602" s="5">
        <v>68.42</v>
      </c>
      <c r="P1602" s="5">
        <f t="shared" si="125"/>
        <v>1.1499999999999773</v>
      </c>
      <c r="Q1602" s="6">
        <f t="shared" si="126"/>
        <v>5.8583800305653452E-3</v>
      </c>
      <c r="R1602" s="5">
        <f t="shared" si="127"/>
        <v>10.5</v>
      </c>
      <c r="S1602" s="6">
        <f t="shared" si="128"/>
        <v>5.3489556800815075E-2</v>
      </c>
      <c r="T1602" s="6">
        <f t="shared" si="129"/>
        <v>-5.0317630039625133E-3</v>
      </c>
    </row>
    <row r="1603" spans="1:20" hidden="1" x14ac:dyDescent="0.25">
      <c r="A1603" s="4" t="s">
        <v>1522</v>
      </c>
      <c r="B1603" s="5" t="s">
        <v>39</v>
      </c>
      <c r="C1603" s="5" t="s">
        <v>1823</v>
      </c>
      <c r="D1603" s="5">
        <v>1</v>
      </c>
      <c r="E1603" s="5">
        <v>1</v>
      </c>
      <c r="F1603" s="5">
        <v>1.05</v>
      </c>
      <c r="G1603" s="5">
        <v>1</v>
      </c>
      <c r="H1603" s="5">
        <v>1.05</v>
      </c>
      <c r="I1603" s="5">
        <v>1</v>
      </c>
      <c r="J1603" s="5">
        <v>1</v>
      </c>
      <c r="K1603" s="5">
        <v>29547</v>
      </c>
      <c r="L1603" s="5">
        <v>0.3</v>
      </c>
      <c r="M1603" s="5">
        <v>48</v>
      </c>
      <c r="N1603" s="5" t="s">
        <v>25</v>
      </c>
      <c r="O1603" s="5" t="s">
        <v>25</v>
      </c>
      <c r="P1603" s="5">
        <f t="shared" si="125"/>
        <v>0</v>
      </c>
      <c r="Q1603" s="6">
        <f t="shared" si="126"/>
        <v>0</v>
      </c>
      <c r="R1603" s="5">
        <f t="shared" si="127"/>
        <v>5.0000000000000044E-2</v>
      </c>
      <c r="S1603" s="6">
        <f t="shared" si="128"/>
        <v>5.0000000000000044E-2</v>
      </c>
      <c r="T1603" s="6">
        <f t="shared" si="129"/>
        <v>0</v>
      </c>
    </row>
    <row r="1604" spans="1:20" hidden="1" x14ac:dyDescent="0.25">
      <c r="A1604" s="4" t="s">
        <v>1523</v>
      </c>
      <c r="B1604" s="5" t="s">
        <v>16</v>
      </c>
      <c r="C1604" s="5" t="s">
        <v>1823</v>
      </c>
      <c r="D1604" s="5">
        <v>71.150000000000006</v>
      </c>
      <c r="E1604" s="5">
        <v>73.3</v>
      </c>
      <c r="F1604" s="5">
        <v>73.3</v>
      </c>
      <c r="G1604" s="5">
        <v>68.95</v>
      </c>
      <c r="H1604" s="5">
        <v>72.3</v>
      </c>
      <c r="I1604" s="5">
        <v>72.75</v>
      </c>
      <c r="J1604" s="5">
        <v>71.989999999999995</v>
      </c>
      <c r="K1604" s="5">
        <v>26615</v>
      </c>
      <c r="L1604" s="5">
        <v>19.16</v>
      </c>
      <c r="M1604" s="5">
        <v>588</v>
      </c>
      <c r="N1604" s="5">
        <v>18381</v>
      </c>
      <c r="O1604" s="5">
        <v>69.06</v>
      </c>
      <c r="P1604" s="5">
        <f t="shared" si="125"/>
        <v>1.5999999999999943</v>
      </c>
      <c r="Q1604" s="6">
        <f t="shared" si="126"/>
        <v>2.2487702037947914E-2</v>
      </c>
      <c r="R1604" s="5">
        <f t="shared" si="127"/>
        <v>4.3499999999999943</v>
      </c>
      <c r="S1604" s="6">
        <f t="shared" si="128"/>
        <v>6.1138439915671035E-2</v>
      </c>
      <c r="T1604" s="6">
        <f t="shared" si="129"/>
        <v>1.0544571626777733E-2</v>
      </c>
    </row>
    <row r="1605" spans="1:20" x14ac:dyDescent="0.25">
      <c r="A1605" s="4" t="s">
        <v>1010</v>
      </c>
      <c r="B1605" s="5" t="s">
        <v>16</v>
      </c>
      <c r="C1605" s="5" t="s">
        <v>1823</v>
      </c>
      <c r="D1605" s="5">
        <v>36</v>
      </c>
      <c r="E1605" s="5">
        <v>36.200000000000003</v>
      </c>
      <c r="F1605" s="5">
        <v>36.700000000000003</v>
      </c>
      <c r="G1605" s="5">
        <v>34.200000000000003</v>
      </c>
      <c r="H1605" s="5">
        <v>34.799999999999997</v>
      </c>
      <c r="I1605" s="5">
        <v>35</v>
      </c>
      <c r="J1605" s="5">
        <v>35.24</v>
      </c>
      <c r="K1605" s="5">
        <v>108238</v>
      </c>
      <c r="L1605" s="5">
        <v>38.14</v>
      </c>
      <c r="M1605" s="5">
        <v>835</v>
      </c>
      <c r="N1605" s="5">
        <v>74726</v>
      </c>
      <c r="O1605" s="5">
        <v>69.040000000000006</v>
      </c>
      <c r="P1605" s="5">
        <f t="shared" si="125"/>
        <v>-1</v>
      </c>
      <c r="Q1605" s="6">
        <f t="shared" si="126"/>
        <v>-2.7777777777777776E-2</v>
      </c>
      <c r="R1605" s="5">
        <f t="shared" si="127"/>
        <v>2.5</v>
      </c>
      <c r="S1605" s="6">
        <f t="shared" si="128"/>
        <v>6.9444444444444448E-2</v>
      </c>
      <c r="T1605" s="6">
        <f t="shared" si="129"/>
        <v>-6.7558057705841505E-3</v>
      </c>
    </row>
    <row r="1606" spans="1:20" hidden="1" x14ac:dyDescent="0.25">
      <c r="A1606" s="4" t="s">
        <v>1525</v>
      </c>
      <c r="B1606" s="5" t="s">
        <v>39</v>
      </c>
      <c r="C1606" s="5" t="s">
        <v>1823</v>
      </c>
      <c r="D1606" s="5">
        <v>0.45</v>
      </c>
      <c r="E1606" s="5">
        <v>0.5</v>
      </c>
      <c r="F1606" s="5">
        <v>0.5</v>
      </c>
      <c r="G1606" s="5">
        <v>0.4</v>
      </c>
      <c r="H1606" s="5">
        <v>0.5</v>
      </c>
      <c r="I1606" s="5">
        <v>0.5</v>
      </c>
      <c r="J1606" s="5">
        <v>0.5</v>
      </c>
      <c r="K1606" s="5">
        <v>26037</v>
      </c>
      <c r="L1606" s="5">
        <v>0.13</v>
      </c>
      <c r="M1606" s="5">
        <v>79</v>
      </c>
      <c r="N1606" s="5" t="s">
        <v>25</v>
      </c>
      <c r="O1606" s="5" t="s">
        <v>25</v>
      </c>
      <c r="P1606" s="5">
        <f t="shared" si="125"/>
        <v>4.9999999999999989E-2</v>
      </c>
      <c r="Q1606" s="6">
        <f t="shared" si="126"/>
        <v>0.11111111111111108</v>
      </c>
      <c r="R1606" s="5">
        <f t="shared" si="127"/>
        <v>9.9999999999999978E-2</v>
      </c>
      <c r="S1606" s="6">
        <f t="shared" si="128"/>
        <v>0.22222222222222215</v>
      </c>
      <c r="T1606" s="6">
        <f t="shared" si="129"/>
        <v>0</v>
      </c>
    </row>
    <row r="1607" spans="1:20" x14ac:dyDescent="0.25">
      <c r="A1607" s="4" t="s">
        <v>614</v>
      </c>
      <c r="B1607" s="5" t="s">
        <v>16</v>
      </c>
      <c r="C1607" s="5" t="s">
        <v>1823</v>
      </c>
      <c r="D1607" s="5">
        <v>178.55</v>
      </c>
      <c r="E1607" s="5">
        <v>176.1</v>
      </c>
      <c r="F1607" s="5">
        <v>181</v>
      </c>
      <c r="G1607" s="5">
        <v>174</v>
      </c>
      <c r="H1607" s="5">
        <v>174.7</v>
      </c>
      <c r="I1607" s="5">
        <v>175.6</v>
      </c>
      <c r="J1607" s="5">
        <v>178.2</v>
      </c>
      <c r="K1607" s="5">
        <v>205015</v>
      </c>
      <c r="L1607" s="5">
        <v>365.34</v>
      </c>
      <c r="M1607" s="5">
        <v>5797</v>
      </c>
      <c r="N1607" s="5">
        <v>142249</v>
      </c>
      <c r="O1607" s="5">
        <v>69.38</v>
      </c>
      <c r="P1607" s="5">
        <f t="shared" si="125"/>
        <v>-2.9500000000000171</v>
      </c>
      <c r="Q1607" s="6">
        <f t="shared" si="126"/>
        <v>-1.6521982637916644E-2</v>
      </c>
      <c r="R1607" s="5">
        <f t="shared" si="127"/>
        <v>7</v>
      </c>
      <c r="S1607" s="6">
        <f t="shared" si="128"/>
        <v>3.9204704564547742E-2</v>
      </c>
      <c r="T1607" s="6">
        <f t="shared" si="129"/>
        <v>-1.4716286967595835E-2</v>
      </c>
    </row>
    <row r="1608" spans="1:20" x14ac:dyDescent="0.25">
      <c r="A1608" s="4" t="s">
        <v>502</v>
      </c>
      <c r="B1608" s="5" t="s">
        <v>16</v>
      </c>
      <c r="C1608" s="5" t="s">
        <v>1823</v>
      </c>
      <c r="D1608" s="5">
        <v>22.65</v>
      </c>
      <c r="E1608" s="5">
        <v>22.9</v>
      </c>
      <c r="F1608" s="5">
        <v>22.9</v>
      </c>
      <c r="G1608" s="5">
        <v>21.85</v>
      </c>
      <c r="H1608" s="5">
        <v>22</v>
      </c>
      <c r="I1608" s="5">
        <v>22</v>
      </c>
      <c r="J1608" s="5">
        <v>22.09</v>
      </c>
      <c r="K1608" s="5">
        <v>105374</v>
      </c>
      <c r="L1608" s="5">
        <v>23.28</v>
      </c>
      <c r="M1608" s="5">
        <v>638</v>
      </c>
      <c r="N1608" s="5">
        <v>73413</v>
      </c>
      <c r="O1608" s="5">
        <v>69.67</v>
      </c>
      <c r="P1608" s="5">
        <f t="shared" si="125"/>
        <v>-0.64999999999999858</v>
      </c>
      <c r="Q1608" s="6">
        <f t="shared" si="126"/>
        <v>-2.8697571743929298E-2</v>
      </c>
      <c r="R1608" s="5">
        <f t="shared" si="127"/>
        <v>1.0499999999999972</v>
      </c>
      <c r="S1608" s="6">
        <f t="shared" si="128"/>
        <v>4.6357615894039611E-2</v>
      </c>
      <c r="T1608" s="6">
        <f t="shared" si="129"/>
        <v>-4.0156162855549292E-3</v>
      </c>
    </row>
    <row r="1609" spans="1:20" hidden="1" x14ac:dyDescent="0.25">
      <c r="A1609" s="4" t="s">
        <v>1528</v>
      </c>
      <c r="B1609" s="5" t="s">
        <v>16</v>
      </c>
      <c r="C1609" s="5" t="s">
        <v>1823</v>
      </c>
      <c r="D1609" s="5">
        <v>34.9</v>
      </c>
      <c r="E1609" s="5">
        <v>36</v>
      </c>
      <c r="F1609" s="5">
        <v>36</v>
      </c>
      <c r="G1609" s="5">
        <v>33.9</v>
      </c>
      <c r="H1609" s="5">
        <v>34.450000000000003</v>
      </c>
      <c r="I1609" s="5">
        <v>34.15</v>
      </c>
      <c r="J1609" s="5">
        <v>34.25</v>
      </c>
      <c r="K1609" s="5">
        <v>21230</v>
      </c>
      <c r="L1609" s="5">
        <v>7.27</v>
      </c>
      <c r="M1609" s="5">
        <v>227</v>
      </c>
      <c r="N1609" s="5">
        <v>11867</v>
      </c>
      <c r="O1609" s="5">
        <v>55.9</v>
      </c>
      <c r="P1609" s="5">
        <f t="shared" si="125"/>
        <v>-0.75</v>
      </c>
      <c r="Q1609" s="6">
        <f t="shared" si="126"/>
        <v>-2.1489971346704873E-2</v>
      </c>
      <c r="R1609" s="5">
        <f t="shared" si="127"/>
        <v>2.1000000000000014</v>
      </c>
      <c r="S1609" s="6">
        <f t="shared" si="128"/>
        <v>6.0171919770773685E-2</v>
      </c>
      <c r="T1609" s="6">
        <f t="shared" si="129"/>
        <v>-2.8561228132810115E-3</v>
      </c>
    </row>
    <row r="1610" spans="1:20" hidden="1" x14ac:dyDescent="0.25">
      <c r="A1610" s="4" t="s">
        <v>1529</v>
      </c>
      <c r="B1610" s="5" t="s">
        <v>16</v>
      </c>
      <c r="C1610" s="5" t="s">
        <v>1823</v>
      </c>
      <c r="D1610" s="5">
        <v>12.6</v>
      </c>
      <c r="E1610" s="5">
        <v>12.2</v>
      </c>
      <c r="F1610" s="5">
        <v>12.7</v>
      </c>
      <c r="G1610" s="5">
        <v>12</v>
      </c>
      <c r="H1610" s="5">
        <v>12.5</v>
      </c>
      <c r="I1610" s="5">
        <v>12.5</v>
      </c>
      <c r="J1610" s="5">
        <v>12.34</v>
      </c>
      <c r="K1610" s="5">
        <v>16145</v>
      </c>
      <c r="L1610" s="5">
        <v>1.99</v>
      </c>
      <c r="M1610" s="5">
        <v>99</v>
      </c>
      <c r="N1610" s="5">
        <v>15170</v>
      </c>
      <c r="O1610" s="5">
        <v>93.96</v>
      </c>
      <c r="P1610" s="5">
        <f t="shared" si="125"/>
        <v>-9.9999999999999645E-2</v>
      </c>
      <c r="Q1610" s="6">
        <f t="shared" si="126"/>
        <v>-7.9365079365079083E-3</v>
      </c>
      <c r="R1610" s="5">
        <f t="shared" si="127"/>
        <v>0.69999999999999929</v>
      </c>
      <c r="S1610" s="6">
        <f t="shared" si="128"/>
        <v>5.5555555555555504E-2</v>
      </c>
      <c r="T1610" s="6">
        <f t="shared" si="129"/>
        <v>1.2955465587044546E-2</v>
      </c>
    </row>
    <row r="1611" spans="1:20" hidden="1" x14ac:dyDescent="0.25">
      <c r="A1611" s="4" t="s">
        <v>1530</v>
      </c>
      <c r="B1611" s="5" t="s">
        <v>16</v>
      </c>
      <c r="C1611" s="5" t="s">
        <v>1823</v>
      </c>
      <c r="D1611" s="5">
        <v>4.3499999999999996</v>
      </c>
      <c r="E1611" s="5">
        <v>4.1500000000000004</v>
      </c>
      <c r="F1611" s="5">
        <v>4.1500000000000004</v>
      </c>
      <c r="G1611" s="5">
        <v>4.1500000000000004</v>
      </c>
      <c r="H1611" s="5">
        <v>4.1500000000000004</v>
      </c>
      <c r="I1611" s="5">
        <v>4.1500000000000004</v>
      </c>
      <c r="J1611" s="5">
        <v>4.1500000000000004</v>
      </c>
      <c r="K1611" s="5">
        <v>76112</v>
      </c>
      <c r="L1611" s="5">
        <v>3.16</v>
      </c>
      <c r="M1611" s="5">
        <v>178</v>
      </c>
      <c r="N1611" s="5">
        <v>76112</v>
      </c>
      <c r="O1611" s="5">
        <v>100</v>
      </c>
      <c r="P1611" s="5">
        <f t="shared" si="125"/>
        <v>-0.19999999999999929</v>
      </c>
      <c r="Q1611" s="6">
        <f t="shared" si="126"/>
        <v>-4.5977011494252713E-2</v>
      </c>
      <c r="R1611" s="5">
        <f t="shared" si="127"/>
        <v>0</v>
      </c>
      <c r="S1611" s="6">
        <f t="shared" si="128"/>
        <v>0</v>
      </c>
      <c r="T1611" s="6">
        <f t="shared" si="129"/>
        <v>0</v>
      </c>
    </row>
    <row r="1612" spans="1:20" hidden="1" x14ac:dyDescent="0.25">
      <c r="A1612" s="4" t="s">
        <v>1531</v>
      </c>
      <c r="B1612" s="5" t="s">
        <v>39</v>
      </c>
      <c r="C1612" s="5" t="s">
        <v>1823</v>
      </c>
      <c r="D1612" s="5">
        <v>0.25</v>
      </c>
      <c r="E1612" s="5">
        <v>0.2</v>
      </c>
      <c r="F1612" s="5">
        <v>0.25</v>
      </c>
      <c r="G1612" s="5">
        <v>0.2</v>
      </c>
      <c r="H1612" s="5">
        <v>0.25</v>
      </c>
      <c r="I1612" s="5">
        <v>0.2</v>
      </c>
      <c r="J1612" s="5">
        <v>0.21</v>
      </c>
      <c r="K1612" s="5">
        <v>56807</v>
      </c>
      <c r="L1612" s="5">
        <v>0.12</v>
      </c>
      <c r="M1612" s="5">
        <v>12</v>
      </c>
      <c r="N1612" s="5" t="s">
        <v>25</v>
      </c>
      <c r="O1612" s="5" t="s">
        <v>25</v>
      </c>
      <c r="P1612" s="5">
        <f t="shared" ref="P1612:P1675" si="130">I1612-D1612</f>
        <v>-4.9999999999999989E-2</v>
      </c>
      <c r="Q1612" s="6">
        <f t="shared" ref="Q1612:Q1675" si="131">P1612/D1612</f>
        <v>-0.19999999999999996</v>
      </c>
      <c r="R1612" s="5">
        <f t="shared" ref="R1612:R1675" si="132">ABS(F1612-G1612)</f>
        <v>4.9999999999999989E-2</v>
      </c>
      <c r="S1612" s="6">
        <f t="shared" ref="S1612:S1675" si="133">R1612/D1612</f>
        <v>0.19999999999999996</v>
      </c>
      <c r="T1612" s="6">
        <f t="shared" ref="T1612:T1675" si="134">(I1612-J1612)/AVERAGE(E1612:G1612,I1612)</f>
        <v>-4.7058823529411674E-2</v>
      </c>
    </row>
    <row r="1613" spans="1:20" hidden="1" x14ac:dyDescent="0.25">
      <c r="A1613" s="4" t="s">
        <v>1532</v>
      </c>
      <c r="B1613" s="5" t="s">
        <v>16</v>
      </c>
      <c r="C1613" s="5" t="s">
        <v>1823</v>
      </c>
      <c r="D1613" s="5">
        <v>181.25</v>
      </c>
      <c r="E1613" s="5">
        <v>185.5</v>
      </c>
      <c r="F1613" s="5">
        <v>190</v>
      </c>
      <c r="G1613" s="5">
        <v>175.1</v>
      </c>
      <c r="H1613" s="5">
        <v>184.85</v>
      </c>
      <c r="I1613" s="5">
        <v>180.15</v>
      </c>
      <c r="J1613" s="5">
        <v>180.09</v>
      </c>
      <c r="K1613" s="5">
        <v>9572</v>
      </c>
      <c r="L1613" s="5">
        <v>17.239999999999998</v>
      </c>
      <c r="M1613" s="5">
        <v>345</v>
      </c>
      <c r="N1613" s="5">
        <v>5289</v>
      </c>
      <c r="O1613" s="5">
        <v>55.25</v>
      </c>
      <c r="P1613" s="5">
        <f t="shared" si="130"/>
        <v>-1.0999999999999943</v>
      </c>
      <c r="Q1613" s="6">
        <f t="shared" si="131"/>
        <v>-6.0689655172413478E-3</v>
      </c>
      <c r="R1613" s="5">
        <f t="shared" si="132"/>
        <v>14.900000000000006</v>
      </c>
      <c r="S1613" s="6">
        <f t="shared" si="133"/>
        <v>8.2206896551724168E-2</v>
      </c>
      <c r="T1613" s="6">
        <f t="shared" si="134"/>
        <v>3.2842969551831556E-4</v>
      </c>
    </row>
    <row r="1614" spans="1:20" hidden="1" x14ac:dyDescent="0.25">
      <c r="A1614" s="4" t="s">
        <v>1533</v>
      </c>
      <c r="B1614" s="5" t="s">
        <v>688</v>
      </c>
      <c r="C1614" s="5" t="s">
        <v>1823</v>
      </c>
      <c r="D1614" s="5">
        <v>925</v>
      </c>
      <c r="E1614" s="5">
        <v>835.15</v>
      </c>
      <c r="F1614" s="5">
        <v>940</v>
      </c>
      <c r="G1614" s="5">
        <v>835</v>
      </c>
      <c r="H1614" s="5">
        <v>940</v>
      </c>
      <c r="I1614" s="5">
        <v>940</v>
      </c>
      <c r="J1614" s="5">
        <v>888.9</v>
      </c>
      <c r="K1614" s="5">
        <v>90</v>
      </c>
      <c r="L1614" s="5">
        <v>0.8</v>
      </c>
      <c r="M1614" s="5">
        <v>5</v>
      </c>
      <c r="N1614" s="5">
        <v>50</v>
      </c>
      <c r="O1614" s="5">
        <v>55.56</v>
      </c>
      <c r="P1614" s="5">
        <f t="shared" si="130"/>
        <v>15</v>
      </c>
      <c r="Q1614" s="6">
        <f t="shared" si="131"/>
        <v>1.6216216216216217E-2</v>
      </c>
      <c r="R1614" s="5">
        <f t="shared" si="132"/>
        <v>105</v>
      </c>
      <c r="S1614" s="6">
        <f t="shared" si="133"/>
        <v>0.11351351351351352</v>
      </c>
      <c r="T1614" s="6">
        <f t="shared" si="134"/>
        <v>5.7575032040899705E-2</v>
      </c>
    </row>
    <row r="1615" spans="1:20" hidden="1" x14ac:dyDescent="0.25">
      <c r="A1615" s="4" t="s">
        <v>1533</v>
      </c>
      <c r="B1615" s="5" t="s">
        <v>443</v>
      </c>
      <c r="C1615" s="5" t="s">
        <v>1823</v>
      </c>
      <c r="D1615" s="5">
        <v>835</v>
      </c>
      <c r="E1615" s="5">
        <v>869</v>
      </c>
      <c r="F1615" s="5">
        <v>869</v>
      </c>
      <c r="G1615" s="5">
        <v>869</v>
      </c>
      <c r="H1615" s="5">
        <v>869</v>
      </c>
      <c r="I1615" s="5">
        <v>869</v>
      </c>
      <c r="J1615" s="5">
        <v>869</v>
      </c>
      <c r="K1615" s="5">
        <v>10</v>
      </c>
      <c r="L1615" s="5">
        <v>0.09</v>
      </c>
      <c r="M1615" s="5">
        <v>1</v>
      </c>
      <c r="N1615" s="5">
        <v>10</v>
      </c>
      <c r="O1615" s="5">
        <v>100</v>
      </c>
      <c r="P1615" s="5">
        <f t="shared" si="130"/>
        <v>34</v>
      </c>
      <c r="Q1615" s="6">
        <f t="shared" si="131"/>
        <v>4.0718562874251497E-2</v>
      </c>
      <c r="R1615" s="5">
        <f t="shared" si="132"/>
        <v>0</v>
      </c>
      <c r="S1615" s="6">
        <f t="shared" si="133"/>
        <v>0</v>
      </c>
      <c r="T1615" s="6">
        <f t="shared" si="134"/>
        <v>0</v>
      </c>
    </row>
    <row r="1616" spans="1:20" hidden="1" x14ac:dyDescent="0.25">
      <c r="A1616" s="4" t="s">
        <v>1533</v>
      </c>
      <c r="B1616" s="5" t="s">
        <v>731</v>
      </c>
      <c r="C1616" s="5" t="s">
        <v>1823</v>
      </c>
      <c r="D1616" s="5">
        <v>719</v>
      </c>
      <c r="E1616" s="5">
        <v>719.5</v>
      </c>
      <c r="F1616" s="5">
        <v>719.61</v>
      </c>
      <c r="G1616" s="5">
        <v>719.5</v>
      </c>
      <c r="H1616" s="5">
        <v>719.61</v>
      </c>
      <c r="I1616" s="5">
        <v>719.61</v>
      </c>
      <c r="J1616" s="5">
        <v>719.53</v>
      </c>
      <c r="K1616" s="5">
        <v>70</v>
      </c>
      <c r="L1616" s="5">
        <v>0.5</v>
      </c>
      <c r="M1616" s="5">
        <v>4</v>
      </c>
      <c r="N1616" s="5">
        <v>70</v>
      </c>
      <c r="O1616" s="5">
        <v>100</v>
      </c>
      <c r="P1616" s="5">
        <f t="shared" si="130"/>
        <v>0.61000000000001364</v>
      </c>
      <c r="Q1616" s="6">
        <f t="shared" si="131"/>
        <v>8.4840055632825258E-4</v>
      </c>
      <c r="R1616" s="5">
        <f t="shared" si="132"/>
        <v>0.11000000000001364</v>
      </c>
      <c r="S1616" s="6">
        <f t="shared" si="133"/>
        <v>1.5299026425592997E-4</v>
      </c>
      <c r="T1616" s="6">
        <f t="shared" si="134"/>
        <v>1.1117982642055287E-4</v>
      </c>
    </row>
    <row r="1617" spans="1:20" hidden="1" x14ac:dyDescent="0.25">
      <c r="A1617" s="4" t="s">
        <v>1533</v>
      </c>
      <c r="B1617" s="5" t="s">
        <v>1856</v>
      </c>
      <c r="C1617" s="5" t="s">
        <v>1823</v>
      </c>
      <c r="D1617" s="5">
        <v>650</v>
      </c>
      <c r="E1617" s="5">
        <v>650</v>
      </c>
      <c r="F1617" s="5">
        <v>650</v>
      </c>
      <c r="G1617" s="5">
        <v>650</v>
      </c>
      <c r="H1617" s="5">
        <v>650</v>
      </c>
      <c r="I1617" s="5">
        <v>650</v>
      </c>
      <c r="J1617" s="5">
        <v>650</v>
      </c>
      <c r="K1617" s="5">
        <v>10</v>
      </c>
      <c r="L1617" s="5">
        <v>7.0000000000000007E-2</v>
      </c>
      <c r="M1617" s="5">
        <v>1</v>
      </c>
      <c r="N1617" s="5">
        <v>10</v>
      </c>
      <c r="O1617" s="5">
        <v>100</v>
      </c>
      <c r="P1617" s="5">
        <f t="shared" si="130"/>
        <v>0</v>
      </c>
      <c r="Q1617" s="6">
        <f t="shared" si="131"/>
        <v>0</v>
      </c>
      <c r="R1617" s="5">
        <f t="shared" si="132"/>
        <v>0</v>
      </c>
      <c r="S1617" s="6">
        <f t="shared" si="133"/>
        <v>0</v>
      </c>
      <c r="T1617" s="6">
        <f t="shared" si="134"/>
        <v>0</v>
      </c>
    </row>
    <row r="1618" spans="1:20" hidden="1" x14ac:dyDescent="0.25">
      <c r="A1618" s="4" t="s">
        <v>1534</v>
      </c>
      <c r="B1618" s="5" t="s">
        <v>16</v>
      </c>
      <c r="C1618" s="5" t="s">
        <v>1823</v>
      </c>
      <c r="D1618" s="5">
        <v>10.25</v>
      </c>
      <c r="E1618" s="5">
        <v>10.25</v>
      </c>
      <c r="F1618" s="5">
        <v>10.25</v>
      </c>
      <c r="G1618" s="5">
        <v>9.5</v>
      </c>
      <c r="H1618" s="5">
        <v>9.6</v>
      </c>
      <c r="I1618" s="5">
        <v>9.65</v>
      </c>
      <c r="J1618" s="5">
        <v>9.81</v>
      </c>
      <c r="K1618" s="5">
        <v>1340224</v>
      </c>
      <c r="L1618" s="5">
        <v>131.52000000000001</v>
      </c>
      <c r="M1618" s="5">
        <v>5788</v>
      </c>
      <c r="N1618" s="5">
        <v>972830</v>
      </c>
      <c r="O1618" s="5">
        <v>72.59</v>
      </c>
      <c r="P1618" s="5">
        <f t="shared" si="130"/>
        <v>-0.59999999999999964</v>
      </c>
      <c r="Q1618" s="6">
        <f t="shared" si="131"/>
        <v>-5.8536585365853627E-2</v>
      </c>
      <c r="R1618" s="5">
        <f t="shared" si="132"/>
        <v>0.75</v>
      </c>
      <c r="S1618" s="6">
        <f t="shared" si="133"/>
        <v>7.3170731707317069E-2</v>
      </c>
      <c r="T1618" s="6">
        <f t="shared" si="134"/>
        <v>-1.6141235813366975E-2</v>
      </c>
    </row>
    <row r="1619" spans="1:20" hidden="1" x14ac:dyDescent="0.25">
      <c r="A1619" s="4" t="s">
        <v>1534</v>
      </c>
      <c r="B1619" s="5" t="s">
        <v>1535</v>
      </c>
      <c r="C1619" s="5" t="s">
        <v>1823</v>
      </c>
      <c r="D1619" s="5">
        <v>800</v>
      </c>
      <c r="E1619" s="5">
        <v>800</v>
      </c>
      <c r="F1619" s="5">
        <v>800</v>
      </c>
      <c r="G1619" s="5">
        <v>751</v>
      </c>
      <c r="H1619" s="5">
        <v>751</v>
      </c>
      <c r="I1619" s="5">
        <v>751</v>
      </c>
      <c r="J1619" s="5">
        <v>767.7</v>
      </c>
      <c r="K1619" s="5">
        <v>100</v>
      </c>
      <c r="L1619" s="5">
        <v>0.77</v>
      </c>
      <c r="M1619" s="5">
        <v>5</v>
      </c>
      <c r="N1619" s="5">
        <v>100</v>
      </c>
      <c r="O1619" s="5">
        <v>100</v>
      </c>
      <c r="P1619" s="5">
        <f t="shared" si="130"/>
        <v>-49</v>
      </c>
      <c r="Q1619" s="6">
        <f t="shared" si="131"/>
        <v>-6.1249999999999999E-2</v>
      </c>
      <c r="R1619" s="5">
        <f t="shared" si="132"/>
        <v>49</v>
      </c>
      <c r="S1619" s="6">
        <f t="shared" si="133"/>
        <v>6.1249999999999999E-2</v>
      </c>
      <c r="T1619" s="6">
        <f t="shared" si="134"/>
        <v>-2.1534493874919465E-2</v>
      </c>
    </row>
    <row r="1620" spans="1:20" hidden="1" x14ac:dyDescent="0.25">
      <c r="A1620" s="4" t="s">
        <v>1534</v>
      </c>
      <c r="B1620" s="5" t="s">
        <v>405</v>
      </c>
      <c r="C1620" s="5" t="s">
        <v>1823</v>
      </c>
      <c r="D1620" s="5">
        <v>725</v>
      </c>
      <c r="E1620" s="5">
        <v>725</v>
      </c>
      <c r="F1620" s="5">
        <v>725</v>
      </c>
      <c r="G1620" s="5">
        <v>706</v>
      </c>
      <c r="H1620" s="5">
        <v>725</v>
      </c>
      <c r="I1620" s="5">
        <v>725</v>
      </c>
      <c r="J1620" s="5">
        <v>715.15</v>
      </c>
      <c r="K1620" s="5">
        <v>27</v>
      </c>
      <c r="L1620" s="5">
        <v>0.19</v>
      </c>
      <c r="M1620" s="5">
        <v>4</v>
      </c>
      <c r="N1620" s="5">
        <v>27</v>
      </c>
      <c r="O1620" s="5">
        <v>100</v>
      </c>
      <c r="P1620" s="5">
        <f t="shared" si="130"/>
        <v>0</v>
      </c>
      <c r="Q1620" s="6">
        <f t="shared" si="131"/>
        <v>0</v>
      </c>
      <c r="R1620" s="5">
        <f t="shared" si="132"/>
        <v>19</v>
      </c>
      <c r="S1620" s="6">
        <f t="shared" si="133"/>
        <v>2.6206896551724139E-2</v>
      </c>
      <c r="T1620" s="6">
        <f t="shared" si="134"/>
        <v>1.3675807011454388E-2</v>
      </c>
    </row>
    <row r="1621" spans="1:20" hidden="1" x14ac:dyDescent="0.25">
      <c r="A1621" s="4" t="s">
        <v>1534</v>
      </c>
      <c r="B1621" s="5" t="s">
        <v>1857</v>
      </c>
      <c r="C1621" s="5" t="s">
        <v>1823</v>
      </c>
      <c r="D1621" s="5">
        <v>750</v>
      </c>
      <c r="E1621" s="5">
        <v>724.01</v>
      </c>
      <c r="F1621" s="5">
        <v>724.01</v>
      </c>
      <c r="G1621" s="5">
        <v>722</v>
      </c>
      <c r="H1621" s="5">
        <v>722</v>
      </c>
      <c r="I1621" s="5">
        <v>723.43</v>
      </c>
      <c r="J1621" s="5">
        <v>723.44</v>
      </c>
      <c r="K1621" s="5">
        <v>71</v>
      </c>
      <c r="L1621" s="5">
        <v>0.51</v>
      </c>
      <c r="M1621" s="5">
        <v>5</v>
      </c>
      <c r="N1621" s="5">
        <v>71</v>
      </c>
      <c r="O1621" s="5">
        <v>100</v>
      </c>
      <c r="P1621" s="5">
        <f t="shared" si="130"/>
        <v>-26.57000000000005</v>
      </c>
      <c r="Q1621" s="6">
        <f t="shared" si="131"/>
        <v>-3.5426666666666731E-2</v>
      </c>
      <c r="R1621" s="5">
        <f t="shared" si="132"/>
        <v>2.0099999999999909</v>
      </c>
      <c r="S1621" s="6">
        <f t="shared" si="133"/>
        <v>2.6799999999999879E-3</v>
      </c>
      <c r="T1621" s="6">
        <f t="shared" si="134"/>
        <v>-1.3824327360216478E-5</v>
      </c>
    </row>
    <row r="1622" spans="1:20" hidden="1" x14ac:dyDescent="0.25">
      <c r="A1622" s="4" t="s">
        <v>1534</v>
      </c>
      <c r="B1622" s="5" t="s">
        <v>1542</v>
      </c>
      <c r="C1622" s="5" t="s">
        <v>1823</v>
      </c>
      <c r="D1622" s="5">
        <v>710</v>
      </c>
      <c r="E1622" s="5">
        <v>710</v>
      </c>
      <c r="F1622" s="5">
        <v>725</v>
      </c>
      <c r="G1622" s="5">
        <v>710</v>
      </c>
      <c r="H1622" s="5">
        <v>725</v>
      </c>
      <c r="I1622" s="5">
        <v>725</v>
      </c>
      <c r="J1622" s="5">
        <v>720</v>
      </c>
      <c r="K1622" s="5">
        <v>30</v>
      </c>
      <c r="L1622" s="5">
        <v>0.22</v>
      </c>
      <c r="M1622" s="5">
        <v>5</v>
      </c>
      <c r="N1622" s="5">
        <v>30</v>
      </c>
      <c r="O1622" s="5">
        <v>100</v>
      </c>
      <c r="P1622" s="5">
        <f t="shared" si="130"/>
        <v>15</v>
      </c>
      <c r="Q1622" s="6">
        <f t="shared" si="131"/>
        <v>2.1126760563380281E-2</v>
      </c>
      <c r="R1622" s="5">
        <f t="shared" si="132"/>
        <v>15</v>
      </c>
      <c r="S1622" s="6">
        <f t="shared" si="133"/>
        <v>2.1126760563380281E-2</v>
      </c>
      <c r="T1622" s="6">
        <f t="shared" si="134"/>
        <v>6.9686411149825784E-3</v>
      </c>
    </row>
    <row r="1623" spans="1:20" hidden="1" x14ac:dyDescent="0.25">
      <c r="A1623" s="4" t="s">
        <v>1534</v>
      </c>
      <c r="B1623" s="5" t="s">
        <v>1543</v>
      </c>
      <c r="C1623" s="5" t="s">
        <v>1823</v>
      </c>
      <c r="D1623" s="5">
        <v>901.08</v>
      </c>
      <c r="E1623" s="5">
        <v>999</v>
      </c>
      <c r="F1623" s="5">
        <v>999</v>
      </c>
      <c r="G1623" s="5">
        <v>999</v>
      </c>
      <c r="H1623" s="5">
        <v>999</v>
      </c>
      <c r="I1623" s="5">
        <v>999</v>
      </c>
      <c r="J1623" s="5">
        <v>999</v>
      </c>
      <c r="K1623" s="5">
        <v>10</v>
      </c>
      <c r="L1623" s="5">
        <v>0.1</v>
      </c>
      <c r="M1623" s="5">
        <v>1</v>
      </c>
      <c r="N1623" s="5">
        <v>10</v>
      </c>
      <c r="O1623" s="5">
        <v>100</v>
      </c>
      <c r="P1623" s="5">
        <f t="shared" si="130"/>
        <v>97.919999999999959</v>
      </c>
      <c r="Q1623" s="6">
        <f t="shared" si="131"/>
        <v>0.10866959648421888</v>
      </c>
      <c r="R1623" s="5">
        <f t="shared" si="132"/>
        <v>0</v>
      </c>
      <c r="S1623" s="6">
        <f t="shared" si="133"/>
        <v>0</v>
      </c>
      <c r="T1623" s="6">
        <f t="shared" si="134"/>
        <v>0</v>
      </c>
    </row>
    <row r="1624" spans="1:20" hidden="1" x14ac:dyDescent="0.25">
      <c r="A1624" s="4" t="s">
        <v>1534</v>
      </c>
      <c r="B1624" s="5" t="s">
        <v>1858</v>
      </c>
      <c r="C1624" s="5" t="s">
        <v>1823</v>
      </c>
      <c r="D1624" s="5">
        <v>840</v>
      </c>
      <c r="E1624" s="5">
        <v>820</v>
      </c>
      <c r="F1624" s="5">
        <v>840</v>
      </c>
      <c r="G1624" s="5">
        <v>820</v>
      </c>
      <c r="H1624" s="5">
        <v>840</v>
      </c>
      <c r="I1624" s="5">
        <v>840</v>
      </c>
      <c r="J1624" s="5">
        <v>833.33</v>
      </c>
      <c r="K1624" s="5">
        <v>15</v>
      </c>
      <c r="L1624" s="5">
        <v>0.13</v>
      </c>
      <c r="M1624" s="5">
        <v>3</v>
      </c>
      <c r="N1624" s="5">
        <v>15</v>
      </c>
      <c r="O1624" s="5">
        <v>100</v>
      </c>
      <c r="P1624" s="5">
        <f t="shared" si="130"/>
        <v>0</v>
      </c>
      <c r="Q1624" s="6">
        <f t="shared" si="131"/>
        <v>0</v>
      </c>
      <c r="R1624" s="5">
        <f t="shared" si="132"/>
        <v>20</v>
      </c>
      <c r="S1624" s="6">
        <f t="shared" si="133"/>
        <v>2.3809523809523808E-2</v>
      </c>
      <c r="T1624" s="6">
        <f t="shared" si="134"/>
        <v>8.0361445783132032E-3</v>
      </c>
    </row>
    <row r="1625" spans="1:20" hidden="1" x14ac:dyDescent="0.25">
      <c r="A1625" s="4" t="s">
        <v>1534</v>
      </c>
      <c r="B1625" s="5" t="s">
        <v>1859</v>
      </c>
      <c r="C1625" s="5" t="s">
        <v>1823</v>
      </c>
      <c r="D1625" s="5">
        <v>714.8</v>
      </c>
      <c r="E1625" s="5">
        <v>680</v>
      </c>
      <c r="F1625" s="5">
        <v>680</v>
      </c>
      <c r="G1625" s="5">
        <v>680</v>
      </c>
      <c r="H1625" s="5">
        <v>680</v>
      </c>
      <c r="I1625" s="5">
        <v>680</v>
      </c>
      <c r="J1625" s="5">
        <v>680</v>
      </c>
      <c r="K1625" s="5">
        <v>7</v>
      </c>
      <c r="L1625" s="5">
        <v>0.05</v>
      </c>
      <c r="M1625" s="5">
        <v>1</v>
      </c>
      <c r="N1625" s="5">
        <v>7</v>
      </c>
      <c r="O1625" s="5">
        <v>100</v>
      </c>
      <c r="P1625" s="5">
        <f t="shared" si="130"/>
        <v>-34.799999999999955</v>
      </c>
      <c r="Q1625" s="6">
        <f t="shared" si="131"/>
        <v>-4.8684946838276379E-2</v>
      </c>
      <c r="R1625" s="5">
        <f t="shared" si="132"/>
        <v>0</v>
      </c>
      <c r="S1625" s="6">
        <f t="shared" si="133"/>
        <v>0</v>
      </c>
      <c r="T1625" s="6">
        <f t="shared" si="134"/>
        <v>0</v>
      </c>
    </row>
    <row r="1626" spans="1:20" x14ac:dyDescent="0.25">
      <c r="A1626" s="4" t="s">
        <v>1275</v>
      </c>
      <c r="B1626" s="5" t="s">
        <v>16</v>
      </c>
      <c r="C1626" s="5" t="s">
        <v>1823</v>
      </c>
      <c r="D1626" s="5">
        <v>35.9</v>
      </c>
      <c r="E1626" s="5">
        <v>35.9</v>
      </c>
      <c r="F1626" s="5">
        <v>36</v>
      </c>
      <c r="G1626" s="5">
        <v>34.200000000000003</v>
      </c>
      <c r="H1626" s="5">
        <v>34.549999999999997</v>
      </c>
      <c r="I1626" s="5">
        <v>34.65</v>
      </c>
      <c r="J1626" s="5">
        <v>34.93</v>
      </c>
      <c r="K1626" s="5">
        <v>109412</v>
      </c>
      <c r="L1626" s="5">
        <v>38.22</v>
      </c>
      <c r="M1626" s="5">
        <v>557</v>
      </c>
      <c r="N1626" s="5">
        <v>76419</v>
      </c>
      <c r="O1626" s="5">
        <v>69.849999999999994</v>
      </c>
      <c r="P1626" s="5">
        <f t="shared" si="130"/>
        <v>-1.25</v>
      </c>
      <c r="Q1626" s="6">
        <f t="shared" si="131"/>
        <v>-3.4818941504178275E-2</v>
      </c>
      <c r="R1626" s="5">
        <f t="shared" si="132"/>
        <v>1.7999999999999972</v>
      </c>
      <c r="S1626" s="6">
        <f t="shared" si="133"/>
        <v>5.0139275766016636E-2</v>
      </c>
      <c r="T1626" s="6">
        <f t="shared" si="134"/>
        <v>-7.9573712255772977E-3</v>
      </c>
    </row>
    <row r="1627" spans="1:20" hidden="1" x14ac:dyDescent="0.25">
      <c r="A1627" s="4" t="s">
        <v>1537</v>
      </c>
      <c r="B1627" s="5" t="s">
        <v>16</v>
      </c>
      <c r="C1627" s="5" t="s">
        <v>1823</v>
      </c>
      <c r="D1627" s="5">
        <v>113.25</v>
      </c>
      <c r="E1627" s="5">
        <v>111.65</v>
      </c>
      <c r="F1627" s="5">
        <v>113.6</v>
      </c>
      <c r="G1627" s="5">
        <v>108</v>
      </c>
      <c r="H1627" s="5">
        <v>108.95</v>
      </c>
      <c r="I1627" s="5">
        <v>108.9</v>
      </c>
      <c r="J1627" s="5">
        <v>109.62</v>
      </c>
      <c r="K1627" s="5">
        <v>2593</v>
      </c>
      <c r="L1627" s="5">
        <v>2.84</v>
      </c>
      <c r="M1627" s="5">
        <v>94</v>
      </c>
      <c r="N1627" s="5">
        <v>1930</v>
      </c>
      <c r="O1627" s="5">
        <v>74.430000000000007</v>
      </c>
      <c r="P1627" s="5">
        <f t="shared" si="130"/>
        <v>-4.3499999999999943</v>
      </c>
      <c r="Q1627" s="6">
        <f t="shared" si="131"/>
        <v>-3.8410596026490017E-2</v>
      </c>
      <c r="R1627" s="5">
        <f t="shared" si="132"/>
        <v>5.5999999999999943</v>
      </c>
      <c r="S1627" s="6">
        <f t="shared" si="133"/>
        <v>4.9448123620309002E-2</v>
      </c>
      <c r="T1627" s="6">
        <f t="shared" si="134"/>
        <v>-6.5136265973085956E-3</v>
      </c>
    </row>
    <row r="1628" spans="1:20" hidden="1" x14ac:dyDescent="0.25">
      <c r="A1628" s="4" t="s">
        <v>1538</v>
      </c>
      <c r="B1628" s="5" t="s">
        <v>16</v>
      </c>
      <c r="C1628" s="5" t="s">
        <v>1823</v>
      </c>
      <c r="D1628" s="5">
        <v>187.8</v>
      </c>
      <c r="E1628" s="5">
        <v>187</v>
      </c>
      <c r="F1628" s="5">
        <v>194</v>
      </c>
      <c r="G1628" s="5">
        <v>185.95</v>
      </c>
      <c r="H1628" s="5">
        <v>186.75</v>
      </c>
      <c r="I1628" s="5">
        <v>186.7</v>
      </c>
      <c r="J1628" s="5">
        <v>189.17</v>
      </c>
      <c r="K1628" s="5">
        <v>70257</v>
      </c>
      <c r="L1628" s="5">
        <v>132.91</v>
      </c>
      <c r="M1628" s="5">
        <v>1068</v>
      </c>
      <c r="N1628" s="5">
        <v>49204</v>
      </c>
      <c r="O1628" s="5">
        <v>70.03</v>
      </c>
      <c r="P1628" s="5">
        <f t="shared" si="130"/>
        <v>-1.1000000000000227</v>
      </c>
      <c r="Q1628" s="6">
        <f t="shared" si="131"/>
        <v>-5.8572949946753073E-3</v>
      </c>
      <c r="R1628" s="5">
        <f t="shared" si="132"/>
        <v>8.0500000000000114</v>
      </c>
      <c r="S1628" s="6">
        <f t="shared" si="133"/>
        <v>4.2864749733759373E-2</v>
      </c>
      <c r="T1628" s="6">
        <f t="shared" si="134"/>
        <v>-1.3109533603131419E-2</v>
      </c>
    </row>
    <row r="1629" spans="1:20" hidden="1" x14ac:dyDescent="0.25">
      <c r="A1629" s="4" t="s">
        <v>1539</v>
      </c>
      <c r="B1629" s="5" t="s">
        <v>24</v>
      </c>
      <c r="C1629" s="5" t="s">
        <v>1823</v>
      </c>
      <c r="D1629" s="5">
        <v>0.2</v>
      </c>
      <c r="E1629" s="5">
        <v>0.15</v>
      </c>
      <c r="F1629" s="5">
        <v>0.2</v>
      </c>
      <c r="G1629" s="5">
        <v>0.15</v>
      </c>
      <c r="H1629" s="5">
        <v>0.2</v>
      </c>
      <c r="I1629" s="5">
        <v>0.15</v>
      </c>
      <c r="J1629" s="5">
        <v>0.18</v>
      </c>
      <c r="K1629" s="5">
        <v>26633</v>
      </c>
      <c r="L1629" s="5">
        <v>0.05</v>
      </c>
      <c r="M1629" s="5">
        <v>27</v>
      </c>
      <c r="N1629" s="5" t="s">
        <v>25</v>
      </c>
      <c r="O1629" s="5" t="s">
        <v>25</v>
      </c>
      <c r="P1629" s="5">
        <f t="shared" si="130"/>
        <v>-5.0000000000000017E-2</v>
      </c>
      <c r="Q1629" s="6">
        <f t="shared" si="131"/>
        <v>-0.25000000000000006</v>
      </c>
      <c r="R1629" s="5">
        <f t="shared" si="132"/>
        <v>5.0000000000000017E-2</v>
      </c>
      <c r="S1629" s="6">
        <f t="shared" si="133"/>
        <v>0.25000000000000006</v>
      </c>
      <c r="T1629" s="6">
        <f t="shared" si="134"/>
        <v>-0.1846153846153846</v>
      </c>
    </row>
    <row r="1630" spans="1:20" x14ac:dyDescent="0.25">
      <c r="A1630" s="4" t="s">
        <v>1605</v>
      </c>
      <c r="B1630" s="5" t="s">
        <v>16</v>
      </c>
      <c r="C1630" s="5" t="s">
        <v>1823</v>
      </c>
      <c r="D1630" s="5">
        <v>116.5</v>
      </c>
      <c r="E1630" s="5">
        <v>116.7</v>
      </c>
      <c r="F1630" s="5">
        <v>116.7</v>
      </c>
      <c r="G1630" s="5">
        <v>110.05</v>
      </c>
      <c r="H1630" s="5">
        <v>111.4</v>
      </c>
      <c r="I1630" s="5">
        <v>110.45</v>
      </c>
      <c r="J1630" s="5">
        <v>111.65</v>
      </c>
      <c r="K1630" s="5">
        <v>342027</v>
      </c>
      <c r="L1630" s="5">
        <v>381.87</v>
      </c>
      <c r="M1630" s="5">
        <v>5585</v>
      </c>
      <c r="N1630" s="5">
        <v>240978</v>
      </c>
      <c r="O1630" s="5">
        <v>70.459999999999994</v>
      </c>
      <c r="P1630" s="5">
        <f t="shared" si="130"/>
        <v>-6.0499999999999972</v>
      </c>
      <c r="Q1630" s="6">
        <f t="shared" si="131"/>
        <v>-5.1931330472102979E-2</v>
      </c>
      <c r="R1630" s="5">
        <f t="shared" si="132"/>
        <v>6.6500000000000057</v>
      </c>
      <c r="S1630" s="6">
        <f t="shared" si="133"/>
        <v>5.708154506437773E-2</v>
      </c>
      <c r="T1630" s="6">
        <f t="shared" si="134"/>
        <v>-1.0575016523463343E-2</v>
      </c>
    </row>
    <row r="1631" spans="1:20" hidden="1" x14ac:dyDescent="0.25">
      <c r="A1631" s="4" t="s">
        <v>1540</v>
      </c>
      <c r="B1631" s="5" t="s">
        <v>1541</v>
      </c>
      <c r="C1631" s="5" t="s">
        <v>1823</v>
      </c>
      <c r="D1631" s="5">
        <v>1060.51</v>
      </c>
      <c r="E1631" s="5">
        <v>1066</v>
      </c>
      <c r="F1631" s="5">
        <v>1066</v>
      </c>
      <c r="G1631" s="5">
        <v>1066</v>
      </c>
      <c r="H1631" s="5">
        <v>1066</v>
      </c>
      <c r="I1631" s="5">
        <v>1066</v>
      </c>
      <c r="J1631" s="5">
        <v>1066</v>
      </c>
      <c r="K1631" s="5">
        <v>105</v>
      </c>
      <c r="L1631" s="5">
        <v>1.1200000000000001</v>
      </c>
      <c r="M1631" s="5">
        <v>3</v>
      </c>
      <c r="N1631" s="5">
        <v>105</v>
      </c>
      <c r="O1631" s="5">
        <v>100</v>
      </c>
      <c r="P1631" s="5">
        <f t="shared" si="130"/>
        <v>5.4900000000000091</v>
      </c>
      <c r="Q1631" s="6">
        <f t="shared" si="131"/>
        <v>5.1767545803434283E-3</v>
      </c>
      <c r="R1631" s="5">
        <f t="shared" si="132"/>
        <v>0</v>
      </c>
      <c r="S1631" s="6">
        <f t="shared" si="133"/>
        <v>0</v>
      </c>
      <c r="T1631" s="6">
        <f t="shared" si="134"/>
        <v>0</v>
      </c>
    </row>
    <row r="1632" spans="1:20" hidden="1" x14ac:dyDescent="0.25">
      <c r="A1632" s="4" t="s">
        <v>1540</v>
      </c>
      <c r="B1632" s="5" t="s">
        <v>1542</v>
      </c>
      <c r="C1632" s="5" t="s">
        <v>1823</v>
      </c>
      <c r="D1632" s="5">
        <v>1049.8499999999999</v>
      </c>
      <c r="E1632" s="5">
        <v>1049</v>
      </c>
      <c r="F1632" s="5">
        <v>1049</v>
      </c>
      <c r="G1632" s="5">
        <v>1036</v>
      </c>
      <c r="H1632" s="5">
        <v>1036</v>
      </c>
      <c r="I1632" s="5">
        <v>1036</v>
      </c>
      <c r="J1632" s="5">
        <v>1042.03</v>
      </c>
      <c r="K1632" s="5">
        <v>201</v>
      </c>
      <c r="L1632" s="5">
        <v>2.09</v>
      </c>
      <c r="M1632" s="5">
        <v>3</v>
      </c>
      <c r="N1632" s="5">
        <v>201</v>
      </c>
      <c r="O1632" s="5">
        <v>100</v>
      </c>
      <c r="P1632" s="5">
        <f t="shared" si="130"/>
        <v>-13.849999999999909</v>
      </c>
      <c r="Q1632" s="6">
        <f t="shared" si="131"/>
        <v>-1.3192360813449456E-2</v>
      </c>
      <c r="R1632" s="5">
        <f t="shared" si="132"/>
        <v>13</v>
      </c>
      <c r="S1632" s="6">
        <f t="shared" si="133"/>
        <v>1.2382721341143973E-2</v>
      </c>
      <c r="T1632" s="6">
        <f t="shared" si="134"/>
        <v>-5.7841726618704774E-3</v>
      </c>
    </row>
    <row r="1633" spans="1:20" hidden="1" x14ac:dyDescent="0.25">
      <c r="A1633" s="4" t="s">
        <v>1540</v>
      </c>
      <c r="B1633" s="5" t="s">
        <v>1543</v>
      </c>
      <c r="C1633" s="5" t="s">
        <v>1823</v>
      </c>
      <c r="D1633" s="5">
        <v>1029</v>
      </c>
      <c r="E1633" s="5">
        <v>1024.99</v>
      </c>
      <c r="F1633" s="5">
        <v>1025</v>
      </c>
      <c r="G1633" s="5">
        <v>1020.01</v>
      </c>
      <c r="H1633" s="5">
        <v>1020.01</v>
      </c>
      <c r="I1633" s="5">
        <v>1020.01</v>
      </c>
      <c r="J1633" s="5">
        <v>1024.6500000000001</v>
      </c>
      <c r="K1633" s="5">
        <v>215</v>
      </c>
      <c r="L1633" s="5">
        <v>2.2000000000000002</v>
      </c>
      <c r="M1633" s="5">
        <v>3</v>
      </c>
      <c r="N1633" s="5">
        <v>200</v>
      </c>
      <c r="O1633" s="5">
        <v>93.02</v>
      </c>
      <c r="P1633" s="5">
        <f t="shared" si="130"/>
        <v>-8.9900000000000091</v>
      </c>
      <c r="Q1633" s="6">
        <f t="shared" si="131"/>
        <v>-8.7366375121477255E-3</v>
      </c>
      <c r="R1633" s="5">
        <f t="shared" si="132"/>
        <v>4.9900000000000091</v>
      </c>
      <c r="S1633" s="6">
        <f t="shared" si="133"/>
        <v>4.8493683187560829E-3</v>
      </c>
      <c r="T1633" s="6">
        <f t="shared" si="134"/>
        <v>-4.5378862154372233E-3</v>
      </c>
    </row>
    <row r="1634" spans="1:20" hidden="1" x14ac:dyDescent="0.25">
      <c r="A1634" s="4" t="s">
        <v>1540</v>
      </c>
      <c r="B1634" s="5" t="s">
        <v>1544</v>
      </c>
      <c r="C1634" s="5" t="s">
        <v>1823</v>
      </c>
      <c r="D1634" s="5">
        <v>1745.41</v>
      </c>
      <c r="E1634" s="5">
        <v>1742.01</v>
      </c>
      <c r="F1634" s="5">
        <v>1763.9</v>
      </c>
      <c r="G1634" s="5">
        <v>1742.01</v>
      </c>
      <c r="H1634" s="5">
        <v>1747.5</v>
      </c>
      <c r="I1634" s="5">
        <v>1746.82</v>
      </c>
      <c r="J1634" s="5">
        <v>1745.86</v>
      </c>
      <c r="K1634" s="5">
        <v>250</v>
      </c>
      <c r="L1634" s="5">
        <v>4.3600000000000003</v>
      </c>
      <c r="M1634" s="5">
        <v>17</v>
      </c>
      <c r="N1634" s="5">
        <v>250</v>
      </c>
      <c r="O1634" s="5">
        <v>100</v>
      </c>
      <c r="P1634" s="5">
        <f t="shared" si="130"/>
        <v>1.4099999999998545</v>
      </c>
      <c r="Q1634" s="6">
        <f t="shared" si="131"/>
        <v>8.078331165742458E-4</v>
      </c>
      <c r="R1634" s="5">
        <f t="shared" si="132"/>
        <v>21.8900000000001</v>
      </c>
      <c r="S1634" s="6">
        <f t="shared" si="133"/>
        <v>1.254146590199443E-2</v>
      </c>
      <c r="T1634" s="6">
        <f t="shared" si="134"/>
        <v>5.4898395079733427E-4</v>
      </c>
    </row>
    <row r="1635" spans="1:20" hidden="1" x14ac:dyDescent="0.25">
      <c r="A1635" s="4" t="s">
        <v>1540</v>
      </c>
      <c r="B1635" s="5" t="s">
        <v>1858</v>
      </c>
      <c r="C1635" s="5" t="s">
        <v>1823</v>
      </c>
      <c r="D1635" s="5">
        <v>940</v>
      </c>
      <c r="E1635" s="5">
        <v>940</v>
      </c>
      <c r="F1635" s="5">
        <v>949</v>
      </c>
      <c r="G1635" s="5">
        <v>930</v>
      </c>
      <c r="H1635" s="5">
        <v>939</v>
      </c>
      <c r="I1635" s="5">
        <v>938.99</v>
      </c>
      <c r="J1635" s="5">
        <v>931.17</v>
      </c>
      <c r="K1635" s="5">
        <v>484</v>
      </c>
      <c r="L1635" s="5">
        <v>4.51</v>
      </c>
      <c r="M1635" s="5">
        <v>22</v>
      </c>
      <c r="N1635" s="5">
        <v>479</v>
      </c>
      <c r="O1635" s="5">
        <v>98.97</v>
      </c>
      <c r="P1635" s="5">
        <f t="shared" si="130"/>
        <v>-1.0099999999999909</v>
      </c>
      <c r="Q1635" s="6">
        <f t="shared" si="131"/>
        <v>-1.0744680851063732E-3</v>
      </c>
      <c r="R1635" s="5">
        <f t="shared" si="132"/>
        <v>19</v>
      </c>
      <c r="S1635" s="6">
        <f t="shared" si="133"/>
        <v>2.021276595744681E-2</v>
      </c>
      <c r="T1635" s="6">
        <f t="shared" si="134"/>
        <v>8.3235985194213408E-3</v>
      </c>
    </row>
    <row r="1636" spans="1:20" hidden="1" x14ac:dyDescent="0.25">
      <c r="A1636" s="4" t="s">
        <v>1540</v>
      </c>
      <c r="B1636" s="5" t="s">
        <v>1860</v>
      </c>
      <c r="C1636" s="5" t="s">
        <v>1823</v>
      </c>
      <c r="D1636" s="5">
        <v>958</v>
      </c>
      <c r="E1636" s="5">
        <v>950.2</v>
      </c>
      <c r="F1636" s="5">
        <v>960</v>
      </c>
      <c r="G1636" s="5">
        <v>950.2</v>
      </c>
      <c r="H1636" s="5">
        <v>960</v>
      </c>
      <c r="I1636" s="5">
        <v>960</v>
      </c>
      <c r="J1636" s="5">
        <v>959.88</v>
      </c>
      <c r="K1636" s="5">
        <v>80</v>
      </c>
      <c r="L1636" s="5">
        <v>0.77</v>
      </c>
      <c r="M1636" s="5">
        <v>6</v>
      </c>
      <c r="N1636" s="5">
        <v>80</v>
      </c>
      <c r="O1636" s="5">
        <v>100</v>
      </c>
      <c r="P1636" s="5">
        <f t="shared" si="130"/>
        <v>2</v>
      </c>
      <c r="Q1636" s="6">
        <f t="shared" si="131"/>
        <v>2.0876826722338203E-3</v>
      </c>
      <c r="R1636" s="5">
        <f t="shared" si="132"/>
        <v>9.7999999999999545</v>
      </c>
      <c r="S1636" s="6">
        <f t="shared" si="133"/>
        <v>1.0229645093945673E-2</v>
      </c>
      <c r="T1636" s="6">
        <f t="shared" si="134"/>
        <v>1.2564129410533404E-4</v>
      </c>
    </row>
    <row r="1637" spans="1:20" hidden="1" x14ac:dyDescent="0.25">
      <c r="A1637" s="4" t="s">
        <v>1540</v>
      </c>
      <c r="B1637" s="5" t="s">
        <v>1545</v>
      </c>
      <c r="C1637" s="5" t="s">
        <v>1823</v>
      </c>
      <c r="D1637" s="5">
        <v>948</v>
      </c>
      <c r="E1637" s="5">
        <v>947</v>
      </c>
      <c r="F1637" s="5">
        <v>947</v>
      </c>
      <c r="G1637" s="5">
        <v>947</v>
      </c>
      <c r="H1637" s="5">
        <v>947</v>
      </c>
      <c r="I1637" s="5">
        <v>947</v>
      </c>
      <c r="J1637" s="5">
        <v>947</v>
      </c>
      <c r="K1637" s="5">
        <v>31</v>
      </c>
      <c r="L1637" s="5">
        <v>0.28999999999999998</v>
      </c>
      <c r="M1637" s="5">
        <v>3</v>
      </c>
      <c r="N1637" s="5">
        <v>20</v>
      </c>
      <c r="O1637" s="5">
        <v>64.52</v>
      </c>
      <c r="P1637" s="5">
        <f t="shared" si="130"/>
        <v>-1</v>
      </c>
      <c r="Q1637" s="6">
        <f t="shared" si="131"/>
        <v>-1.0548523206751054E-3</v>
      </c>
      <c r="R1637" s="5">
        <f t="shared" si="132"/>
        <v>0</v>
      </c>
      <c r="S1637" s="6">
        <f t="shared" si="133"/>
        <v>0</v>
      </c>
      <c r="T1637" s="6">
        <f t="shared" si="134"/>
        <v>0</v>
      </c>
    </row>
    <row r="1638" spans="1:20" hidden="1" x14ac:dyDescent="0.25">
      <c r="A1638" s="4" t="s">
        <v>1540</v>
      </c>
      <c r="B1638" s="5" t="s">
        <v>1861</v>
      </c>
      <c r="C1638" s="5" t="s">
        <v>1823</v>
      </c>
      <c r="D1638" s="5">
        <v>1053.9000000000001</v>
      </c>
      <c r="E1638" s="5">
        <v>1095</v>
      </c>
      <c r="F1638" s="5">
        <v>1095</v>
      </c>
      <c r="G1638" s="5">
        <v>1035.05</v>
      </c>
      <c r="H1638" s="5">
        <v>1040</v>
      </c>
      <c r="I1638" s="5">
        <v>1040</v>
      </c>
      <c r="J1638" s="5">
        <v>1047.52</v>
      </c>
      <c r="K1638" s="5">
        <v>300</v>
      </c>
      <c r="L1638" s="5">
        <v>3.14</v>
      </c>
      <c r="M1638" s="5">
        <v>4</v>
      </c>
      <c r="N1638" s="5">
        <v>300</v>
      </c>
      <c r="O1638" s="5">
        <v>100</v>
      </c>
      <c r="P1638" s="5">
        <f t="shared" si="130"/>
        <v>-13.900000000000091</v>
      </c>
      <c r="Q1638" s="6">
        <f t="shared" si="131"/>
        <v>-1.318910712591336E-2</v>
      </c>
      <c r="R1638" s="5">
        <f t="shared" si="132"/>
        <v>59.950000000000045</v>
      </c>
      <c r="S1638" s="6">
        <f t="shared" si="133"/>
        <v>5.6883954834424558E-2</v>
      </c>
      <c r="T1638" s="6">
        <f t="shared" si="134"/>
        <v>-7.052672301614266E-3</v>
      </c>
    </row>
    <row r="1639" spans="1:20" hidden="1" x14ac:dyDescent="0.25">
      <c r="A1639" s="4" t="s">
        <v>1540</v>
      </c>
      <c r="B1639" s="5" t="s">
        <v>1862</v>
      </c>
      <c r="C1639" s="5" t="s">
        <v>1823</v>
      </c>
      <c r="D1639" s="5">
        <v>950</v>
      </c>
      <c r="E1639" s="5">
        <v>950</v>
      </c>
      <c r="F1639" s="5">
        <v>950</v>
      </c>
      <c r="G1639" s="5">
        <v>950</v>
      </c>
      <c r="H1639" s="5">
        <v>950</v>
      </c>
      <c r="I1639" s="5">
        <v>950</v>
      </c>
      <c r="J1639" s="5">
        <v>950</v>
      </c>
      <c r="K1639" s="5">
        <v>34</v>
      </c>
      <c r="L1639" s="5">
        <v>0.32</v>
      </c>
      <c r="M1639" s="5">
        <v>1</v>
      </c>
      <c r="N1639" s="5">
        <v>34</v>
      </c>
      <c r="O1639" s="5">
        <v>100</v>
      </c>
      <c r="P1639" s="5">
        <f t="shared" si="130"/>
        <v>0</v>
      </c>
      <c r="Q1639" s="6">
        <f t="shared" si="131"/>
        <v>0</v>
      </c>
      <c r="R1639" s="5">
        <f t="shared" si="132"/>
        <v>0</v>
      </c>
      <c r="S1639" s="6">
        <f t="shared" si="133"/>
        <v>0</v>
      </c>
      <c r="T1639" s="6">
        <f t="shared" si="134"/>
        <v>0</v>
      </c>
    </row>
    <row r="1640" spans="1:20" hidden="1" x14ac:dyDescent="0.25">
      <c r="A1640" s="4" t="s">
        <v>1540</v>
      </c>
      <c r="B1640" s="5" t="s">
        <v>1546</v>
      </c>
      <c r="C1640" s="5" t="s">
        <v>1823</v>
      </c>
      <c r="D1640" s="5">
        <v>1026</v>
      </c>
      <c r="E1640" s="5">
        <v>1027</v>
      </c>
      <c r="F1640" s="5">
        <v>1053</v>
      </c>
      <c r="G1640" s="5">
        <v>1027</v>
      </c>
      <c r="H1640" s="5">
        <v>1032.0999999999999</v>
      </c>
      <c r="I1640" s="5">
        <v>1032.0999999999999</v>
      </c>
      <c r="J1640" s="5">
        <v>1036.99</v>
      </c>
      <c r="K1640" s="5">
        <v>1760</v>
      </c>
      <c r="L1640" s="5">
        <v>18.25</v>
      </c>
      <c r="M1640" s="5">
        <v>17</v>
      </c>
      <c r="N1640" s="5">
        <v>1149</v>
      </c>
      <c r="O1640" s="5">
        <v>65.28</v>
      </c>
      <c r="P1640" s="5">
        <f t="shared" si="130"/>
        <v>6.0999999999999091</v>
      </c>
      <c r="Q1640" s="6">
        <f t="shared" si="131"/>
        <v>5.9454191033137512E-3</v>
      </c>
      <c r="R1640" s="5">
        <f t="shared" si="132"/>
        <v>26</v>
      </c>
      <c r="S1640" s="6">
        <f t="shared" si="133"/>
        <v>2.5341130604288498E-2</v>
      </c>
      <c r="T1640" s="6">
        <f t="shared" si="134"/>
        <v>-4.7256649996376982E-3</v>
      </c>
    </row>
    <row r="1641" spans="1:20" hidden="1" x14ac:dyDescent="0.25">
      <c r="A1641" s="4" t="s">
        <v>1540</v>
      </c>
      <c r="B1641" s="5" t="s">
        <v>1547</v>
      </c>
      <c r="C1641" s="5" t="s">
        <v>1823</v>
      </c>
      <c r="D1641" s="5">
        <v>1088.99</v>
      </c>
      <c r="E1641" s="5">
        <v>1015</v>
      </c>
      <c r="F1641" s="5">
        <v>1089</v>
      </c>
      <c r="G1641" s="5">
        <v>1015</v>
      </c>
      <c r="H1641" s="5">
        <v>1089</v>
      </c>
      <c r="I1641" s="5">
        <v>1060</v>
      </c>
      <c r="J1641" s="5">
        <v>1056</v>
      </c>
      <c r="K1641" s="5">
        <v>4</v>
      </c>
      <c r="L1641" s="5">
        <v>0.04</v>
      </c>
      <c r="M1641" s="5">
        <v>4</v>
      </c>
      <c r="N1641" s="5">
        <v>1</v>
      </c>
      <c r="O1641" s="5">
        <v>25</v>
      </c>
      <c r="P1641" s="5">
        <f t="shared" si="130"/>
        <v>-28.990000000000009</v>
      </c>
      <c r="Q1641" s="6">
        <f t="shared" si="131"/>
        <v>-2.662099743799301E-2</v>
      </c>
      <c r="R1641" s="5">
        <f t="shared" si="132"/>
        <v>74</v>
      </c>
      <c r="S1641" s="6">
        <f t="shared" si="133"/>
        <v>6.7952873763762758E-2</v>
      </c>
      <c r="T1641" s="6">
        <f t="shared" si="134"/>
        <v>3.8286671452500598E-3</v>
      </c>
    </row>
    <row r="1642" spans="1:20" hidden="1" x14ac:dyDescent="0.25">
      <c r="A1642" s="4" t="s">
        <v>1540</v>
      </c>
      <c r="B1642" s="5" t="s">
        <v>1863</v>
      </c>
      <c r="C1642" s="5" t="s">
        <v>1823</v>
      </c>
      <c r="D1642" s="5">
        <v>979.95</v>
      </c>
      <c r="E1642" s="5">
        <v>1014.99</v>
      </c>
      <c r="F1642" s="5">
        <v>1015</v>
      </c>
      <c r="G1642" s="5">
        <v>1014.99</v>
      </c>
      <c r="H1642" s="5">
        <v>1015</v>
      </c>
      <c r="I1642" s="5">
        <v>1015</v>
      </c>
      <c r="J1642" s="5">
        <v>1014.99</v>
      </c>
      <c r="K1642" s="5">
        <v>16</v>
      </c>
      <c r="L1642" s="5">
        <v>0.16</v>
      </c>
      <c r="M1642" s="5">
        <v>2</v>
      </c>
      <c r="N1642" s="5">
        <v>10</v>
      </c>
      <c r="O1642" s="5">
        <v>62.5</v>
      </c>
      <c r="P1642" s="5">
        <f t="shared" si="130"/>
        <v>35.049999999999955</v>
      </c>
      <c r="Q1642" s="6">
        <f t="shared" si="131"/>
        <v>3.5767130976070156E-2</v>
      </c>
      <c r="R1642" s="5">
        <f t="shared" si="132"/>
        <v>9.9999999999909051E-3</v>
      </c>
      <c r="S1642" s="6">
        <f t="shared" si="133"/>
        <v>1.0204602275617026E-5</v>
      </c>
      <c r="T1642" s="6">
        <f t="shared" si="134"/>
        <v>9.8522652820860252E-6</v>
      </c>
    </row>
    <row r="1643" spans="1:20" hidden="1" x14ac:dyDescent="0.25">
      <c r="A1643" s="4" t="s">
        <v>1540</v>
      </c>
      <c r="B1643" s="5" t="s">
        <v>1864</v>
      </c>
      <c r="C1643" s="5" t="s">
        <v>1823</v>
      </c>
      <c r="D1643" s="5">
        <v>1003.5</v>
      </c>
      <c r="E1643" s="5">
        <v>1005</v>
      </c>
      <c r="F1643" s="5">
        <v>1005</v>
      </c>
      <c r="G1643" s="5">
        <v>1005</v>
      </c>
      <c r="H1643" s="5">
        <v>1005</v>
      </c>
      <c r="I1643" s="5">
        <v>1005</v>
      </c>
      <c r="J1643" s="5">
        <v>1005</v>
      </c>
      <c r="K1643" s="5">
        <v>105</v>
      </c>
      <c r="L1643" s="5">
        <v>1.06</v>
      </c>
      <c r="M1643" s="5">
        <v>5</v>
      </c>
      <c r="N1643" s="5">
        <v>105</v>
      </c>
      <c r="O1643" s="5">
        <v>100</v>
      </c>
      <c r="P1643" s="5">
        <f t="shared" si="130"/>
        <v>1.5</v>
      </c>
      <c r="Q1643" s="6">
        <f t="shared" si="131"/>
        <v>1.4947683109118087E-3</v>
      </c>
      <c r="R1643" s="5">
        <f t="shared" si="132"/>
        <v>0</v>
      </c>
      <c r="S1643" s="6">
        <f t="shared" si="133"/>
        <v>0</v>
      </c>
      <c r="T1643" s="6">
        <f t="shared" si="134"/>
        <v>0</v>
      </c>
    </row>
    <row r="1644" spans="1:20" hidden="1" x14ac:dyDescent="0.25">
      <c r="A1644" s="4" t="s">
        <v>1540</v>
      </c>
      <c r="B1644" s="5" t="s">
        <v>1865</v>
      </c>
      <c r="C1644" s="5" t="s">
        <v>1823</v>
      </c>
      <c r="D1644" s="5">
        <v>1015</v>
      </c>
      <c r="E1644" s="5">
        <v>1010</v>
      </c>
      <c r="F1644" s="5">
        <v>1010</v>
      </c>
      <c r="G1644" s="5">
        <v>1010</v>
      </c>
      <c r="H1644" s="5">
        <v>1010</v>
      </c>
      <c r="I1644" s="5">
        <v>1010</v>
      </c>
      <c r="J1644" s="5">
        <v>1010</v>
      </c>
      <c r="K1644" s="5">
        <v>100</v>
      </c>
      <c r="L1644" s="5">
        <v>1.01</v>
      </c>
      <c r="M1644" s="5">
        <v>1</v>
      </c>
      <c r="N1644" s="5">
        <v>100</v>
      </c>
      <c r="O1644" s="5">
        <v>100</v>
      </c>
      <c r="P1644" s="5">
        <f t="shared" si="130"/>
        <v>-5</v>
      </c>
      <c r="Q1644" s="6">
        <f t="shared" si="131"/>
        <v>-4.9261083743842365E-3</v>
      </c>
      <c r="R1644" s="5">
        <f t="shared" si="132"/>
        <v>0</v>
      </c>
      <c r="S1644" s="6">
        <f t="shared" si="133"/>
        <v>0</v>
      </c>
      <c r="T1644" s="6">
        <f t="shared" si="134"/>
        <v>0</v>
      </c>
    </row>
    <row r="1645" spans="1:20" hidden="1" x14ac:dyDescent="0.25">
      <c r="A1645" s="4" t="s">
        <v>1540</v>
      </c>
      <c r="B1645" s="5" t="s">
        <v>1866</v>
      </c>
      <c r="C1645" s="5" t="s">
        <v>1823</v>
      </c>
      <c r="D1645" s="5">
        <v>975</v>
      </c>
      <c r="E1645" s="5">
        <v>995</v>
      </c>
      <c r="F1645" s="5">
        <v>995</v>
      </c>
      <c r="G1645" s="5">
        <v>995</v>
      </c>
      <c r="H1645" s="5">
        <v>995</v>
      </c>
      <c r="I1645" s="5">
        <v>995</v>
      </c>
      <c r="J1645" s="5">
        <v>995</v>
      </c>
      <c r="K1645" s="5">
        <v>20</v>
      </c>
      <c r="L1645" s="5">
        <v>0.2</v>
      </c>
      <c r="M1645" s="5">
        <v>2</v>
      </c>
      <c r="N1645" s="5">
        <v>20</v>
      </c>
      <c r="O1645" s="5">
        <v>100</v>
      </c>
      <c r="P1645" s="5">
        <f t="shared" si="130"/>
        <v>20</v>
      </c>
      <c r="Q1645" s="6">
        <f t="shared" si="131"/>
        <v>2.0512820512820513E-2</v>
      </c>
      <c r="R1645" s="5">
        <f t="shared" si="132"/>
        <v>0</v>
      </c>
      <c r="S1645" s="6">
        <f t="shared" si="133"/>
        <v>0</v>
      </c>
      <c r="T1645" s="6">
        <f t="shared" si="134"/>
        <v>0</v>
      </c>
    </row>
    <row r="1646" spans="1:20" hidden="1" x14ac:dyDescent="0.25">
      <c r="A1646" s="4" t="s">
        <v>1540</v>
      </c>
      <c r="B1646" s="5" t="s">
        <v>1548</v>
      </c>
      <c r="C1646" s="5" t="s">
        <v>1823</v>
      </c>
      <c r="D1646" s="5">
        <v>944.62</v>
      </c>
      <c r="E1646" s="5">
        <v>944.62</v>
      </c>
      <c r="F1646" s="5">
        <v>944.62</v>
      </c>
      <c r="G1646" s="5">
        <v>944.62</v>
      </c>
      <c r="H1646" s="5">
        <v>944.62</v>
      </c>
      <c r="I1646" s="5">
        <v>944.62</v>
      </c>
      <c r="J1646" s="5">
        <v>944.62</v>
      </c>
      <c r="K1646" s="5">
        <v>1</v>
      </c>
      <c r="L1646" s="5">
        <v>0.01</v>
      </c>
      <c r="M1646" s="5">
        <v>1</v>
      </c>
      <c r="N1646" s="5">
        <v>1</v>
      </c>
      <c r="O1646" s="5">
        <v>100</v>
      </c>
      <c r="P1646" s="5">
        <f t="shared" si="130"/>
        <v>0</v>
      </c>
      <c r="Q1646" s="6">
        <f t="shared" si="131"/>
        <v>0</v>
      </c>
      <c r="R1646" s="5">
        <f t="shared" si="132"/>
        <v>0</v>
      </c>
      <c r="S1646" s="6">
        <f t="shared" si="133"/>
        <v>0</v>
      </c>
      <c r="T1646" s="6">
        <f t="shared" si="134"/>
        <v>0</v>
      </c>
    </row>
    <row r="1647" spans="1:20" hidden="1" x14ac:dyDescent="0.25">
      <c r="A1647" s="4" t="s">
        <v>1867</v>
      </c>
      <c r="B1647" s="5" t="s">
        <v>28</v>
      </c>
      <c r="C1647" s="5" t="s">
        <v>1823</v>
      </c>
      <c r="D1647" s="5">
        <v>14.5</v>
      </c>
      <c r="E1647" s="5">
        <v>13.8</v>
      </c>
      <c r="F1647" s="5">
        <v>15.15</v>
      </c>
      <c r="G1647" s="5">
        <v>13.8</v>
      </c>
      <c r="H1647" s="5">
        <v>15.15</v>
      </c>
      <c r="I1647" s="5">
        <v>15.15</v>
      </c>
      <c r="J1647" s="5">
        <v>14.25</v>
      </c>
      <c r="K1647" s="5">
        <v>30000</v>
      </c>
      <c r="L1647" s="5">
        <v>4.2699999999999996</v>
      </c>
      <c r="M1647" s="5">
        <v>10</v>
      </c>
      <c r="N1647" s="5">
        <v>6000</v>
      </c>
      <c r="O1647" s="5">
        <v>20</v>
      </c>
      <c r="P1647" s="5">
        <f t="shared" si="130"/>
        <v>0.65000000000000036</v>
      </c>
      <c r="Q1647" s="6">
        <f t="shared" si="131"/>
        <v>4.4827586206896579E-2</v>
      </c>
      <c r="R1647" s="5">
        <f t="shared" si="132"/>
        <v>1.3499999999999996</v>
      </c>
      <c r="S1647" s="6">
        <f t="shared" si="133"/>
        <v>9.3103448275862047E-2</v>
      </c>
      <c r="T1647" s="6">
        <f t="shared" si="134"/>
        <v>6.2176165803108835E-2</v>
      </c>
    </row>
    <row r="1648" spans="1:20" hidden="1" x14ac:dyDescent="0.25">
      <c r="A1648" s="4" t="s">
        <v>1549</v>
      </c>
      <c r="B1648" s="5" t="s">
        <v>16</v>
      </c>
      <c r="C1648" s="5" t="s">
        <v>1823</v>
      </c>
      <c r="D1648" s="5">
        <v>779.3</v>
      </c>
      <c r="E1648" s="5">
        <v>775.15</v>
      </c>
      <c r="F1648" s="5">
        <v>781.4</v>
      </c>
      <c r="G1648" s="5">
        <v>771.95</v>
      </c>
      <c r="H1648" s="5">
        <v>780</v>
      </c>
      <c r="I1648" s="5">
        <v>779</v>
      </c>
      <c r="J1648" s="5">
        <v>777.09</v>
      </c>
      <c r="K1648" s="5">
        <v>13894</v>
      </c>
      <c r="L1648" s="5">
        <v>107.97</v>
      </c>
      <c r="M1648" s="5">
        <v>784</v>
      </c>
      <c r="N1648" s="5">
        <v>8243</v>
      </c>
      <c r="O1648" s="5">
        <v>59.33</v>
      </c>
      <c r="P1648" s="5">
        <f t="shared" si="130"/>
        <v>-0.29999999999995453</v>
      </c>
      <c r="Q1648" s="6">
        <f t="shared" si="131"/>
        <v>-3.8496086231227324E-4</v>
      </c>
      <c r="R1648" s="5">
        <f t="shared" si="132"/>
        <v>9.4499999999999318</v>
      </c>
      <c r="S1648" s="6">
        <f t="shared" si="133"/>
        <v>1.2126267162838359E-2</v>
      </c>
      <c r="T1648" s="6">
        <f t="shared" si="134"/>
        <v>2.4585679806918333E-3</v>
      </c>
    </row>
    <row r="1649" spans="1:20" hidden="1" x14ac:dyDescent="0.25">
      <c r="A1649" s="4" t="s">
        <v>1550</v>
      </c>
      <c r="B1649" s="5" t="s">
        <v>16</v>
      </c>
      <c r="C1649" s="5" t="s">
        <v>1823</v>
      </c>
      <c r="D1649" s="5">
        <v>0.8</v>
      </c>
      <c r="E1649" s="5">
        <v>0.8</v>
      </c>
      <c r="F1649" s="5">
        <v>0.85</v>
      </c>
      <c r="G1649" s="5">
        <v>0.75</v>
      </c>
      <c r="H1649" s="5">
        <v>0.8</v>
      </c>
      <c r="I1649" s="5">
        <v>0.8</v>
      </c>
      <c r="J1649" s="5">
        <v>0.8</v>
      </c>
      <c r="K1649" s="5">
        <v>19045</v>
      </c>
      <c r="L1649" s="5">
        <v>0.15</v>
      </c>
      <c r="M1649" s="5">
        <v>24</v>
      </c>
      <c r="N1649" s="5">
        <v>16345</v>
      </c>
      <c r="O1649" s="5">
        <v>85.82</v>
      </c>
      <c r="P1649" s="5">
        <f t="shared" si="130"/>
        <v>0</v>
      </c>
      <c r="Q1649" s="6">
        <f t="shared" si="131"/>
        <v>0</v>
      </c>
      <c r="R1649" s="5">
        <f t="shared" si="132"/>
        <v>9.9999999999999978E-2</v>
      </c>
      <c r="S1649" s="6">
        <f t="shared" si="133"/>
        <v>0.12499999999999997</v>
      </c>
      <c r="T1649" s="6">
        <f t="shared" si="134"/>
        <v>0</v>
      </c>
    </row>
    <row r="1650" spans="1:20" hidden="1" x14ac:dyDescent="0.25">
      <c r="A1650" s="4" t="s">
        <v>1551</v>
      </c>
      <c r="B1650" s="5" t="s">
        <v>1552</v>
      </c>
      <c r="C1650" s="5" t="s">
        <v>1823</v>
      </c>
      <c r="D1650" s="5">
        <v>55.3</v>
      </c>
      <c r="E1650" s="5">
        <v>53</v>
      </c>
      <c r="F1650" s="5">
        <v>55.35</v>
      </c>
      <c r="G1650" s="5">
        <v>53</v>
      </c>
      <c r="H1650" s="5">
        <v>54.6</v>
      </c>
      <c r="I1650" s="5">
        <v>54.55</v>
      </c>
      <c r="J1650" s="5">
        <v>54.32</v>
      </c>
      <c r="K1650" s="5">
        <v>4494</v>
      </c>
      <c r="L1650" s="5">
        <v>2.44</v>
      </c>
      <c r="M1650" s="5">
        <v>63</v>
      </c>
      <c r="N1650" s="5">
        <v>3033</v>
      </c>
      <c r="O1650" s="5">
        <v>67.489999999999995</v>
      </c>
      <c r="P1650" s="5">
        <f t="shared" si="130"/>
        <v>-0.75</v>
      </c>
      <c r="Q1650" s="6">
        <f t="shared" si="131"/>
        <v>-1.35623869801085E-2</v>
      </c>
      <c r="R1650" s="5">
        <f t="shared" si="132"/>
        <v>2.3500000000000014</v>
      </c>
      <c r="S1650" s="6">
        <f t="shared" si="133"/>
        <v>4.2495479204339992E-2</v>
      </c>
      <c r="T1650" s="6">
        <f t="shared" si="134"/>
        <v>4.2612320518758112E-3</v>
      </c>
    </row>
    <row r="1651" spans="1:20" x14ac:dyDescent="0.25">
      <c r="A1651" s="4" t="s">
        <v>876</v>
      </c>
      <c r="B1651" s="5" t="s">
        <v>16</v>
      </c>
      <c r="C1651" s="5" t="s">
        <v>1823</v>
      </c>
      <c r="D1651" s="5">
        <v>513.15</v>
      </c>
      <c r="E1651" s="5">
        <v>516</v>
      </c>
      <c r="F1651" s="5">
        <v>516.9</v>
      </c>
      <c r="G1651" s="5">
        <v>495.5</v>
      </c>
      <c r="H1651" s="5">
        <v>510</v>
      </c>
      <c r="I1651" s="5">
        <v>505.85</v>
      </c>
      <c r="J1651" s="5">
        <v>502.78</v>
      </c>
      <c r="K1651" s="5">
        <v>208385</v>
      </c>
      <c r="L1651" s="5">
        <v>1047.71</v>
      </c>
      <c r="M1651" s="5">
        <v>9160</v>
      </c>
      <c r="N1651" s="5">
        <v>148071</v>
      </c>
      <c r="O1651" s="5">
        <v>71.06</v>
      </c>
      <c r="P1651" s="5">
        <f t="shared" si="130"/>
        <v>-7.2999999999999545</v>
      </c>
      <c r="Q1651" s="6">
        <f t="shared" si="131"/>
        <v>-1.4225859885023784E-2</v>
      </c>
      <c r="R1651" s="5">
        <f t="shared" si="132"/>
        <v>21.399999999999977</v>
      </c>
      <c r="S1651" s="6">
        <f t="shared" si="133"/>
        <v>4.1703205690343914E-2</v>
      </c>
      <c r="T1651" s="6">
        <f t="shared" si="134"/>
        <v>6.036622833968391E-3</v>
      </c>
    </row>
    <row r="1652" spans="1:20" x14ac:dyDescent="0.25">
      <c r="A1652" s="4" t="s">
        <v>786</v>
      </c>
      <c r="B1652" s="5" t="s">
        <v>16</v>
      </c>
      <c r="C1652" s="5" t="s">
        <v>1823</v>
      </c>
      <c r="D1652" s="5">
        <v>194.35</v>
      </c>
      <c r="E1652" s="5">
        <v>195.4</v>
      </c>
      <c r="F1652" s="5">
        <v>197</v>
      </c>
      <c r="G1652" s="5">
        <v>186.5</v>
      </c>
      <c r="H1652" s="5">
        <v>187</v>
      </c>
      <c r="I1652" s="5">
        <v>187.9</v>
      </c>
      <c r="J1652" s="5">
        <v>189.75</v>
      </c>
      <c r="K1652" s="5">
        <v>282158</v>
      </c>
      <c r="L1652" s="5">
        <v>535.41</v>
      </c>
      <c r="M1652" s="5">
        <v>4791</v>
      </c>
      <c r="N1652" s="5">
        <v>200777</v>
      </c>
      <c r="O1652" s="5">
        <v>71.16</v>
      </c>
      <c r="P1652" s="5">
        <f t="shared" si="130"/>
        <v>-6.4499999999999886</v>
      </c>
      <c r="Q1652" s="6">
        <f t="shared" si="131"/>
        <v>-3.3187548237715407E-2</v>
      </c>
      <c r="R1652" s="5">
        <f t="shared" si="132"/>
        <v>10.5</v>
      </c>
      <c r="S1652" s="6">
        <f t="shared" si="133"/>
        <v>5.4026241317211218E-2</v>
      </c>
      <c r="T1652" s="6">
        <f t="shared" si="134"/>
        <v>-9.6504955659884942E-3</v>
      </c>
    </row>
    <row r="1653" spans="1:20" x14ac:dyDescent="0.25">
      <c r="A1653" s="4" t="s">
        <v>194</v>
      </c>
      <c r="B1653" s="5" t="s">
        <v>16</v>
      </c>
      <c r="C1653" s="5" t="s">
        <v>1823</v>
      </c>
      <c r="D1653" s="5">
        <v>173.7</v>
      </c>
      <c r="E1653" s="5">
        <v>172</v>
      </c>
      <c r="F1653" s="5">
        <v>173.6</v>
      </c>
      <c r="G1653" s="5">
        <v>165</v>
      </c>
      <c r="H1653" s="5">
        <v>166</v>
      </c>
      <c r="I1653" s="5">
        <v>166.15</v>
      </c>
      <c r="J1653" s="5">
        <v>168.85</v>
      </c>
      <c r="K1653" s="5">
        <v>109574</v>
      </c>
      <c r="L1653" s="5">
        <v>185.02</v>
      </c>
      <c r="M1653" s="5">
        <v>1922</v>
      </c>
      <c r="N1653" s="5">
        <v>78095</v>
      </c>
      <c r="O1653" s="5">
        <v>71.27</v>
      </c>
      <c r="P1653" s="5">
        <f t="shared" si="130"/>
        <v>-7.5499999999999829</v>
      </c>
      <c r="Q1653" s="6">
        <f t="shared" si="131"/>
        <v>-4.3465745538284306E-2</v>
      </c>
      <c r="R1653" s="5">
        <f t="shared" si="132"/>
        <v>8.5999999999999943</v>
      </c>
      <c r="S1653" s="6">
        <f t="shared" si="133"/>
        <v>4.951065054691995E-2</v>
      </c>
      <c r="T1653" s="6">
        <f t="shared" si="134"/>
        <v>-1.5958625785001779E-2</v>
      </c>
    </row>
    <row r="1654" spans="1:20" x14ac:dyDescent="0.25">
      <c r="A1654" s="4" t="s">
        <v>85</v>
      </c>
      <c r="B1654" s="5" t="s">
        <v>16</v>
      </c>
      <c r="C1654" s="5" t="s">
        <v>1823</v>
      </c>
      <c r="D1654" s="5">
        <v>51.25</v>
      </c>
      <c r="E1654" s="5">
        <v>50.55</v>
      </c>
      <c r="F1654" s="5">
        <v>53.1</v>
      </c>
      <c r="G1654" s="5">
        <v>49</v>
      </c>
      <c r="H1654" s="5">
        <v>52.5</v>
      </c>
      <c r="I1654" s="5">
        <v>51.75</v>
      </c>
      <c r="J1654" s="5">
        <v>51.11</v>
      </c>
      <c r="K1654" s="5">
        <v>222730</v>
      </c>
      <c r="L1654" s="5">
        <v>113.83</v>
      </c>
      <c r="M1654" s="5">
        <v>932</v>
      </c>
      <c r="N1654" s="5">
        <v>160604</v>
      </c>
      <c r="O1654" s="5">
        <v>72.11</v>
      </c>
      <c r="P1654" s="5">
        <f t="shared" si="130"/>
        <v>0.5</v>
      </c>
      <c r="Q1654" s="6">
        <f t="shared" si="131"/>
        <v>9.7560975609756097E-3</v>
      </c>
      <c r="R1654" s="5">
        <f t="shared" si="132"/>
        <v>4.1000000000000014</v>
      </c>
      <c r="S1654" s="6">
        <f t="shared" si="133"/>
        <v>8.0000000000000029E-2</v>
      </c>
      <c r="T1654" s="6">
        <f t="shared" si="134"/>
        <v>1.2524461839530343E-2</v>
      </c>
    </row>
    <row r="1655" spans="1:20" hidden="1" x14ac:dyDescent="0.25">
      <c r="A1655" s="4" t="s">
        <v>1557</v>
      </c>
      <c r="B1655" s="5" t="s">
        <v>16</v>
      </c>
      <c r="C1655" s="5" t="s">
        <v>1823</v>
      </c>
      <c r="D1655" s="5">
        <v>34.15</v>
      </c>
      <c r="E1655" s="5">
        <v>34.200000000000003</v>
      </c>
      <c r="F1655" s="5">
        <v>35.1</v>
      </c>
      <c r="G1655" s="5">
        <v>32.549999999999997</v>
      </c>
      <c r="H1655" s="5">
        <v>32.549999999999997</v>
      </c>
      <c r="I1655" s="5">
        <v>32.6</v>
      </c>
      <c r="J1655" s="5">
        <v>33.11</v>
      </c>
      <c r="K1655" s="5">
        <v>3395</v>
      </c>
      <c r="L1655" s="5">
        <v>1.1200000000000001</v>
      </c>
      <c r="M1655" s="5">
        <v>39</v>
      </c>
      <c r="N1655" s="5">
        <v>3195</v>
      </c>
      <c r="O1655" s="5">
        <v>94.11</v>
      </c>
      <c r="P1655" s="5">
        <f t="shared" si="130"/>
        <v>-1.5499999999999972</v>
      </c>
      <c r="Q1655" s="6">
        <f t="shared" si="131"/>
        <v>-4.5387994143484545E-2</v>
      </c>
      <c r="R1655" s="5">
        <f t="shared" si="132"/>
        <v>2.5500000000000043</v>
      </c>
      <c r="S1655" s="6">
        <f t="shared" si="133"/>
        <v>7.4670571010249029E-2</v>
      </c>
      <c r="T1655" s="6">
        <f t="shared" si="134"/>
        <v>-1.5172926738564461E-2</v>
      </c>
    </row>
    <row r="1656" spans="1:20" hidden="1" x14ac:dyDescent="0.25">
      <c r="A1656" s="4" t="s">
        <v>1558</v>
      </c>
      <c r="B1656" s="5" t="s">
        <v>16</v>
      </c>
      <c r="C1656" s="5" t="s">
        <v>1823</v>
      </c>
      <c r="D1656" s="5">
        <v>10.55</v>
      </c>
      <c r="E1656" s="5">
        <v>11</v>
      </c>
      <c r="F1656" s="5">
        <v>11</v>
      </c>
      <c r="G1656" s="5">
        <v>10.35</v>
      </c>
      <c r="H1656" s="5">
        <v>10.5</v>
      </c>
      <c r="I1656" s="5">
        <v>10.7</v>
      </c>
      <c r="J1656" s="5">
        <v>10.6</v>
      </c>
      <c r="K1656" s="5">
        <v>12113</v>
      </c>
      <c r="L1656" s="5">
        <v>1.28</v>
      </c>
      <c r="M1656" s="5">
        <v>101</v>
      </c>
      <c r="N1656" s="5">
        <v>11055</v>
      </c>
      <c r="O1656" s="5">
        <v>91.27</v>
      </c>
      <c r="P1656" s="5">
        <f t="shared" si="130"/>
        <v>0.14999999999999858</v>
      </c>
      <c r="Q1656" s="6">
        <f t="shared" si="131"/>
        <v>1.421800947867285E-2</v>
      </c>
      <c r="R1656" s="5">
        <f t="shared" si="132"/>
        <v>0.65000000000000036</v>
      </c>
      <c r="S1656" s="6">
        <f t="shared" si="133"/>
        <v>6.1611374407582971E-2</v>
      </c>
      <c r="T1656" s="6">
        <f t="shared" si="134"/>
        <v>9.2915214866434049E-3</v>
      </c>
    </row>
    <row r="1657" spans="1:20" hidden="1" x14ac:dyDescent="0.25">
      <c r="A1657" s="4" t="s">
        <v>1559</v>
      </c>
      <c r="B1657" s="5" t="s">
        <v>16</v>
      </c>
      <c r="C1657" s="5" t="s">
        <v>1823</v>
      </c>
      <c r="D1657" s="5">
        <v>75.5</v>
      </c>
      <c r="E1657" s="5">
        <v>75</v>
      </c>
      <c r="F1657" s="5">
        <v>77</v>
      </c>
      <c r="G1657" s="5">
        <v>73.25</v>
      </c>
      <c r="H1657" s="5">
        <v>73.25</v>
      </c>
      <c r="I1657" s="5">
        <v>73.25</v>
      </c>
      <c r="J1657" s="5">
        <v>73.42</v>
      </c>
      <c r="K1657" s="5">
        <v>1583</v>
      </c>
      <c r="L1657" s="5">
        <v>1.1599999999999999</v>
      </c>
      <c r="M1657" s="5">
        <v>101</v>
      </c>
      <c r="N1657" s="5">
        <v>1367</v>
      </c>
      <c r="O1657" s="5">
        <v>86.36</v>
      </c>
      <c r="P1657" s="5">
        <f t="shared" si="130"/>
        <v>-2.25</v>
      </c>
      <c r="Q1657" s="6">
        <f t="shared" si="131"/>
        <v>-2.9801324503311258E-2</v>
      </c>
      <c r="R1657" s="5">
        <f t="shared" si="132"/>
        <v>3.75</v>
      </c>
      <c r="S1657" s="6">
        <f t="shared" si="133"/>
        <v>4.9668874172185427E-2</v>
      </c>
      <c r="T1657" s="6">
        <f t="shared" si="134"/>
        <v>-2.2780569514238083E-3</v>
      </c>
    </row>
    <row r="1658" spans="1:20" hidden="1" x14ac:dyDescent="0.25">
      <c r="A1658" s="4" t="s">
        <v>1560</v>
      </c>
      <c r="B1658" s="5" t="s">
        <v>16</v>
      </c>
      <c r="C1658" s="5" t="s">
        <v>1823</v>
      </c>
      <c r="D1658" s="5">
        <v>167.95</v>
      </c>
      <c r="E1658" s="5">
        <v>168.05</v>
      </c>
      <c r="F1658" s="5">
        <v>169.95</v>
      </c>
      <c r="G1658" s="5">
        <v>165.35</v>
      </c>
      <c r="H1658" s="5">
        <v>167</v>
      </c>
      <c r="I1658" s="5">
        <v>167.9</v>
      </c>
      <c r="J1658" s="5">
        <v>167.51</v>
      </c>
      <c r="K1658" s="5">
        <v>3221</v>
      </c>
      <c r="L1658" s="5">
        <v>5.4</v>
      </c>
      <c r="M1658" s="5">
        <v>130</v>
      </c>
      <c r="N1658" s="5">
        <v>1973</v>
      </c>
      <c r="O1658" s="5">
        <v>61.25</v>
      </c>
      <c r="P1658" s="5">
        <f t="shared" si="130"/>
        <v>-4.9999999999982947E-2</v>
      </c>
      <c r="Q1658" s="6">
        <f t="shared" si="131"/>
        <v>-2.977076510865314E-4</v>
      </c>
      <c r="R1658" s="5">
        <f t="shared" si="132"/>
        <v>4.5999999999999943</v>
      </c>
      <c r="S1658" s="6">
        <f t="shared" si="133"/>
        <v>2.7389103899970197E-2</v>
      </c>
      <c r="T1658" s="6">
        <f t="shared" si="134"/>
        <v>2.3240223463688032E-3</v>
      </c>
    </row>
    <row r="1659" spans="1:20" x14ac:dyDescent="0.25">
      <c r="A1659" s="4" t="s">
        <v>1489</v>
      </c>
      <c r="B1659" s="5" t="s">
        <v>16</v>
      </c>
      <c r="C1659" s="5" t="s">
        <v>1823</v>
      </c>
      <c r="D1659" s="5">
        <v>52.85</v>
      </c>
      <c r="E1659" s="5">
        <v>52.85</v>
      </c>
      <c r="F1659" s="5">
        <v>53.05</v>
      </c>
      <c r="G1659" s="5">
        <v>48.5</v>
      </c>
      <c r="H1659" s="5">
        <v>49.7</v>
      </c>
      <c r="I1659" s="5">
        <v>49.35</v>
      </c>
      <c r="J1659" s="5">
        <v>51.49</v>
      </c>
      <c r="K1659" s="5">
        <v>135283</v>
      </c>
      <c r="L1659" s="5">
        <v>69.650000000000006</v>
      </c>
      <c r="M1659" s="5">
        <v>1284</v>
      </c>
      <c r="N1659" s="5">
        <v>97738</v>
      </c>
      <c r="O1659" s="5">
        <v>72.25</v>
      </c>
      <c r="P1659" s="5">
        <f t="shared" si="130"/>
        <v>-3.5</v>
      </c>
      <c r="Q1659" s="6">
        <f t="shared" si="131"/>
        <v>-6.6225165562913912E-2</v>
      </c>
      <c r="R1659" s="5">
        <f t="shared" si="132"/>
        <v>4.5499999999999972</v>
      </c>
      <c r="S1659" s="6">
        <f t="shared" si="133"/>
        <v>8.609271523178802E-2</v>
      </c>
      <c r="T1659" s="6">
        <f t="shared" si="134"/>
        <v>-4.2012269938650315E-2</v>
      </c>
    </row>
    <row r="1660" spans="1:20" hidden="1" x14ac:dyDescent="0.25">
      <c r="A1660" s="4" t="s">
        <v>1562</v>
      </c>
      <c r="B1660" s="5" t="s">
        <v>16</v>
      </c>
      <c r="C1660" s="5" t="s">
        <v>1823</v>
      </c>
      <c r="D1660" s="5">
        <v>5.85</v>
      </c>
      <c r="E1660" s="5">
        <v>5.8</v>
      </c>
      <c r="F1660" s="5">
        <v>5.95</v>
      </c>
      <c r="G1660" s="5">
        <v>5.65</v>
      </c>
      <c r="H1660" s="5">
        <v>5.8</v>
      </c>
      <c r="I1660" s="5">
        <v>5.8</v>
      </c>
      <c r="J1660" s="5">
        <v>5.82</v>
      </c>
      <c r="K1660" s="5">
        <v>609887</v>
      </c>
      <c r="L1660" s="5">
        <v>35.49</v>
      </c>
      <c r="M1660" s="5">
        <v>433</v>
      </c>
      <c r="N1660" s="5">
        <v>264033</v>
      </c>
      <c r="O1660" s="5">
        <v>43.29</v>
      </c>
      <c r="P1660" s="5">
        <f t="shared" si="130"/>
        <v>-4.9999999999999822E-2</v>
      </c>
      <c r="Q1660" s="6">
        <f t="shared" si="131"/>
        <v>-8.5470085470085166E-3</v>
      </c>
      <c r="R1660" s="5">
        <f t="shared" si="132"/>
        <v>0.29999999999999982</v>
      </c>
      <c r="S1660" s="6">
        <f t="shared" si="133"/>
        <v>5.1282051282051253E-2</v>
      </c>
      <c r="T1660" s="6">
        <f t="shared" si="134"/>
        <v>-3.4482758620690453E-3</v>
      </c>
    </row>
    <row r="1661" spans="1:20" hidden="1" x14ac:dyDescent="0.25">
      <c r="A1661" s="4" t="s">
        <v>1563</v>
      </c>
      <c r="B1661" s="5" t="s">
        <v>16</v>
      </c>
      <c r="C1661" s="5" t="s">
        <v>1823</v>
      </c>
      <c r="D1661" s="5">
        <v>250.05</v>
      </c>
      <c r="E1661" s="5">
        <v>251</v>
      </c>
      <c r="F1661" s="5">
        <v>251</v>
      </c>
      <c r="G1661" s="5">
        <v>241.5</v>
      </c>
      <c r="H1661" s="5">
        <v>245.25</v>
      </c>
      <c r="I1661" s="5">
        <v>245.55</v>
      </c>
      <c r="J1661" s="5">
        <v>246.94</v>
      </c>
      <c r="K1661" s="5">
        <v>56022</v>
      </c>
      <c r="L1661" s="5">
        <v>138.34</v>
      </c>
      <c r="M1661" s="5">
        <v>1869</v>
      </c>
      <c r="N1661" s="5">
        <v>35914</v>
      </c>
      <c r="O1661" s="5">
        <v>64.11</v>
      </c>
      <c r="P1661" s="5">
        <f t="shared" si="130"/>
        <v>-4.5</v>
      </c>
      <c r="Q1661" s="6">
        <f t="shared" si="131"/>
        <v>-1.7996400719856028E-2</v>
      </c>
      <c r="R1661" s="5">
        <f t="shared" si="132"/>
        <v>9.5</v>
      </c>
      <c r="S1661" s="6">
        <f t="shared" si="133"/>
        <v>3.7992401519696059E-2</v>
      </c>
      <c r="T1661" s="6">
        <f t="shared" si="134"/>
        <v>-5.621556038622866E-3</v>
      </c>
    </row>
    <row r="1662" spans="1:20" hidden="1" x14ac:dyDescent="0.25">
      <c r="A1662" s="4" t="s">
        <v>1564</v>
      </c>
      <c r="B1662" s="5" t="s">
        <v>16</v>
      </c>
      <c r="C1662" s="5" t="s">
        <v>1823</v>
      </c>
      <c r="D1662" s="5">
        <v>354.9</v>
      </c>
      <c r="E1662" s="5">
        <v>357</v>
      </c>
      <c r="F1662" s="5">
        <v>362</v>
      </c>
      <c r="G1662" s="5">
        <v>353</v>
      </c>
      <c r="H1662" s="5">
        <v>355.2</v>
      </c>
      <c r="I1662" s="5">
        <v>356.6</v>
      </c>
      <c r="J1662" s="5">
        <v>357.96</v>
      </c>
      <c r="K1662" s="5">
        <v>52987</v>
      </c>
      <c r="L1662" s="5">
        <v>189.67</v>
      </c>
      <c r="M1662" s="5">
        <v>1682</v>
      </c>
      <c r="N1662" s="5">
        <v>34316</v>
      </c>
      <c r="O1662" s="5">
        <v>64.760000000000005</v>
      </c>
      <c r="P1662" s="5">
        <f t="shared" si="130"/>
        <v>1.7000000000000455</v>
      </c>
      <c r="Q1662" s="6">
        <f t="shared" si="131"/>
        <v>4.7900817131587645E-3</v>
      </c>
      <c r="R1662" s="5">
        <f t="shared" si="132"/>
        <v>9</v>
      </c>
      <c r="S1662" s="6">
        <f t="shared" si="133"/>
        <v>2.5359256128486898E-2</v>
      </c>
      <c r="T1662" s="6">
        <f t="shared" si="134"/>
        <v>-3.8079238415230487E-3</v>
      </c>
    </row>
    <row r="1663" spans="1:20" hidden="1" x14ac:dyDescent="0.25">
      <c r="A1663" s="4" t="s">
        <v>1565</v>
      </c>
      <c r="B1663" s="5" t="s">
        <v>39</v>
      </c>
      <c r="C1663" s="5" t="s">
        <v>1823</v>
      </c>
      <c r="D1663" s="5">
        <v>0.15</v>
      </c>
      <c r="E1663" s="5">
        <v>0.2</v>
      </c>
      <c r="F1663" s="5">
        <v>0.2</v>
      </c>
      <c r="G1663" s="5">
        <v>0.15</v>
      </c>
      <c r="H1663" s="5">
        <v>0.2</v>
      </c>
      <c r="I1663" s="5">
        <v>0.2</v>
      </c>
      <c r="J1663" s="5">
        <v>0.16</v>
      </c>
      <c r="K1663" s="5">
        <v>37054</v>
      </c>
      <c r="L1663" s="5">
        <v>0.06</v>
      </c>
      <c r="M1663" s="5">
        <v>25</v>
      </c>
      <c r="N1663" s="5" t="s">
        <v>25</v>
      </c>
      <c r="O1663" s="5" t="s">
        <v>25</v>
      </c>
      <c r="P1663" s="5">
        <f t="shared" si="130"/>
        <v>5.0000000000000017E-2</v>
      </c>
      <c r="Q1663" s="6">
        <f t="shared" si="131"/>
        <v>0.33333333333333348</v>
      </c>
      <c r="R1663" s="5">
        <f t="shared" si="132"/>
        <v>5.0000000000000017E-2</v>
      </c>
      <c r="S1663" s="6">
        <f t="shared" si="133"/>
        <v>0.33333333333333348</v>
      </c>
      <c r="T1663" s="6">
        <f t="shared" si="134"/>
        <v>0.21333333333333337</v>
      </c>
    </row>
    <row r="1664" spans="1:20" hidden="1" x14ac:dyDescent="0.25">
      <c r="A1664" s="4" t="s">
        <v>1566</v>
      </c>
      <c r="B1664" s="5" t="s">
        <v>16</v>
      </c>
      <c r="C1664" s="5" t="s">
        <v>1823</v>
      </c>
      <c r="D1664" s="5">
        <v>2.6</v>
      </c>
      <c r="E1664" s="5">
        <v>2.7</v>
      </c>
      <c r="F1664" s="5">
        <v>2.7</v>
      </c>
      <c r="G1664" s="5">
        <v>2.2999999999999998</v>
      </c>
      <c r="H1664" s="5">
        <v>2.4500000000000002</v>
      </c>
      <c r="I1664" s="5">
        <v>2.4500000000000002</v>
      </c>
      <c r="J1664" s="5">
        <v>2.5499999999999998</v>
      </c>
      <c r="K1664" s="5">
        <v>30176</v>
      </c>
      <c r="L1664" s="5">
        <v>0.77</v>
      </c>
      <c r="M1664" s="5">
        <v>73</v>
      </c>
      <c r="N1664" s="5">
        <v>28835</v>
      </c>
      <c r="O1664" s="5">
        <v>95.56</v>
      </c>
      <c r="P1664" s="5">
        <f t="shared" si="130"/>
        <v>-0.14999999999999991</v>
      </c>
      <c r="Q1664" s="6">
        <f t="shared" si="131"/>
        <v>-5.7692307692307654E-2</v>
      </c>
      <c r="R1664" s="5">
        <f t="shared" si="132"/>
        <v>0.40000000000000036</v>
      </c>
      <c r="S1664" s="6">
        <f t="shared" si="133"/>
        <v>0.15384615384615397</v>
      </c>
      <c r="T1664" s="6">
        <f t="shared" si="134"/>
        <v>-3.9408866995073753E-2</v>
      </c>
    </row>
    <row r="1665" spans="1:20" hidden="1" x14ac:dyDescent="0.25">
      <c r="A1665" s="4" t="s">
        <v>1567</v>
      </c>
      <c r="B1665" s="5" t="s">
        <v>16</v>
      </c>
      <c r="C1665" s="5" t="s">
        <v>1823</v>
      </c>
      <c r="D1665" s="5">
        <v>18.350000000000001</v>
      </c>
      <c r="E1665" s="5">
        <v>18.850000000000001</v>
      </c>
      <c r="F1665" s="5">
        <v>18.850000000000001</v>
      </c>
      <c r="G1665" s="5">
        <v>17.5</v>
      </c>
      <c r="H1665" s="5">
        <v>18.75</v>
      </c>
      <c r="I1665" s="5">
        <v>18.2</v>
      </c>
      <c r="J1665" s="5">
        <v>18.46</v>
      </c>
      <c r="K1665" s="5">
        <v>369</v>
      </c>
      <c r="L1665" s="5">
        <v>7.0000000000000007E-2</v>
      </c>
      <c r="M1665" s="5">
        <v>15</v>
      </c>
      <c r="N1665" s="5">
        <v>173</v>
      </c>
      <c r="O1665" s="5">
        <v>46.88</v>
      </c>
      <c r="P1665" s="5">
        <f t="shared" si="130"/>
        <v>-0.15000000000000213</v>
      </c>
      <c r="Q1665" s="6">
        <f t="shared" si="131"/>
        <v>-8.1743869209810419E-3</v>
      </c>
      <c r="R1665" s="5">
        <f t="shared" si="132"/>
        <v>1.3500000000000014</v>
      </c>
      <c r="S1665" s="6">
        <f t="shared" si="133"/>
        <v>7.3569482288828411E-2</v>
      </c>
      <c r="T1665" s="6">
        <f t="shared" si="134"/>
        <v>-1.4168937329700357E-2</v>
      </c>
    </row>
    <row r="1666" spans="1:20" hidden="1" x14ac:dyDescent="0.25">
      <c r="A1666" s="4" t="s">
        <v>1568</v>
      </c>
      <c r="B1666" s="5" t="s">
        <v>16</v>
      </c>
      <c r="C1666" s="5" t="s">
        <v>1823</v>
      </c>
      <c r="D1666" s="5">
        <v>492.15</v>
      </c>
      <c r="E1666" s="5">
        <v>485.5</v>
      </c>
      <c r="F1666" s="5">
        <v>509</v>
      </c>
      <c r="G1666" s="5">
        <v>483</v>
      </c>
      <c r="H1666" s="5">
        <v>483</v>
      </c>
      <c r="I1666" s="5">
        <v>485.6</v>
      </c>
      <c r="J1666" s="5">
        <v>489.23</v>
      </c>
      <c r="K1666" s="5">
        <v>660</v>
      </c>
      <c r="L1666" s="5">
        <v>3.23</v>
      </c>
      <c r="M1666" s="5">
        <v>77</v>
      </c>
      <c r="N1666" s="5">
        <v>485</v>
      </c>
      <c r="O1666" s="5">
        <v>73.48</v>
      </c>
      <c r="P1666" s="5">
        <f t="shared" si="130"/>
        <v>-6.5499999999999545</v>
      </c>
      <c r="Q1666" s="6">
        <f t="shared" si="131"/>
        <v>-1.3308950523214375E-2</v>
      </c>
      <c r="R1666" s="5">
        <f t="shared" si="132"/>
        <v>26</v>
      </c>
      <c r="S1666" s="6">
        <f t="shared" si="133"/>
        <v>5.2829421924210099E-2</v>
      </c>
      <c r="T1666" s="6">
        <f t="shared" si="134"/>
        <v>-7.3964647751005976E-3</v>
      </c>
    </row>
    <row r="1667" spans="1:20" hidden="1" x14ac:dyDescent="0.25">
      <c r="A1667" s="4" t="s">
        <v>1569</v>
      </c>
      <c r="B1667" s="5" t="s">
        <v>16</v>
      </c>
      <c r="C1667" s="5" t="s">
        <v>1823</v>
      </c>
      <c r="D1667" s="5">
        <v>2041.1</v>
      </c>
      <c r="E1667" s="5">
        <v>2041.1</v>
      </c>
      <c r="F1667" s="5">
        <v>2053.9499999999998</v>
      </c>
      <c r="G1667" s="5">
        <v>2000</v>
      </c>
      <c r="H1667" s="5">
        <v>2014</v>
      </c>
      <c r="I1667" s="5">
        <v>2012.55</v>
      </c>
      <c r="J1667" s="5">
        <v>2039.45</v>
      </c>
      <c r="K1667" s="5">
        <v>1963</v>
      </c>
      <c r="L1667" s="5">
        <v>40.03</v>
      </c>
      <c r="M1667" s="5">
        <v>350</v>
      </c>
      <c r="N1667" s="5">
        <v>396</v>
      </c>
      <c r="O1667" s="5">
        <v>20.170000000000002</v>
      </c>
      <c r="P1667" s="5">
        <f t="shared" si="130"/>
        <v>-28.549999999999955</v>
      </c>
      <c r="Q1667" s="6">
        <f t="shared" si="131"/>
        <v>-1.3987555729753543E-2</v>
      </c>
      <c r="R1667" s="5">
        <f t="shared" si="132"/>
        <v>53.949999999999818</v>
      </c>
      <c r="S1667" s="6">
        <f t="shared" si="133"/>
        <v>2.6431825976189222E-2</v>
      </c>
      <c r="T1667" s="6">
        <f t="shared" si="134"/>
        <v>-1.3271498347229805E-2</v>
      </c>
    </row>
    <row r="1668" spans="1:20" hidden="1" x14ac:dyDescent="0.25">
      <c r="A1668" s="4" t="s">
        <v>1570</v>
      </c>
      <c r="B1668" s="5" t="s">
        <v>16</v>
      </c>
      <c r="C1668" s="5" t="s">
        <v>1823</v>
      </c>
      <c r="D1668" s="5">
        <v>1.4</v>
      </c>
      <c r="E1668" s="5">
        <v>1.45</v>
      </c>
      <c r="F1668" s="5">
        <v>1.45</v>
      </c>
      <c r="G1668" s="5">
        <v>1.35</v>
      </c>
      <c r="H1668" s="5">
        <v>1.35</v>
      </c>
      <c r="I1668" s="5">
        <v>1.35</v>
      </c>
      <c r="J1668" s="5">
        <v>1.36</v>
      </c>
      <c r="K1668" s="5">
        <v>103970</v>
      </c>
      <c r="L1668" s="5">
        <v>1.41</v>
      </c>
      <c r="M1668" s="5">
        <v>63</v>
      </c>
      <c r="N1668" s="5">
        <v>88447</v>
      </c>
      <c r="O1668" s="5">
        <v>85.07</v>
      </c>
      <c r="P1668" s="5">
        <f t="shared" si="130"/>
        <v>-4.9999999999999822E-2</v>
      </c>
      <c r="Q1668" s="6">
        <f t="shared" si="131"/>
        <v>-3.5714285714285587E-2</v>
      </c>
      <c r="R1668" s="5">
        <f t="shared" si="132"/>
        <v>9.9999999999999867E-2</v>
      </c>
      <c r="S1668" s="6">
        <f t="shared" si="133"/>
        <v>7.1428571428571341E-2</v>
      </c>
      <c r="T1668" s="6">
        <f t="shared" si="134"/>
        <v>-7.1428571428571496E-3</v>
      </c>
    </row>
    <row r="1669" spans="1:20" hidden="1" x14ac:dyDescent="0.25">
      <c r="A1669" s="4" t="s">
        <v>1571</v>
      </c>
      <c r="B1669" s="5" t="s">
        <v>16</v>
      </c>
      <c r="C1669" s="5" t="s">
        <v>1823</v>
      </c>
      <c r="D1669" s="5">
        <v>1611.3</v>
      </c>
      <c r="E1669" s="5">
        <v>1598.8</v>
      </c>
      <c r="F1669" s="5">
        <v>1605</v>
      </c>
      <c r="G1669" s="5">
        <v>1588</v>
      </c>
      <c r="H1669" s="5">
        <v>1605</v>
      </c>
      <c r="I1669" s="5">
        <v>1599.45</v>
      </c>
      <c r="J1669" s="5">
        <v>1597.51</v>
      </c>
      <c r="K1669" s="5">
        <v>10355</v>
      </c>
      <c r="L1669" s="5">
        <v>165.42</v>
      </c>
      <c r="M1669" s="5">
        <v>760</v>
      </c>
      <c r="N1669" s="5">
        <v>7579</v>
      </c>
      <c r="O1669" s="5">
        <v>73.19</v>
      </c>
      <c r="P1669" s="5">
        <f t="shared" si="130"/>
        <v>-11.849999999999909</v>
      </c>
      <c r="Q1669" s="6">
        <f t="shared" si="131"/>
        <v>-7.3543101843231611E-3</v>
      </c>
      <c r="R1669" s="5">
        <f t="shared" si="132"/>
        <v>17</v>
      </c>
      <c r="S1669" s="6">
        <f t="shared" si="133"/>
        <v>1.0550487184261156E-2</v>
      </c>
      <c r="T1669" s="6">
        <f t="shared" si="134"/>
        <v>1.2141599843536427E-3</v>
      </c>
    </row>
    <row r="1670" spans="1:20" hidden="1" x14ac:dyDescent="0.25">
      <c r="A1670" s="4" t="s">
        <v>1572</v>
      </c>
      <c r="B1670" s="5" t="s">
        <v>16</v>
      </c>
      <c r="C1670" s="5" t="s">
        <v>1823</v>
      </c>
      <c r="D1670" s="5">
        <v>74.7</v>
      </c>
      <c r="E1670" s="5">
        <v>74</v>
      </c>
      <c r="F1670" s="5">
        <v>75.849999999999994</v>
      </c>
      <c r="G1670" s="5">
        <v>71.55</v>
      </c>
      <c r="H1670" s="5">
        <v>71.8</v>
      </c>
      <c r="I1670" s="5">
        <v>72.150000000000006</v>
      </c>
      <c r="J1670" s="5">
        <v>72.92</v>
      </c>
      <c r="K1670" s="5">
        <v>37047</v>
      </c>
      <c r="L1670" s="5">
        <v>27.02</v>
      </c>
      <c r="M1670" s="5">
        <v>209</v>
      </c>
      <c r="N1670" s="5">
        <v>34801</v>
      </c>
      <c r="O1670" s="5">
        <v>93.94</v>
      </c>
      <c r="P1670" s="5">
        <f t="shared" si="130"/>
        <v>-2.5499999999999972</v>
      </c>
      <c r="Q1670" s="6">
        <f t="shared" si="131"/>
        <v>-3.4136546184738915E-2</v>
      </c>
      <c r="R1670" s="5">
        <f t="shared" si="132"/>
        <v>4.2999999999999972</v>
      </c>
      <c r="S1670" s="6">
        <f t="shared" si="133"/>
        <v>5.7563587684069571E-2</v>
      </c>
      <c r="T1670" s="6">
        <f t="shared" si="134"/>
        <v>-1.049225004258213E-2</v>
      </c>
    </row>
    <row r="1671" spans="1:20" hidden="1" x14ac:dyDescent="0.25">
      <c r="A1671" s="4" t="s">
        <v>1573</v>
      </c>
      <c r="B1671" s="5" t="s">
        <v>16</v>
      </c>
      <c r="C1671" s="5" t="s">
        <v>1823</v>
      </c>
      <c r="D1671" s="5">
        <v>268.2</v>
      </c>
      <c r="E1671" s="5">
        <v>271.14999999999998</v>
      </c>
      <c r="F1671" s="5">
        <v>276.45</v>
      </c>
      <c r="G1671" s="5">
        <v>260.10000000000002</v>
      </c>
      <c r="H1671" s="5">
        <v>269</v>
      </c>
      <c r="I1671" s="5">
        <v>264.89999999999998</v>
      </c>
      <c r="J1671" s="5">
        <v>264.39999999999998</v>
      </c>
      <c r="K1671" s="5">
        <v>652</v>
      </c>
      <c r="L1671" s="5">
        <v>1.72</v>
      </c>
      <c r="M1671" s="5">
        <v>119</v>
      </c>
      <c r="N1671" s="5">
        <v>424</v>
      </c>
      <c r="O1671" s="5">
        <v>65.03</v>
      </c>
      <c r="P1671" s="5">
        <f t="shared" si="130"/>
        <v>-3.3000000000000114</v>
      </c>
      <c r="Q1671" s="6">
        <f t="shared" si="131"/>
        <v>-1.230425055928416E-2</v>
      </c>
      <c r="R1671" s="5">
        <f t="shared" si="132"/>
        <v>16.349999999999966</v>
      </c>
      <c r="S1671" s="6">
        <f t="shared" si="133"/>
        <v>6.0961968680089358E-2</v>
      </c>
      <c r="T1671" s="6">
        <f t="shared" si="134"/>
        <v>1.8646280067126609E-3</v>
      </c>
    </row>
    <row r="1672" spans="1:20" hidden="1" x14ac:dyDescent="0.25">
      <c r="A1672" s="4" t="s">
        <v>1574</v>
      </c>
      <c r="B1672" s="5" t="s">
        <v>16</v>
      </c>
      <c r="C1672" s="5" t="s">
        <v>1823</v>
      </c>
      <c r="D1672" s="5">
        <v>475.4</v>
      </c>
      <c r="E1672" s="5">
        <v>474</v>
      </c>
      <c r="F1672" s="5">
        <v>484.9</v>
      </c>
      <c r="G1672" s="5">
        <v>462.1</v>
      </c>
      <c r="H1672" s="5">
        <v>480.35</v>
      </c>
      <c r="I1672" s="5">
        <v>481.7</v>
      </c>
      <c r="J1672" s="5">
        <v>476.16</v>
      </c>
      <c r="K1672" s="5">
        <v>91217</v>
      </c>
      <c r="L1672" s="5">
        <v>434.34</v>
      </c>
      <c r="M1672" s="5">
        <v>4378</v>
      </c>
      <c r="N1672" s="5">
        <v>61176</v>
      </c>
      <c r="O1672" s="5">
        <v>67.069999999999993</v>
      </c>
      <c r="P1672" s="5">
        <f t="shared" si="130"/>
        <v>6.3000000000000114</v>
      </c>
      <c r="Q1672" s="6">
        <f t="shared" si="131"/>
        <v>1.3251998317206587E-2</v>
      </c>
      <c r="R1672" s="5">
        <f t="shared" si="132"/>
        <v>22.799999999999955</v>
      </c>
      <c r="S1672" s="6">
        <f t="shared" si="133"/>
        <v>4.7959612957509369E-2</v>
      </c>
      <c r="T1672" s="6">
        <f t="shared" si="134"/>
        <v>1.1646607452567327E-2</v>
      </c>
    </row>
    <row r="1673" spans="1:20" hidden="1" x14ac:dyDescent="0.25">
      <c r="A1673" s="4" t="s">
        <v>1575</v>
      </c>
      <c r="B1673" s="5" t="s">
        <v>16</v>
      </c>
      <c r="C1673" s="5" t="s">
        <v>1823</v>
      </c>
      <c r="D1673" s="5">
        <v>31.55</v>
      </c>
      <c r="E1673" s="5">
        <v>31.5</v>
      </c>
      <c r="F1673" s="5">
        <v>32</v>
      </c>
      <c r="G1673" s="5">
        <v>30.5</v>
      </c>
      <c r="H1673" s="5">
        <v>30.7</v>
      </c>
      <c r="I1673" s="5">
        <v>30.65</v>
      </c>
      <c r="J1673" s="5">
        <v>31.08</v>
      </c>
      <c r="K1673" s="5">
        <v>66366</v>
      </c>
      <c r="L1673" s="5">
        <v>20.63</v>
      </c>
      <c r="M1673" s="5">
        <v>568</v>
      </c>
      <c r="N1673" s="5">
        <v>46283</v>
      </c>
      <c r="O1673" s="5">
        <v>69.739999999999995</v>
      </c>
      <c r="P1673" s="5">
        <f t="shared" si="130"/>
        <v>-0.90000000000000213</v>
      </c>
      <c r="Q1673" s="6">
        <f t="shared" si="131"/>
        <v>-2.8526148969889132E-2</v>
      </c>
      <c r="R1673" s="5">
        <f t="shared" si="132"/>
        <v>1.5</v>
      </c>
      <c r="S1673" s="6">
        <f t="shared" si="133"/>
        <v>4.7543581616481777E-2</v>
      </c>
      <c r="T1673" s="6">
        <f t="shared" si="134"/>
        <v>-1.3798636181307652E-2</v>
      </c>
    </row>
    <row r="1674" spans="1:20" hidden="1" x14ac:dyDescent="0.25">
      <c r="A1674" s="4" t="s">
        <v>1576</v>
      </c>
      <c r="B1674" s="5" t="s">
        <v>16</v>
      </c>
      <c r="C1674" s="5" t="s">
        <v>1823</v>
      </c>
      <c r="D1674" s="5">
        <v>409.65</v>
      </c>
      <c r="E1674" s="5">
        <v>409.6</v>
      </c>
      <c r="F1674" s="5">
        <v>412.7</v>
      </c>
      <c r="G1674" s="5">
        <v>401.75</v>
      </c>
      <c r="H1674" s="5">
        <v>406.75</v>
      </c>
      <c r="I1674" s="5">
        <v>406.75</v>
      </c>
      <c r="J1674" s="5">
        <v>406.69</v>
      </c>
      <c r="K1674" s="5">
        <v>5031063</v>
      </c>
      <c r="L1674" s="5">
        <v>20460.599999999999</v>
      </c>
      <c r="M1674" s="5">
        <v>70703</v>
      </c>
      <c r="N1674" s="5">
        <v>1681756</v>
      </c>
      <c r="O1674" s="5">
        <v>33.43</v>
      </c>
      <c r="P1674" s="5">
        <f t="shared" si="130"/>
        <v>-2.8999999999999773</v>
      </c>
      <c r="Q1674" s="6">
        <f t="shared" si="131"/>
        <v>-7.0792139631392099E-3</v>
      </c>
      <c r="R1674" s="5">
        <f t="shared" si="132"/>
        <v>10.949999999999989</v>
      </c>
      <c r="S1674" s="6">
        <f t="shared" si="133"/>
        <v>2.6730135481508578E-2</v>
      </c>
      <c r="T1674" s="6">
        <f t="shared" si="134"/>
        <v>1.4716703458425871E-4</v>
      </c>
    </row>
    <row r="1675" spans="1:20" x14ac:dyDescent="0.25">
      <c r="A1675" s="4" t="s">
        <v>717</v>
      </c>
      <c r="B1675" s="5" t="s">
        <v>16</v>
      </c>
      <c r="C1675" s="5" t="s">
        <v>1823</v>
      </c>
      <c r="D1675" s="5">
        <v>46.95</v>
      </c>
      <c r="E1675" s="5">
        <v>46.95</v>
      </c>
      <c r="F1675" s="5">
        <v>47.55</v>
      </c>
      <c r="G1675" s="5">
        <v>45.1</v>
      </c>
      <c r="H1675" s="5">
        <v>47</v>
      </c>
      <c r="I1675" s="5">
        <v>47.3</v>
      </c>
      <c r="J1675" s="5">
        <v>46.73</v>
      </c>
      <c r="K1675" s="5">
        <v>238686</v>
      </c>
      <c r="L1675" s="5">
        <v>111.54</v>
      </c>
      <c r="M1675" s="5">
        <v>5586</v>
      </c>
      <c r="N1675" s="5">
        <v>172566</v>
      </c>
      <c r="O1675" s="5">
        <v>72.3</v>
      </c>
      <c r="P1675" s="5">
        <f t="shared" si="130"/>
        <v>0.34999999999999432</v>
      </c>
      <c r="Q1675" s="6">
        <f t="shared" si="131"/>
        <v>7.4547390841319342E-3</v>
      </c>
      <c r="R1675" s="5">
        <f t="shared" si="132"/>
        <v>2.4499999999999957</v>
      </c>
      <c r="S1675" s="6">
        <f t="shared" si="133"/>
        <v>5.2183173588924291E-2</v>
      </c>
      <c r="T1675" s="6">
        <f t="shared" si="134"/>
        <v>1.219903691813805E-2</v>
      </c>
    </row>
    <row r="1676" spans="1:20" x14ac:dyDescent="0.25">
      <c r="A1676" s="4" t="s">
        <v>542</v>
      </c>
      <c r="B1676" s="5" t="s">
        <v>16</v>
      </c>
      <c r="C1676" s="5" t="s">
        <v>1823</v>
      </c>
      <c r="D1676" s="5">
        <v>31.2</v>
      </c>
      <c r="E1676" s="5">
        <v>31.6</v>
      </c>
      <c r="F1676" s="5">
        <v>31.6</v>
      </c>
      <c r="G1676" s="5">
        <v>29.5</v>
      </c>
      <c r="H1676" s="5">
        <v>29.8</v>
      </c>
      <c r="I1676" s="5">
        <v>29.55</v>
      </c>
      <c r="J1676" s="5">
        <v>29.87</v>
      </c>
      <c r="K1676" s="5">
        <v>144285</v>
      </c>
      <c r="L1676" s="5">
        <v>43.09</v>
      </c>
      <c r="M1676" s="5">
        <v>1319</v>
      </c>
      <c r="N1676" s="5">
        <v>104749</v>
      </c>
      <c r="O1676" s="5">
        <v>72.599999999999994</v>
      </c>
      <c r="P1676" s="5">
        <f t="shared" ref="P1676:P1739" si="135">I1676-D1676</f>
        <v>-1.6499999999999986</v>
      </c>
      <c r="Q1676" s="6">
        <f t="shared" ref="Q1676:Q1739" si="136">P1676/D1676</f>
        <v>-5.2884615384615342E-2</v>
      </c>
      <c r="R1676" s="5">
        <f t="shared" ref="R1676:R1739" si="137">ABS(F1676-G1676)</f>
        <v>2.1000000000000014</v>
      </c>
      <c r="S1676" s="6">
        <f t="shared" ref="S1676:S1739" si="138">R1676/D1676</f>
        <v>6.730769230769236E-2</v>
      </c>
      <c r="T1676" s="6">
        <f t="shared" ref="T1676:T1739" si="139">(I1676-J1676)/AVERAGE(E1676:G1676,I1676)</f>
        <v>-1.0470347648261769E-2</v>
      </c>
    </row>
    <row r="1677" spans="1:20" hidden="1" x14ac:dyDescent="0.25">
      <c r="A1677" s="4" t="s">
        <v>1579</v>
      </c>
      <c r="B1677" s="5" t="s">
        <v>16</v>
      </c>
      <c r="C1677" s="5" t="s">
        <v>1823</v>
      </c>
      <c r="D1677" s="5">
        <v>82.8</v>
      </c>
      <c r="E1677" s="5">
        <v>80.05</v>
      </c>
      <c r="F1677" s="5">
        <v>84.9</v>
      </c>
      <c r="G1677" s="5">
        <v>80.05</v>
      </c>
      <c r="H1677" s="5">
        <v>81</v>
      </c>
      <c r="I1677" s="5">
        <v>81.099999999999994</v>
      </c>
      <c r="J1677" s="5">
        <v>82.74</v>
      </c>
      <c r="K1677" s="5">
        <v>4658</v>
      </c>
      <c r="L1677" s="5">
        <v>3.85</v>
      </c>
      <c r="M1677" s="5">
        <v>172</v>
      </c>
      <c r="N1677" s="5">
        <v>2302</v>
      </c>
      <c r="O1677" s="5">
        <v>49.42</v>
      </c>
      <c r="P1677" s="5">
        <f t="shared" si="135"/>
        <v>-1.7000000000000028</v>
      </c>
      <c r="Q1677" s="6">
        <f t="shared" si="136"/>
        <v>-2.0531400966183611E-2</v>
      </c>
      <c r="R1677" s="5">
        <f t="shared" si="137"/>
        <v>4.8500000000000085</v>
      </c>
      <c r="S1677" s="6">
        <f t="shared" si="138"/>
        <v>5.8574879227053248E-2</v>
      </c>
      <c r="T1677" s="6">
        <f t="shared" si="139"/>
        <v>-2.011652867218645E-2</v>
      </c>
    </row>
    <row r="1678" spans="1:20" hidden="1" x14ac:dyDescent="0.25">
      <c r="A1678" s="4" t="s">
        <v>1580</v>
      </c>
      <c r="B1678" s="5" t="s">
        <v>16</v>
      </c>
      <c r="C1678" s="5" t="s">
        <v>1823</v>
      </c>
      <c r="D1678" s="5">
        <v>3.85</v>
      </c>
      <c r="E1678" s="5">
        <v>3.8</v>
      </c>
      <c r="F1678" s="5">
        <v>3.85</v>
      </c>
      <c r="G1678" s="5">
        <v>3.65</v>
      </c>
      <c r="H1678" s="5">
        <v>3.65</v>
      </c>
      <c r="I1678" s="5">
        <v>3.65</v>
      </c>
      <c r="J1678" s="5">
        <v>3.68</v>
      </c>
      <c r="K1678" s="5">
        <v>22115</v>
      </c>
      <c r="L1678" s="5">
        <v>0.81</v>
      </c>
      <c r="M1678" s="5">
        <v>37</v>
      </c>
      <c r="N1678" s="5">
        <v>18763</v>
      </c>
      <c r="O1678" s="5">
        <v>84.84</v>
      </c>
      <c r="P1678" s="5">
        <f t="shared" si="135"/>
        <v>-0.20000000000000018</v>
      </c>
      <c r="Q1678" s="6">
        <f t="shared" si="136"/>
        <v>-5.1948051948051993E-2</v>
      </c>
      <c r="R1678" s="5">
        <f t="shared" si="137"/>
        <v>0.20000000000000018</v>
      </c>
      <c r="S1678" s="6">
        <f t="shared" si="138"/>
        <v>5.1948051948051993E-2</v>
      </c>
      <c r="T1678" s="6">
        <f t="shared" si="139"/>
        <v>-8.0267558528428762E-3</v>
      </c>
    </row>
    <row r="1679" spans="1:20" hidden="1" x14ac:dyDescent="0.25">
      <c r="A1679" s="4" t="s">
        <v>1581</v>
      </c>
      <c r="B1679" s="5" t="s">
        <v>16</v>
      </c>
      <c r="C1679" s="5" t="s">
        <v>1823</v>
      </c>
      <c r="D1679" s="5">
        <v>179.85</v>
      </c>
      <c r="E1679" s="5">
        <v>179.6</v>
      </c>
      <c r="F1679" s="5">
        <v>179.6</v>
      </c>
      <c r="G1679" s="5">
        <v>177.25</v>
      </c>
      <c r="H1679" s="5">
        <v>179</v>
      </c>
      <c r="I1679" s="5">
        <v>177.35</v>
      </c>
      <c r="J1679" s="5">
        <v>178.15</v>
      </c>
      <c r="K1679" s="5">
        <v>5606</v>
      </c>
      <c r="L1679" s="5">
        <v>9.99</v>
      </c>
      <c r="M1679" s="5">
        <v>97</v>
      </c>
      <c r="N1679" s="5">
        <v>5259</v>
      </c>
      <c r="O1679" s="5">
        <v>93.81</v>
      </c>
      <c r="P1679" s="5">
        <f t="shared" si="135"/>
        <v>-2.5</v>
      </c>
      <c r="Q1679" s="6">
        <f t="shared" si="136"/>
        <v>-1.3900472616068946E-2</v>
      </c>
      <c r="R1679" s="5">
        <f t="shared" si="137"/>
        <v>2.3499999999999943</v>
      </c>
      <c r="S1679" s="6">
        <f t="shared" si="138"/>
        <v>1.3066444259104778E-2</v>
      </c>
      <c r="T1679" s="6">
        <f t="shared" si="139"/>
        <v>-4.4830484729616775E-3</v>
      </c>
    </row>
    <row r="1680" spans="1:20" hidden="1" x14ac:dyDescent="0.25">
      <c r="A1680" s="4" t="s">
        <v>1582</v>
      </c>
      <c r="B1680" s="5" t="s">
        <v>16</v>
      </c>
      <c r="C1680" s="5" t="s">
        <v>1823</v>
      </c>
      <c r="D1680" s="5">
        <v>183.4</v>
      </c>
      <c r="E1680" s="5">
        <v>178</v>
      </c>
      <c r="F1680" s="5">
        <v>186.15</v>
      </c>
      <c r="G1680" s="5">
        <v>171.1</v>
      </c>
      <c r="H1680" s="5">
        <v>180.05</v>
      </c>
      <c r="I1680" s="5">
        <v>179.25</v>
      </c>
      <c r="J1680" s="5">
        <v>179.38</v>
      </c>
      <c r="K1680" s="5">
        <v>19470</v>
      </c>
      <c r="L1680" s="5">
        <v>34.93</v>
      </c>
      <c r="M1680" s="5">
        <v>1333</v>
      </c>
      <c r="N1680" s="5">
        <v>10669</v>
      </c>
      <c r="O1680" s="5">
        <v>54.8</v>
      </c>
      <c r="P1680" s="5">
        <f t="shared" si="135"/>
        <v>-4.1500000000000057</v>
      </c>
      <c r="Q1680" s="6">
        <f t="shared" si="136"/>
        <v>-2.2628135223555102E-2</v>
      </c>
      <c r="R1680" s="5">
        <f t="shared" si="137"/>
        <v>15.050000000000011</v>
      </c>
      <c r="S1680" s="6">
        <f t="shared" si="138"/>
        <v>8.206106870229013E-2</v>
      </c>
      <c r="T1680" s="6">
        <f t="shared" si="139"/>
        <v>-7.2778166550032449E-4</v>
      </c>
    </row>
    <row r="1681" spans="1:20" hidden="1" x14ac:dyDescent="0.25">
      <c r="A1681" s="4" t="s">
        <v>1583</v>
      </c>
      <c r="B1681" s="5" t="s">
        <v>28</v>
      </c>
      <c r="C1681" s="5" t="s">
        <v>1823</v>
      </c>
      <c r="D1681" s="5">
        <v>27.1</v>
      </c>
      <c r="E1681" s="5">
        <v>28.25</v>
      </c>
      <c r="F1681" s="5">
        <v>28.25</v>
      </c>
      <c r="G1681" s="5">
        <v>26.55</v>
      </c>
      <c r="H1681" s="5">
        <v>27</v>
      </c>
      <c r="I1681" s="5">
        <v>27</v>
      </c>
      <c r="J1681" s="5">
        <v>27.21</v>
      </c>
      <c r="K1681" s="5">
        <v>16000</v>
      </c>
      <c r="L1681" s="5">
        <v>4.3499999999999996</v>
      </c>
      <c r="M1681" s="5">
        <v>4</v>
      </c>
      <c r="N1681" s="5">
        <v>4000</v>
      </c>
      <c r="O1681" s="5">
        <v>25</v>
      </c>
      <c r="P1681" s="5">
        <f t="shared" si="135"/>
        <v>-0.10000000000000142</v>
      </c>
      <c r="Q1681" s="6">
        <f t="shared" si="136"/>
        <v>-3.6900369003690561E-3</v>
      </c>
      <c r="R1681" s="5">
        <f t="shared" si="137"/>
        <v>1.6999999999999993</v>
      </c>
      <c r="S1681" s="6">
        <f t="shared" si="138"/>
        <v>6.2730627306273032E-2</v>
      </c>
      <c r="T1681" s="6">
        <f t="shared" si="139"/>
        <v>-7.6328941390277462E-3</v>
      </c>
    </row>
    <row r="1682" spans="1:20" hidden="1" x14ac:dyDescent="0.25">
      <c r="A1682" s="4" t="s">
        <v>1584</v>
      </c>
      <c r="B1682" s="5" t="s">
        <v>16</v>
      </c>
      <c r="C1682" s="5" t="s">
        <v>1823</v>
      </c>
      <c r="D1682" s="5">
        <v>1188.45</v>
      </c>
      <c r="E1682" s="5">
        <v>1198</v>
      </c>
      <c r="F1682" s="5">
        <v>1199.4000000000001</v>
      </c>
      <c r="G1682" s="5">
        <v>1163.3499999999999</v>
      </c>
      <c r="H1682" s="5">
        <v>1195</v>
      </c>
      <c r="I1682" s="5">
        <v>1193.5</v>
      </c>
      <c r="J1682" s="5">
        <v>1182.3</v>
      </c>
      <c r="K1682" s="5">
        <v>32560</v>
      </c>
      <c r="L1682" s="5">
        <v>384.96</v>
      </c>
      <c r="M1682" s="5">
        <v>3105</v>
      </c>
      <c r="N1682" s="5">
        <v>24747</v>
      </c>
      <c r="O1682" s="5">
        <v>76</v>
      </c>
      <c r="P1682" s="5">
        <f t="shared" si="135"/>
        <v>5.0499999999999545</v>
      </c>
      <c r="Q1682" s="6">
        <f t="shared" si="136"/>
        <v>4.2492321931927755E-3</v>
      </c>
      <c r="R1682" s="5">
        <f t="shared" si="137"/>
        <v>36.050000000000182</v>
      </c>
      <c r="S1682" s="6">
        <f t="shared" si="138"/>
        <v>3.0333627834574599E-2</v>
      </c>
      <c r="T1682" s="6">
        <f t="shared" si="139"/>
        <v>9.4231477099437719E-3</v>
      </c>
    </row>
    <row r="1683" spans="1:20" hidden="1" x14ac:dyDescent="0.25">
      <c r="A1683" s="4" t="s">
        <v>1585</v>
      </c>
      <c r="B1683" s="5" t="s">
        <v>24</v>
      </c>
      <c r="C1683" s="5" t="s">
        <v>1823</v>
      </c>
      <c r="D1683" s="5">
        <v>13.6</v>
      </c>
      <c r="E1683" s="5">
        <v>13.6</v>
      </c>
      <c r="F1683" s="5">
        <v>13.8</v>
      </c>
      <c r="G1683" s="5">
        <v>13.5</v>
      </c>
      <c r="H1683" s="5">
        <v>13.8</v>
      </c>
      <c r="I1683" s="5">
        <v>13.8</v>
      </c>
      <c r="J1683" s="5">
        <v>13.6</v>
      </c>
      <c r="K1683" s="5">
        <v>1224</v>
      </c>
      <c r="L1683" s="5">
        <v>0.17</v>
      </c>
      <c r="M1683" s="5">
        <v>9</v>
      </c>
      <c r="N1683" s="5" t="s">
        <v>25</v>
      </c>
      <c r="O1683" s="5" t="s">
        <v>25</v>
      </c>
      <c r="P1683" s="5">
        <f t="shared" si="135"/>
        <v>0.20000000000000107</v>
      </c>
      <c r="Q1683" s="6">
        <f t="shared" si="136"/>
        <v>1.4705882352941256E-2</v>
      </c>
      <c r="R1683" s="5">
        <f t="shared" si="137"/>
        <v>0.30000000000000071</v>
      </c>
      <c r="S1683" s="6">
        <f t="shared" si="138"/>
        <v>2.2058823529411818E-2</v>
      </c>
      <c r="T1683" s="6">
        <f t="shared" si="139"/>
        <v>1.462522851919569E-2</v>
      </c>
    </row>
    <row r="1684" spans="1:20" hidden="1" x14ac:dyDescent="0.25">
      <c r="A1684" s="4" t="s">
        <v>1586</v>
      </c>
      <c r="B1684" s="5" t="s">
        <v>16</v>
      </c>
      <c r="C1684" s="5" t="s">
        <v>1823</v>
      </c>
      <c r="D1684" s="5">
        <v>6.15</v>
      </c>
      <c r="E1684" s="5">
        <v>6.4</v>
      </c>
      <c r="F1684" s="5">
        <v>6.4</v>
      </c>
      <c r="G1684" s="5">
        <v>6.15</v>
      </c>
      <c r="H1684" s="5">
        <v>6.15</v>
      </c>
      <c r="I1684" s="5">
        <v>6.25</v>
      </c>
      <c r="J1684" s="5">
        <v>6.22</v>
      </c>
      <c r="K1684" s="5">
        <v>9663</v>
      </c>
      <c r="L1684" s="5">
        <v>0.6</v>
      </c>
      <c r="M1684" s="5">
        <v>50</v>
      </c>
      <c r="N1684" s="5">
        <v>6734</v>
      </c>
      <c r="O1684" s="5">
        <v>69.69</v>
      </c>
      <c r="P1684" s="5">
        <f t="shared" si="135"/>
        <v>9.9999999999999645E-2</v>
      </c>
      <c r="Q1684" s="6">
        <f t="shared" si="136"/>
        <v>1.6260162601625959E-2</v>
      </c>
      <c r="R1684" s="5">
        <f t="shared" si="137"/>
        <v>0.25</v>
      </c>
      <c r="S1684" s="6">
        <f t="shared" si="138"/>
        <v>4.065040650406504E-2</v>
      </c>
      <c r="T1684" s="6">
        <f t="shared" si="139"/>
        <v>4.7619047619048005E-3</v>
      </c>
    </row>
    <row r="1685" spans="1:20" hidden="1" x14ac:dyDescent="0.25">
      <c r="A1685" s="4" t="s">
        <v>1587</v>
      </c>
      <c r="B1685" s="5" t="s">
        <v>16</v>
      </c>
      <c r="C1685" s="5" t="s">
        <v>1823</v>
      </c>
      <c r="D1685" s="5">
        <v>3.75</v>
      </c>
      <c r="E1685" s="5">
        <v>3.65</v>
      </c>
      <c r="F1685" s="5">
        <v>3.7</v>
      </c>
      <c r="G1685" s="5">
        <v>3.65</v>
      </c>
      <c r="H1685" s="5">
        <v>3.7</v>
      </c>
      <c r="I1685" s="5">
        <v>3.7</v>
      </c>
      <c r="J1685" s="5">
        <v>3.67</v>
      </c>
      <c r="K1685" s="5">
        <v>664</v>
      </c>
      <c r="L1685" s="5">
        <v>0.02</v>
      </c>
      <c r="M1685" s="5">
        <v>5</v>
      </c>
      <c r="N1685" s="5">
        <v>644</v>
      </c>
      <c r="O1685" s="5">
        <v>96.99</v>
      </c>
      <c r="P1685" s="5">
        <f t="shared" si="135"/>
        <v>-4.9999999999999822E-2</v>
      </c>
      <c r="Q1685" s="6">
        <f t="shared" si="136"/>
        <v>-1.3333333333333286E-2</v>
      </c>
      <c r="R1685" s="5">
        <f t="shared" si="137"/>
        <v>5.0000000000000266E-2</v>
      </c>
      <c r="S1685" s="6">
        <f t="shared" si="138"/>
        <v>1.3333333333333404E-2</v>
      </c>
      <c r="T1685" s="6">
        <f t="shared" si="139"/>
        <v>8.1632653061225174E-3</v>
      </c>
    </row>
    <row r="1686" spans="1:20" hidden="1" x14ac:dyDescent="0.25">
      <c r="A1686" s="4" t="s">
        <v>1588</v>
      </c>
      <c r="B1686" s="5" t="s">
        <v>16</v>
      </c>
      <c r="C1686" s="5" t="s">
        <v>1823</v>
      </c>
      <c r="D1686" s="5">
        <v>19.75</v>
      </c>
      <c r="E1686" s="5">
        <v>19.75</v>
      </c>
      <c r="F1686" s="5">
        <v>19.8</v>
      </c>
      <c r="G1686" s="5">
        <v>18.55</v>
      </c>
      <c r="H1686" s="5">
        <v>19.75</v>
      </c>
      <c r="I1686" s="5">
        <v>19.7</v>
      </c>
      <c r="J1686" s="5">
        <v>19.260000000000002</v>
      </c>
      <c r="K1686" s="5">
        <v>2097</v>
      </c>
      <c r="L1686" s="5">
        <v>0.4</v>
      </c>
      <c r="M1686" s="5">
        <v>49</v>
      </c>
      <c r="N1686" s="5">
        <v>1743</v>
      </c>
      <c r="O1686" s="5">
        <v>83.12</v>
      </c>
      <c r="P1686" s="5">
        <f t="shared" si="135"/>
        <v>-5.0000000000000711E-2</v>
      </c>
      <c r="Q1686" s="6">
        <f t="shared" si="136"/>
        <v>-2.5316455696202892E-3</v>
      </c>
      <c r="R1686" s="5">
        <f t="shared" si="137"/>
        <v>1.25</v>
      </c>
      <c r="S1686" s="6">
        <f t="shared" si="138"/>
        <v>6.3291139240506333E-2</v>
      </c>
      <c r="T1686" s="6">
        <f t="shared" si="139"/>
        <v>2.2622107969151557E-2</v>
      </c>
    </row>
    <row r="1687" spans="1:20" x14ac:dyDescent="0.25">
      <c r="A1687" s="4" t="s">
        <v>1110</v>
      </c>
      <c r="B1687" s="5" t="s">
        <v>16</v>
      </c>
      <c r="C1687" s="5" t="s">
        <v>1823</v>
      </c>
      <c r="D1687" s="5">
        <v>799.15</v>
      </c>
      <c r="E1687" s="5">
        <v>805.9</v>
      </c>
      <c r="F1687" s="5">
        <v>819.4</v>
      </c>
      <c r="G1687" s="5">
        <v>778</v>
      </c>
      <c r="H1687" s="5">
        <v>783.7</v>
      </c>
      <c r="I1687" s="5">
        <v>787.9</v>
      </c>
      <c r="J1687" s="5">
        <v>801.02</v>
      </c>
      <c r="K1687" s="5">
        <v>289643</v>
      </c>
      <c r="L1687" s="5">
        <v>2320.1</v>
      </c>
      <c r="M1687" s="5">
        <v>8857</v>
      </c>
      <c r="N1687" s="5">
        <v>210954</v>
      </c>
      <c r="O1687" s="5">
        <v>72.83</v>
      </c>
      <c r="P1687" s="5">
        <f t="shared" si="135"/>
        <v>-11.25</v>
      </c>
      <c r="Q1687" s="6">
        <f t="shared" si="136"/>
        <v>-1.4077457298379529E-2</v>
      </c>
      <c r="R1687" s="5">
        <f t="shared" si="137"/>
        <v>41.399999999999977</v>
      </c>
      <c r="S1687" s="6">
        <f t="shared" si="138"/>
        <v>5.1805042858036637E-2</v>
      </c>
      <c r="T1687" s="6">
        <f t="shared" si="139"/>
        <v>-1.6445224367009278E-2</v>
      </c>
    </row>
    <row r="1688" spans="1:20" hidden="1" x14ac:dyDescent="0.25">
      <c r="A1688" s="4" t="s">
        <v>1590</v>
      </c>
      <c r="B1688" s="5" t="s">
        <v>16</v>
      </c>
      <c r="C1688" s="5" t="s">
        <v>1823</v>
      </c>
      <c r="D1688" s="5">
        <v>29.55</v>
      </c>
      <c r="E1688" s="5">
        <v>30.3</v>
      </c>
      <c r="F1688" s="5">
        <v>30.3</v>
      </c>
      <c r="G1688" s="5">
        <v>28.35</v>
      </c>
      <c r="H1688" s="5">
        <v>29.95</v>
      </c>
      <c r="I1688" s="5">
        <v>30</v>
      </c>
      <c r="J1688" s="5">
        <v>29.42</v>
      </c>
      <c r="K1688" s="5">
        <v>6803</v>
      </c>
      <c r="L1688" s="5">
        <v>2</v>
      </c>
      <c r="M1688" s="5">
        <v>79</v>
      </c>
      <c r="N1688" s="5">
        <v>4833</v>
      </c>
      <c r="O1688" s="5">
        <v>71.040000000000006</v>
      </c>
      <c r="P1688" s="5">
        <f t="shared" si="135"/>
        <v>0.44999999999999929</v>
      </c>
      <c r="Q1688" s="6">
        <f t="shared" si="136"/>
        <v>1.5228426395939063E-2</v>
      </c>
      <c r="R1688" s="5">
        <f t="shared" si="137"/>
        <v>1.9499999999999993</v>
      </c>
      <c r="S1688" s="6">
        <f t="shared" si="138"/>
        <v>6.5989847715736016E-2</v>
      </c>
      <c r="T1688" s="6">
        <f t="shared" si="139"/>
        <v>1.9503993274485019E-2</v>
      </c>
    </row>
    <row r="1689" spans="1:20" hidden="1" x14ac:dyDescent="0.25">
      <c r="A1689" s="4" t="s">
        <v>1591</v>
      </c>
      <c r="B1689" s="5" t="s">
        <v>28</v>
      </c>
      <c r="C1689" s="5" t="s">
        <v>1823</v>
      </c>
      <c r="D1689" s="5">
        <v>18.350000000000001</v>
      </c>
      <c r="E1689" s="5">
        <v>17.8</v>
      </c>
      <c r="F1689" s="5">
        <v>17.850000000000001</v>
      </c>
      <c r="G1689" s="5">
        <v>17.8</v>
      </c>
      <c r="H1689" s="5">
        <v>17.850000000000001</v>
      </c>
      <c r="I1689" s="5">
        <v>17.850000000000001</v>
      </c>
      <c r="J1689" s="5">
        <v>17.829999999999998</v>
      </c>
      <c r="K1689" s="5">
        <v>32000</v>
      </c>
      <c r="L1689" s="5">
        <v>5.7</v>
      </c>
      <c r="M1689" s="5">
        <v>4</v>
      </c>
      <c r="N1689" s="5">
        <v>0</v>
      </c>
      <c r="O1689" s="5">
        <v>0</v>
      </c>
      <c r="P1689" s="5">
        <f t="shared" si="135"/>
        <v>-0.5</v>
      </c>
      <c r="Q1689" s="6">
        <f t="shared" si="136"/>
        <v>-2.7247956403269751E-2</v>
      </c>
      <c r="R1689" s="5">
        <f t="shared" si="137"/>
        <v>5.0000000000000711E-2</v>
      </c>
      <c r="S1689" s="6">
        <f t="shared" si="138"/>
        <v>2.724795640327014E-3</v>
      </c>
      <c r="T1689" s="6">
        <f t="shared" si="139"/>
        <v>1.1220196353437938E-3</v>
      </c>
    </row>
    <row r="1690" spans="1:20" x14ac:dyDescent="0.25">
      <c r="A1690" s="4" t="s">
        <v>987</v>
      </c>
      <c r="B1690" s="5" t="s">
        <v>16</v>
      </c>
      <c r="C1690" s="5" t="s">
        <v>1823</v>
      </c>
      <c r="D1690" s="5">
        <v>59.35</v>
      </c>
      <c r="E1690" s="5">
        <v>60.6</v>
      </c>
      <c r="F1690" s="5">
        <v>60.8</v>
      </c>
      <c r="G1690" s="5">
        <v>56.1</v>
      </c>
      <c r="H1690" s="5">
        <v>56.5</v>
      </c>
      <c r="I1690" s="5">
        <v>56.65</v>
      </c>
      <c r="J1690" s="5">
        <v>58.13</v>
      </c>
      <c r="K1690" s="5">
        <v>118246</v>
      </c>
      <c r="L1690" s="5">
        <v>68.739999999999995</v>
      </c>
      <c r="M1690" s="5">
        <v>1374</v>
      </c>
      <c r="N1690" s="5">
        <v>86156</v>
      </c>
      <c r="O1690" s="5">
        <v>72.86</v>
      </c>
      <c r="P1690" s="5">
        <f t="shared" si="135"/>
        <v>-2.7000000000000028</v>
      </c>
      <c r="Q1690" s="6">
        <f t="shared" si="136"/>
        <v>-4.5492839090143268E-2</v>
      </c>
      <c r="R1690" s="5">
        <f t="shared" si="137"/>
        <v>4.6999999999999957</v>
      </c>
      <c r="S1690" s="6">
        <f t="shared" si="138"/>
        <v>7.9191238416175161E-2</v>
      </c>
      <c r="T1690" s="6">
        <f t="shared" si="139"/>
        <v>-2.528293828742266E-2</v>
      </c>
    </row>
    <row r="1691" spans="1:20" hidden="1" x14ac:dyDescent="0.25">
      <c r="A1691" s="4" t="s">
        <v>1593</v>
      </c>
      <c r="B1691" s="5" t="s">
        <v>16</v>
      </c>
      <c r="C1691" s="5" t="s">
        <v>1823</v>
      </c>
      <c r="D1691" s="5">
        <v>3</v>
      </c>
      <c r="E1691" s="5">
        <v>3</v>
      </c>
      <c r="F1691" s="5">
        <v>3</v>
      </c>
      <c r="G1691" s="5">
        <v>2.9</v>
      </c>
      <c r="H1691" s="5">
        <v>3</v>
      </c>
      <c r="I1691" s="5">
        <v>2.95</v>
      </c>
      <c r="J1691" s="5">
        <v>2.95</v>
      </c>
      <c r="K1691" s="5">
        <v>8244778</v>
      </c>
      <c r="L1691" s="5">
        <v>242.85</v>
      </c>
      <c r="M1691" s="5">
        <v>12441</v>
      </c>
      <c r="N1691" s="5">
        <v>3467433</v>
      </c>
      <c r="O1691" s="5">
        <v>42.06</v>
      </c>
      <c r="P1691" s="5">
        <f t="shared" si="135"/>
        <v>-4.9999999999999822E-2</v>
      </c>
      <c r="Q1691" s="6">
        <f t="shared" si="136"/>
        <v>-1.6666666666666607E-2</v>
      </c>
      <c r="R1691" s="5">
        <f t="shared" si="137"/>
        <v>0.10000000000000009</v>
      </c>
      <c r="S1691" s="6">
        <f t="shared" si="138"/>
        <v>3.3333333333333361E-2</v>
      </c>
      <c r="T1691" s="6">
        <f t="shared" si="139"/>
        <v>0</v>
      </c>
    </row>
    <row r="1692" spans="1:20" hidden="1" x14ac:dyDescent="0.25">
      <c r="A1692" s="4" t="s">
        <v>1594</v>
      </c>
      <c r="B1692" s="5" t="s">
        <v>28</v>
      </c>
      <c r="C1692" s="5" t="s">
        <v>1823</v>
      </c>
      <c r="D1692" s="5">
        <v>116.1</v>
      </c>
      <c r="E1692" s="5">
        <v>114.4</v>
      </c>
      <c r="F1692" s="5">
        <v>114.4</v>
      </c>
      <c r="G1692" s="5">
        <v>114.4</v>
      </c>
      <c r="H1692" s="5">
        <v>114.4</v>
      </c>
      <c r="I1692" s="5">
        <v>114.4</v>
      </c>
      <c r="J1692" s="5">
        <v>114.4</v>
      </c>
      <c r="K1692" s="5">
        <v>3000</v>
      </c>
      <c r="L1692" s="5">
        <v>3.43</v>
      </c>
      <c r="M1692" s="5">
        <v>1</v>
      </c>
      <c r="N1692" s="5">
        <v>3000</v>
      </c>
      <c r="O1692" s="5">
        <v>100</v>
      </c>
      <c r="P1692" s="5">
        <f t="shared" si="135"/>
        <v>-1.6999999999999886</v>
      </c>
      <c r="Q1692" s="6">
        <f t="shared" si="136"/>
        <v>-1.464254952627036E-2</v>
      </c>
      <c r="R1692" s="5">
        <f t="shared" si="137"/>
        <v>0</v>
      </c>
      <c r="S1692" s="6">
        <f t="shared" si="138"/>
        <v>0</v>
      </c>
      <c r="T1692" s="6">
        <f t="shared" si="139"/>
        <v>0</v>
      </c>
    </row>
    <row r="1693" spans="1:20" x14ac:dyDescent="0.25">
      <c r="A1693" s="4" t="s">
        <v>706</v>
      </c>
      <c r="B1693" s="5" t="s">
        <v>16</v>
      </c>
      <c r="C1693" s="5" t="s">
        <v>1823</v>
      </c>
      <c r="D1693" s="5">
        <v>1222.4000000000001</v>
      </c>
      <c r="E1693" s="5">
        <v>1226</v>
      </c>
      <c r="F1693" s="5">
        <v>1227.5</v>
      </c>
      <c r="G1693" s="5">
        <v>1167.9000000000001</v>
      </c>
      <c r="H1693" s="5">
        <v>1169.6500000000001</v>
      </c>
      <c r="I1693" s="5">
        <v>1172.3</v>
      </c>
      <c r="J1693" s="5">
        <v>1190.3800000000001</v>
      </c>
      <c r="K1693" s="5">
        <v>596850</v>
      </c>
      <c r="L1693" s="5">
        <v>7104.78</v>
      </c>
      <c r="M1693" s="5">
        <v>28602</v>
      </c>
      <c r="N1693" s="5">
        <v>436220</v>
      </c>
      <c r="O1693" s="5">
        <v>73.09</v>
      </c>
      <c r="P1693" s="5">
        <f t="shared" si="135"/>
        <v>-50.100000000000136</v>
      </c>
      <c r="Q1693" s="6">
        <f t="shared" si="136"/>
        <v>-4.0984947643979169E-2</v>
      </c>
      <c r="R1693" s="5">
        <f t="shared" si="137"/>
        <v>59.599999999999909</v>
      </c>
      <c r="S1693" s="6">
        <f t="shared" si="138"/>
        <v>4.8756544502617724E-2</v>
      </c>
      <c r="T1693" s="6">
        <f t="shared" si="139"/>
        <v>-1.5086467655464593E-2</v>
      </c>
    </row>
    <row r="1694" spans="1:20" hidden="1" x14ac:dyDescent="0.25">
      <c r="A1694" s="4" t="s">
        <v>1596</v>
      </c>
      <c r="B1694" s="5" t="s">
        <v>16</v>
      </c>
      <c r="C1694" s="5" t="s">
        <v>1823</v>
      </c>
      <c r="D1694" s="5">
        <v>1177.6500000000001</v>
      </c>
      <c r="E1694" s="5">
        <v>1197</v>
      </c>
      <c r="F1694" s="5">
        <v>1197</v>
      </c>
      <c r="G1694" s="5">
        <v>1153.6500000000001</v>
      </c>
      <c r="H1694" s="5">
        <v>1160</v>
      </c>
      <c r="I1694" s="5">
        <v>1160.5999999999999</v>
      </c>
      <c r="J1694" s="5">
        <v>1166.28</v>
      </c>
      <c r="K1694" s="5">
        <v>1199</v>
      </c>
      <c r="L1694" s="5">
        <v>13.98</v>
      </c>
      <c r="M1694" s="5">
        <v>219</v>
      </c>
      <c r="N1694" s="5">
        <v>925</v>
      </c>
      <c r="O1694" s="5">
        <v>77.150000000000006</v>
      </c>
      <c r="P1694" s="5">
        <f t="shared" si="135"/>
        <v>-17.050000000000182</v>
      </c>
      <c r="Q1694" s="6">
        <f t="shared" si="136"/>
        <v>-1.447798581921639E-2</v>
      </c>
      <c r="R1694" s="5">
        <f t="shared" si="137"/>
        <v>43.349999999999909</v>
      </c>
      <c r="S1694" s="6">
        <f t="shared" si="138"/>
        <v>3.681059737613035E-2</v>
      </c>
      <c r="T1694" s="6">
        <f t="shared" si="139"/>
        <v>-4.8255721340201251E-3</v>
      </c>
    </row>
    <row r="1695" spans="1:20" hidden="1" x14ac:dyDescent="0.25">
      <c r="A1695" s="4" t="s">
        <v>1597</v>
      </c>
      <c r="B1695" s="5" t="s">
        <v>16</v>
      </c>
      <c r="C1695" s="5" t="s">
        <v>1823</v>
      </c>
      <c r="D1695" s="5">
        <v>128.75</v>
      </c>
      <c r="E1695" s="5">
        <v>133</v>
      </c>
      <c r="F1695" s="5">
        <v>133</v>
      </c>
      <c r="G1695" s="5">
        <v>123</v>
      </c>
      <c r="H1695" s="5">
        <v>125</v>
      </c>
      <c r="I1695" s="5">
        <v>124</v>
      </c>
      <c r="J1695" s="5">
        <v>124.77</v>
      </c>
      <c r="K1695" s="5">
        <v>4120</v>
      </c>
      <c r="L1695" s="5">
        <v>5.14</v>
      </c>
      <c r="M1695" s="5">
        <v>321</v>
      </c>
      <c r="N1695" s="5">
        <v>3423</v>
      </c>
      <c r="O1695" s="5">
        <v>83.08</v>
      </c>
      <c r="P1695" s="5">
        <f t="shared" si="135"/>
        <v>-4.75</v>
      </c>
      <c r="Q1695" s="6">
        <f t="shared" si="136"/>
        <v>-3.6893203883495145E-2</v>
      </c>
      <c r="R1695" s="5">
        <f t="shared" si="137"/>
        <v>10</v>
      </c>
      <c r="S1695" s="6">
        <f t="shared" si="138"/>
        <v>7.7669902912621352E-2</v>
      </c>
      <c r="T1695" s="6">
        <f t="shared" si="139"/>
        <v>-6.0038986354775522E-3</v>
      </c>
    </row>
    <row r="1696" spans="1:20" x14ac:dyDescent="0.25">
      <c r="A1696" s="4" t="s">
        <v>1027</v>
      </c>
      <c r="B1696" s="5" t="s">
        <v>16</v>
      </c>
      <c r="C1696" s="5" t="s">
        <v>1823</v>
      </c>
      <c r="D1696" s="5">
        <v>58.8</v>
      </c>
      <c r="E1696" s="5">
        <v>59.5</v>
      </c>
      <c r="F1696" s="5">
        <v>60.4</v>
      </c>
      <c r="G1696" s="5">
        <v>54.6</v>
      </c>
      <c r="H1696" s="5">
        <v>58</v>
      </c>
      <c r="I1696" s="5">
        <v>57.5</v>
      </c>
      <c r="J1696" s="5">
        <v>57.63</v>
      </c>
      <c r="K1696" s="5">
        <v>917138</v>
      </c>
      <c r="L1696" s="5">
        <v>528.55999999999995</v>
      </c>
      <c r="M1696" s="5">
        <v>3621</v>
      </c>
      <c r="N1696" s="5">
        <v>676660</v>
      </c>
      <c r="O1696" s="5">
        <v>73.78</v>
      </c>
      <c r="P1696" s="5">
        <f t="shared" si="135"/>
        <v>-1.2999999999999972</v>
      </c>
      <c r="Q1696" s="6">
        <f t="shared" si="136"/>
        <v>-2.2108843537414918E-2</v>
      </c>
      <c r="R1696" s="5">
        <f t="shared" si="137"/>
        <v>5.7999999999999972</v>
      </c>
      <c r="S1696" s="6">
        <f t="shared" si="138"/>
        <v>9.8639455782312882E-2</v>
      </c>
      <c r="T1696" s="6">
        <f t="shared" si="139"/>
        <v>-2.2413793103448717E-3</v>
      </c>
    </row>
    <row r="1697" spans="1:20" hidden="1" x14ac:dyDescent="0.25">
      <c r="A1697" s="4" t="s">
        <v>1599</v>
      </c>
      <c r="B1697" s="5" t="s">
        <v>16</v>
      </c>
      <c r="C1697" s="5" t="s">
        <v>1823</v>
      </c>
      <c r="D1697" s="5">
        <v>1299.2</v>
      </c>
      <c r="E1697" s="5">
        <v>1305</v>
      </c>
      <c r="F1697" s="5">
        <v>1305</v>
      </c>
      <c r="G1697" s="5">
        <v>1273.0999999999999</v>
      </c>
      <c r="H1697" s="5">
        <v>1286.5</v>
      </c>
      <c r="I1697" s="5">
        <v>1286.1500000000001</v>
      </c>
      <c r="J1697" s="5">
        <v>1286.04</v>
      </c>
      <c r="K1697" s="5">
        <v>8219</v>
      </c>
      <c r="L1697" s="5">
        <v>105.7</v>
      </c>
      <c r="M1697" s="5">
        <v>1644</v>
      </c>
      <c r="N1697" s="5">
        <v>6136</v>
      </c>
      <c r="O1697" s="5">
        <v>74.66</v>
      </c>
      <c r="P1697" s="5">
        <f t="shared" si="135"/>
        <v>-13.049999999999955</v>
      </c>
      <c r="Q1697" s="6">
        <f t="shared" si="136"/>
        <v>-1.0044642857142821E-2</v>
      </c>
      <c r="R1697" s="5">
        <f t="shared" si="137"/>
        <v>31.900000000000091</v>
      </c>
      <c r="S1697" s="6">
        <f t="shared" si="138"/>
        <v>2.4553571428571497E-2</v>
      </c>
      <c r="T1697" s="6">
        <f t="shared" si="139"/>
        <v>8.5118730957200618E-5</v>
      </c>
    </row>
    <row r="1698" spans="1:20" hidden="1" x14ac:dyDescent="0.25">
      <c r="A1698" s="4" t="s">
        <v>1600</v>
      </c>
      <c r="B1698" s="5" t="s">
        <v>39</v>
      </c>
      <c r="C1698" s="5" t="s">
        <v>1823</v>
      </c>
      <c r="D1698" s="5">
        <v>1</v>
      </c>
      <c r="E1698" s="5">
        <v>0.95</v>
      </c>
      <c r="F1698" s="5">
        <v>1</v>
      </c>
      <c r="G1698" s="5">
        <v>0.95</v>
      </c>
      <c r="H1698" s="5">
        <v>0.95</v>
      </c>
      <c r="I1698" s="5">
        <v>0.95</v>
      </c>
      <c r="J1698" s="5">
        <v>0.96</v>
      </c>
      <c r="K1698" s="5">
        <v>2437</v>
      </c>
      <c r="L1698" s="5">
        <v>0.02</v>
      </c>
      <c r="M1698" s="5">
        <v>11</v>
      </c>
      <c r="N1698" s="5" t="s">
        <v>25</v>
      </c>
      <c r="O1698" s="5" t="s">
        <v>25</v>
      </c>
      <c r="P1698" s="5">
        <f t="shared" si="135"/>
        <v>-5.0000000000000044E-2</v>
      </c>
      <c r="Q1698" s="6">
        <f t="shared" si="136"/>
        <v>-5.0000000000000044E-2</v>
      </c>
      <c r="R1698" s="5">
        <f t="shared" si="137"/>
        <v>5.0000000000000044E-2</v>
      </c>
      <c r="S1698" s="6">
        <f t="shared" si="138"/>
        <v>5.0000000000000044E-2</v>
      </c>
      <c r="T1698" s="6">
        <f t="shared" si="139"/>
        <v>-1.03896103896104E-2</v>
      </c>
    </row>
    <row r="1699" spans="1:20" x14ac:dyDescent="0.25">
      <c r="A1699" s="4" t="s">
        <v>821</v>
      </c>
      <c r="B1699" s="5" t="s">
        <v>16</v>
      </c>
      <c r="C1699" s="5" t="s">
        <v>1823</v>
      </c>
      <c r="D1699" s="5">
        <v>373.75</v>
      </c>
      <c r="E1699" s="5">
        <v>372</v>
      </c>
      <c r="F1699" s="5">
        <v>376.6</v>
      </c>
      <c r="G1699" s="5">
        <v>353.1</v>
      </c>
      <c r="H1699" s="5">
        <v>357.05</v>
      </c>
      <c r="I1699" s="5">
        <v>358.95</v>
      </c>
      <c r="J1699" s="5">
        <v>367.07</v>
      </c>
      <c r="K1699" s="5">
        <v>127394</v>
      </c>
      <c r="L1699" s="5">
        <v>467.62</v>
      </c>
      <c r="M1699" s="5">
        <v>3152</v>
      </c>
      <c r="N1699" s="5">
        <v>94080</v>
      </c>
      <c r="O1699" s="5">
        <v>73.849999999999994</v>
      </c>
      <c r="P1699" s="5">
        <f t="shared" si="135"/>
        <v>-14.800000000000011</v>
      </c>
      <c r="Q1699" s="6">
        <f t="shared" si="136"/>
        <v>-3.9598662207357888E-2</v>
      </c>
      <c r="R1699" s="5">
        <f t="shared" si="137"/>
        <v>23.5</v>
      </c>
      <c r="S1699" s="6">
        <f t="shared" si="138"/>
        <v>6.2876254180602012E-2</v>
      </c>
      <c r="T1699" s="6">
        <f t="shared" si="139"/>
        <v>-2.2236675452709423E-2</v>
      </c>
    </row>
    <row r="1700" spans="1:20" hidden="1" x14ac:dyDescent="0.25">
      <c r="A1700" s="4" t="s">
        <v>1602</v>
      </c>
      <c r="B1700" s="5" t="s">
        <v>16</v>
      </c>
      <c r="C1700" s="5" t="s">
        <v>1823</v>
      </c>
      <c r="D1700" s="5">
        <v>313.35000000000002</v>
      </c>
      <c r="E1700" s="5">
        <v>315.5</v>
      </c>
      <c r="F1700" s="5">
        <v>315.5</v>
      </c>
      <c r="G1700" s="5">
        <v>308</v>
      </c>
      <c r="H1700" s="5">
        <v>309.8</v>
      </c>
      <c r="I1700" s="5">
        <v>310.05</v>
      </c>
      <c r="J1700" s="5">
        <v>309.3</v>
      </c>
      <c r="K1700" s="5">
        <v>90797</v>
      </c>
      <c r="L1700" s="5">
        <v>280.83</v>
      </c>
      <c r="M1700" s="5">
        <v>3303</v>
      </c>
      <c r="N1700" s="5">
        <v>76515</v>
      </c>
      <c r="O1700" s="5">
        <v>84.27</v>
      </c>
      <c r="P1700" s="5">
        <f t="shared" si="135"/>
        <v>-3.3000000000000114</v>
      </c>
      <c r="Q1700" s="6">
        <f t="shared" si="136"/>
        <v>-1.0531354715174759E-2</v>
      </c>
      <c r="R1700" s="5">
        <f t="shared" si="137"/>
        <v>7.5</v>
      </c>
      <c r="S1700" s="6">
        <f t="shared" si="138"/>
        <v>2.3934897079942556E-2</v>
      </c>
      <c r="T1700" s="6">
        <f t="shared" si="139"/>
        <v>2.401825387294344E-3</v>
      </c>
    </row>
    <row r="1701" spans="1:20" hidden="1" x14ac:dyDescent="0.25">
      <c r="A1701" s="4" t="s">
        <v>1603</v>
      </c>
      <c r="B1701" s="5" t="s">
        <v>16</v>
      </c>
      <c r="C1701" s="5" t="s">
        <v>1823</v>
      </c>
      <c r="D1701" s="5">
        <v>54.5</v>
      </c>
      <c r="E1701" s="5">
        <v>53</v>
      </c>
      <c r="F1701" s="5">
        <v>53</v>
      </c>
      <c r="G1701" s="5">
        <v>50.7</v>
      </c>
      <c r="H1701" s="5">
        <v>50.7</v>
      </c>
      <c r="I1701" s="5">
        <v>50.75</v>
      </c>
      <c r="J1701" s="5">
        <v>52.32</v>
      </c>
      <c r="K1701" s="5">
        <v>973</v>
      </c>
      <c r="L1701" s="5">
        <v>0.51</v>
      </c>
      <c r="M1701" s="5">
        <v>35</v>
      </c>
      <c r="N1701" s="5">
        <v>750</v>
      </c>
      <c r="O1701" s="5">
        <v>77.08</v>
      </c>
      <c r="P1701" s="5">
        <f t="shared" si="135"/>
        <v>-3.75</v>
      </c>
      <c r="Q1701" s="6">
        <f t="shared" si="136"/>
        <v>-6.8807339449541288E-2</v>
      </c>
      <c r="R1701" s="5">
        <f t="shared" si="137"/>
        <v>2.2999999999999972</v>
      </c>
      <c r="S1701" s="6">
        <f t="shared" si="138"/>
        <v>4.2201834862385268E-2</v>
      </c>
      <c r="T1701" s="6">
        <f t="shared" si="139"/>
        <v>-3.0272354784285378E-2</v>
      </c>
    </row>
    <row r="1702" spans="1:20" x14ac:dyDescent="0.25">
      <c r="A1702" s="4" t="s">
        <v>835</v>
      </c>
      <c r="B1702" s="5" t="s">
        <v>16</v>
      </c>
      <c r="C1702" s="5" t="s">
        <v>1823</v>
      </c>
      <c r="D1702" s="5">
        <v>22.95</v>
      </c>
      <c r="E1702" s="5">
        <v>22.8</v>
      </c>
      <c r="F1702" s="5">
        <v>22.9</v>
      </c>
      <c r="G1702" s="5">
        <v>21.1</v>
      </c>
      <c r="H1702" s="5">
        <v>21.75</v>
      </c>
      <c r="I1702" s="5">
        <v>21.35</v>
      </c>
      <c r="J1702" s="5">
        <v>21.89</v>
      </c>
      <c r="K1702" s="5">
        <v>1454421</v>
      </c>
      <c r="L1702" s="5">
        <v>318.32</v>
      </c>
      <c r="M1702" s="5">
        <v>5986</v>
      </c>
      <c r="N1702" s="5">
        <v>1078533</v>
      </c>
      <c r="O1702" s="5">
        <v>74.16</v>
      </c>
      <c r="P1702" s="5">
        <f t="shared" si="135"/>
        <v>-1.5999999999999979</v>
      </c>
      <c r="Q1702" s="6">
        <f t="shared" si="136"/>
        <v>-6.971677559912845E-2</v>
      </c>
      <c r="R1702" s="5">
        <f t="shared" si="137"/>
        <v>1.7999999999999972</v>
      </c>
      <c r="S1702" s="6">
        <f t="shared" si="138"/>
        <v>7.8431372549019482E-2</v>
      </c>
      <c r="T1702" s="6">
        <f t="shared" si="139"/>
        <v>-2.4503686897334051E-2</v>
      </c>
    </row>
    <row r="1703" spans="1:20" x14ac:dyDescent="0.25">
      <c r="A1703" s="4" t="s">
        <v>1719</v>
      </c>
      <c r="B1703" s="5" t="s">
        <v>16</v>
      </c>
      <c r="C1703" s="5" t="s">
        <v>1823</v>
      </c>
      <c r="D1703" s="5">
        <v>25.25</v>
      </c>
      <c r="E1703" s="5">
        <v>24.7</v>
      </c>
      <c r="F1703" s="5">
        <v>25.6</v>
      </c>
      <c r="G1703" s="5">
        <v>24.7</v>
      </c>
      <c r="H1703" s="5">
        <v>25</v>
      </c>
      <c r="I1703" s="5">
        <v>25</v>
      </c>
      <c r="J1703" s="5">
        <v>25.18</v>
      </c>
      <c r="K1703" s="5">
        <v>1466690</v>
      </c>
      <c r="L1703" s="5">
        <v>369.33</v>
      </c>
      <c r="M1703" s="5">
        <v>1909</v>
      </c>
      <c r="N1703" s="5">
        <v>1092480</v>
      </c>
      <c r="O1703" s="5">
        <v>74.489999999999995</v>
      </c>
      <c r="P1703" s="5">
        <f t="shared" si="135"/>
        <v>-0.25</v>
      </c>
      <c r="Q1703" s="6">
        <f t="shared" si="136"/>
        <v>-9.9009900990099011E-3</v>
      </c>
      <c r="R1703" s="5">
        <f t="shared" si="137"/>
        <v>0.90000000000000213</v>
      </c>
      <c r="S1703" s="6">
        <f t="shared" si="138"/>
        <v>3.5643564356435731E-2</v>
      </c>
      <c r="T1703" s="6">
        <f t="shared" si="139"/>
        <v>-7.1999999999999885E-3</v>
      </c>
    </row>
    <row r="1704" spans="1:20" hidden="1" x14ac:dyDescent="0.25">
      <c r="A1704" s="4" t="s">
        <v>1606</v>
      </c>
      <c r="B1704" s="5" t="s">
        <v>16</v>
      </c>
      <c r="C1704" s="5" t="s">
        <v>1823</v>
      </c>
      <c r="D1704" s="5">
        <v>117.25</v>
      </c>
      <c r="E1704" s="5">
        <v>116</v>
      </c>
      <c r="F1704" s="5">
        <v>116.55</v>
      </c>
      <c r="G1704" s="5">
        <v>113</v>
      </c>
      <c r="H1704" s="5">
        <v>113.2</v>
      </c>
      <c r="I1704" s="5">
        <v>114.55</v>
      </c>
      <c r="J1704" s="5">
        <v>115.43</v>
      </c>
      <c r="K1704" s="5">
        <v>4166</v>
      </c>
      <c r="L1704" s="5">
        <v>4.8099999999999996</v>
      </c>
      <c r="M1704" s="5">
        <v>375</v>
      </c>
      <c r="N1704" s="5">
        <v>2558</v>
      </c>
      <c r="O1704" s="5">
        <v>61.4</v>
      </c>
      <c r="P1704" s="5">
        <f t="shared" si="135"/>
        <v>-2.7000000000000028</v>
      </c>
      <c r="Q1704" s="6">
        <f t="shared" si="136"/>
        <v>-2.3027718550106633E-2</v>
      </c>
      <c r="R1704" s="5">
        <f t="shared" si="137"/>
        <v>3.5499999999999972</v>
      </c>
      <c r="S1704" s="6">
        <f t="shared" si="138"/>
        <v>3.0277185501066072E-2</v>
      </c>
      <c r="T1704" s="6">
        <f t="shared" si="139"/>
        <v>-7.6505107585308381E-3</v>
      </c>
    </row>
    <row r="1705" spans="1:20" hidden="1" x14ac:dyDescent="0.25">
      <c r="A1705" s="4" t="s">
        <v>1607</v>
      </c>
      <c r="B1705" s="5" t="s">
        <v>16</v>
      </c>
      <c r="C1705" s="5" t="s">
        <v>1823</v>
      </c>
      <c r="D1705" s="5">
        <v>4.25</v>
      </c>
      <c r="E1705" s="5">
        <v>4.4000000000000004</v>
      </c>
      <c r="F1705" s="5">
        <v>4.45</v>
      </c>
      <c r="G1705" s="5">
        <v>4.05</v>
      </c>
      <c r="H1705" s="5">
        <v>4.05</v>
      </c>
      <c r="I1705" s="5">
        <v>4.05</v>
      </c>
      <c r="J1705" s="5">
        <v>4.0999999999999996</v>
      </c>
      <c r="K1705" s="5">
        <v>45585</v>
      </c>
      <c r="L1705" s="5">
        <v>1.87</v>
      </c>
      <c r="M1705" s="5">
        <v>118</v>
      </c>
      <c r="N1705" s="5">
        <v>41859</v>
      </c>
      <c r="O1705" s="5">
        <v>91.83</v>
      </c>
      <c r="P1705" s="5">
        <f t="shared" si="135"/>
        <v>-0.20000000000000018</v>
      </c>
      <c r="Q1705" s="6">
        <f t="shared" si="136"/>
        <v>-4.7058823529411806E-2</v>
      </c>
      <c r="R1705" s="5">
        <f t="shared" si="137"/>
        <v>0.40000000000000036</v>
      </c>
      <c r="S1705" s="6">
        <f t="shared" si="138"/>
        <v>9.4117647058823611E-2</v>
      </c>
      <c r="T1705" s="6">
        <f t="shared" si="139"/>
        <v>-1.1799410029498482E-2</v>
      </c>
    </row>
    <row r="1706" spans="1:20" hidden="1" x14ac:dyDescent="0.25">
      <c r="A1706" s="4" t="s">
        <v>1608</v>
      </c>
      <c r="B1706" s="5" t="s">
        <v>16</v>
      </c>
      <c r="C1706" s="5" t="s">
        <v>1823</v>
      </c>
      <c r="D1706" s="5">
        <v>6.9</v>
      </c>
      <c r="E1706" s="5">
        <v>6.6</v>
      </c>
      <c r="F1706" s="5">
        <v>6.9</v>
      </c>
      <c r="G1706" s="5">
        <v>6.6</v>
      </c>
      <c r="H1706" s="5">
        <v>6.6</v>
      </c>
      <c r="I1706" s="5">
        <v>6.6</v>
      </c>
      <c r="J1706" s="5">
        <v>6.6</v>
      </c>
      <c r="K1706" s="5">
        <v>117090</v>
      </c>
      <c r="L1706" s="5">
        <v>7.73</v>
      </c>
      <c r="M1706" s="5">
        <v>166</v>
      </c>
      <c r="N1706" s="5">
        <v>109256</v>
      </c>
      <c r="O1706" s="5">
        <v>93.31</v>
      </c>
      <c r="P1706" s="5">
        <f t="shared" si="135"/>
        <v>-0.30000000000000071</v>
      </c>
      <c r="Q1706" s="6">
        <f t="shared" si="136"/>
        <v>-4.347826086956532E-2</v>
      </c>
      <c r="R1706" s="5">
        <f t="shared" si="137"/>
        <v>0.30000000000000071</v>
      </c>
      <c r="S1706" s="6">
        <f t="shared" si="138"/>
        <v>4.347826086956532E-2</v>
      </c>
      <c r="T1706" s="6">
        <f t="shared" si="139"/>
        <v>0</v>
      </c>
    </row>
    <row r="1707" spans="1:20" x14ac:dyDescent="0.25">
      <c r="A1707" s="4" t="s">
        <v>135</v>
      </c>
      <c r="B1707" s="5" t="s">
        <v>16</v>
      </c>
      <c r="C1707" s="5" t="s">
        <v>1823</v>
      </c>
      <c r="D1707" s="5">
        <v>23.15</v>
      </c>
      <c r="E1707" s="5">
        <v>23.95</v>
      </c>
      <c r="F1707" s="5">
        <v>23.95</v>
      </c>
      <c r="G1707" s="5">
        <v>20.85</v>
      </c>
      <c r="H1707" s="5">
        <v>21.45</v>
      </c>
      <c r="I1707" s="5">
        <v>21.15</v>
      </c>
      <c r="J1707" s="5">
        <v>21.45</v>
      </c>
      <c r="K1707" s="5">
        <v>100790</v>
      </c>
      <c r="L1707" s="5">
        <v>21.62</v>
      </c>
      <c r="M1707" s="5">
        <v>480</v>
      </c>
      <c r="N1707" s="5">
        <v>75182</v>
      </c>
      <c r="O1707" s="5">
        <v>74.59</v>
      </c>
      <c r="P1707" s="5">
        <f t="shared" si="135"/>
        <v>-2</v>
      </c>
      <c r="Q1707" s="6">
        <f t="shared" si="136"/>
        <v>-8.6393088552915775E-2</v>
      </c>
      <c r="R1707" s="5">
        <f t="shared" si="137"/>
        <v>3.0999999999999979</v>
      </c>
      <c r="S1707" s="6">
        <f t="shared" si="138"/>
        <v>0.13390928725701937</v>
      </c>
      <c r="T1707" s="6">
        <f t="shared" si="139"/>
        <v>-1.3348164627363768E-2</v>
      </c>
    </row>
    <row r="1708" spans="1:20" hidden="1" x14ac:dyDescent="0.25">
      <c r="A1708" s="4" t="s">
        <v>1610</v>
      </c>
      <c r="B1708" s="5" t="s">
        <v>39</v>
      </c>
      <c r="C1708" s="5" t="s">
        <v>1823</v>
      </c>
      <c r="D1708" s="5">
        <v>1.6</v>
      </c>
      <c r="E1708" s="5">
        <v>1.55</v>
      </c>
      <c r="F1708" s="5">
        <v>1.65</v>
      </c>
      <c r="G1708" s="5">
        <v>1.55</v>
      </c>
      <c r="H1708" s="5">
        <v>1.55</v>
      </c>
      <c r="I1708" s="5">
        <v>1.55</v>
      </c>
      <c r="J1708" s="5">
        <v>1.58</v>
      </c>
      <c r="K1708" s="5">
        <v>2607</v>
      </c>
      <c r="L1708" s="5">
        <v>0.04</v>
      </c>
      <c r="M1708" s="5">
        <v>15</v>
      </c>
      <c r="N1708" s="5" t="s">
        <v>25</v>
      </c>
      <c r="O1708" s="5" t="s">
        <v>25</v>
      </c>
      <c r="P1708" s="5">
        <f t="shared" si="135"/>
        <v>-5.0000000000000044E-2</v>
      </c>
      <c r="Q1708" s="6">
        <f t="shared" si="136"/>
        <v>-3.1250000000000028E-2</v>
      </c>
      <c r="R1708" s="5">
        <f t="shared" si="137"/>
        <v>9.9999999999999867E-2</v>
      </c>
      <c r="S1708" s="6">
        <f t="shared" si="138"/>
        <v>6.2499999999999917E-2</v>
      </c>
      <c r="T1708" s="6">
        <f t="shared" si="139"/>
        <v>-1.9047619047619067E-2</v>
      </c>
    </row>
    <row r="1709" spans="1:20" hidden="1" x14ac:dyDescent="0.25">
      <c r="A1709" s="4" t="s">
        <v>1611</v>
      </c>
      <c r="B1709" s="5" t="s">
        <v>39</v>
      </c>
      <c r="C1709" s="5" t="s">
        <v>1823</v>
      </c>
      <c r="D1709" s="5">
        <v>5.55</v>
      </c>
      <c r="E1709" s="5">
        <v>5.55</v>
      </c>
      <c r="F1709" s="5">
        <v>5.55</v>
      </c>
      <c r="G1709" s="5">
        <v>5.45</v>
      </c>
      <c r="H1709" s="5">
        <v>5.45</v>
      </c>
      <c r="I1709" s="5">
        <v>5.45</v>
      </c>
      <c r="J1709" s="5">
        <v>5.46</v>
      </c>
      <c r="K1709" s="5">
        <v>1000</v>
      </c>
      <c r="L1709" s="5">
        <v>0.05</v>
      </c>
      <c r="M1709" s="5">
        <v>2</v>
      </c>
      <c r="N1709" s="5" t="s">
        <v>25</v>
      </c>
      <c r="O1709" s="5" t="s">
        <v>25</v>
      </c>
      <c r="P1709" s="5">
        <f t="shared" si="135"/>
        <v>-9.9999999999999645E-2</v>
      </c>
      <c r="Q1709" s="6">
        <f t="shared" si="136"/>
        <v>-1.8018018018017955E-2</v>
      </c>
      <c r="R1709" s="5">
        <f t="shared" si="137"/>
        <v>9.9999999999999645E-2</v>
      </c>
      <c r="S1709" s="6">
        <f t="shared" si="138"/>
        <v>1.8018018018017955E-2</v>
      </c>
      <c r="T1709" s="6">
        <f t="shared" si="139"/>
        <v>-1.8181818181817794E-3</v>
      </c>
    </row>
    <row r="1710" spans="1:20" hidden="1" x14ac:dyDescent="0.25">
      <c r="A1710" s="4" t="s">
        <v>1612</v>
      </c>
      <c r="B1710" s="5" t="s">
        <v>39</v>
      </c>
      <c r="C1710" s="5" t="s">
        <v>1823</v>
      </c>
      <c r="D1710" s="5">
        <v>26.3</v>
      </c>
      <c r="E1710" s="5">
        <v>27.55</v>
      </c>
      <c r="F1710" s="5">
        <v>27.6</v>
      </c>
      <c r="G1710" s="5">
        <v>25.25</v>
      </c>
      <c r="H1710" s="5">
        <v>25.55</v>
      </c>
      <c r="I1710" s="5">
        <v>25.55</v>
      </c>
      <c r="J1710" s="5">
        <v>26.55</v>
      </c>
      <c r="K1710" s="5">
        <v>2331</v>
      </c>
      <c r="L1710" s="5">
        <v>0.62</v>
      </c>
      <c r="M1710" s="5">
        <v>34</v>
      </c>
      <c r="N1710" s="5" t="s">
        <v>25</v>
      </c>
      <c r="O1710" s="5" t="s">
        <v>25</v>
      </c>
      <c r="P1710" s="5">
        <f t="shared" si="135"/>
        <v>-0.75</v>
      </c>
      <c r="Q1710" s="6">
        <f t="shared" si="136"/>
        <v>-2.8517110266159697E-2</v>
      </c>
      <c r="R1710" s="5">
        <f t="shared" si="137"/>
        <v>2.3500000000000014</v>
      </c>
      <c r="S1710" s="6">
        <f t="shared" si="138"/>
        <v>8.9353612167300436E-2</v>
      </c>
      <c r="T1710" s="6">
        <f t="shared" si="139"/>
        <v>-3.7753657385559226E-2</v>
      </c>
    </row>
    <row r="1711" spans="1:20" hidden="1" x14ac:dyDescent="0.25">
      <c r="A1711" s="4" t="s">
        <v>1613</v>
      </c>
      <c r="B1711" s="5" t="s">
        <v>16</v>
      </c>
      <c r="C1711" s="5" t="s">
        <v>1823</v>
      </c>
      <c r="D1711" s="5">
        <v>9599.65</v>
      </c>
      <c r="E1711" s="5">
        <v>9498.1</v>
      </c>
      <c r="F1711" s="5">
        <v>9498.1</v>
      </c>
      <c r="G1711" s="5">
        <v>9300</v>
      </c>
      <c r="H1711" s="5">
        <v>9400.0499999999993</v>
      </c>
      <c r="I1711" s="5">
        <v>9387.2999999999993</v>
      </c>
      <c r="J1711" s="5">
        <v>9367.35</v>
      </c>
      <c r="K1711" s="5">
        <v>191</v>
      </c>
      <c r="L1711" s="5">
        <v>17.89</v>
      </c>
      <c r="M1711" s="5">
        <v>87</v>
      </c>
      <c r="N1711" s="5">
        <v>139</v>
      </c>
      <c r="O1711" s="5">
        <v>72.77</v>
      </c>
      <c r="P1711" s="5">
        <f t="shared" si="135"/>
        <v>-212.35000000000036</v>
      </c>
      <c r="Q1711" s="6">
        <f t="shared" si="136"/>
        <v>-2.2120598146807474E-2</v>
      </c>
      <c r="R1711" s="5">
        <f t="shared" si="137"/>
        <v>198.10000000000036</v>
      </c>
      <c r="S1711" s="6">
        <f t="shared" si="138"/>
        <v>2.0636169026995815E-2</v>
      </c>
      <c r="T1711" s="6">
        <f t="shared" si="139"/>
        <v>2.1176376928893452E-3</v>
      </c>
    </row>
    <row r="1712" spans="1:20" hidden="1" x14ac:dyDescent="0.25">
      <c r="A1712" s="4" t="s">
        <v>1614</v>
      </c>
      <c r="B1712" s="5" t="s">
        <v>16</v>
      </c>
      <c r="C1712" s="5" t="s">
        <v>1823</v>
      </c>
      <c r="D1712" s="5">
        <v>607.15</v>
      </c>
      <c r="E1712" s="5">
        <v>603.79999999999995</v>
      </c>
      <c r="F1712" s="5">
        <v>606.45000000000005</v>
      </c>
      <c r="G1712" s="5">
        <v>592.04999999999995</v>
      </c>
      <c r="H1712" s="5">
        <v>601.15</v>
      </c>
      <c r="I1712" s="5">
        <v>601.15</v>
      </c>
      <c r="J1712" s="5">
        <v>599.76</v>
      </c>
      <c r="K1712" s="5">
        <v>459163</v>
      </c>
      <c r="L1712" s="5">
        <v>2753.88</v>
      </c>
      <c r="M1712" s="5">
        <v>9803</v>
      </c>
      <c r="N1712" s="5">
        <v>199658</v>
      </c>
      <c r="O1712" s="5">
        <v>43.48</v>
      </c>
      <c r="P1712" s="5">
        <f t="shared" si="135"/>
        <v>-6</v>
      </c>
      <c r="Q1712" s="6">
        <f t="shared" si="136"/>
        <v>-9.8822366795684752E-3</v>
      </c>
      <c r="R1712" s="5">
        <f t="shared" si="137"/>
        <v>14.400000000000091</v>
      </c>
      <c r="S1712" s="6">
        <f t="shared" si="138"/>
        <v>2.3717368030964494E-2</v>
      </c>
      <c r="T1712" s="6">
        <f t="shared" si="139"/>
        <v>2.3133412386361048E-3</v>
      </c>
    </row>
    <row r="1713" spans="1:20" hidden="1" x14ac:dyDescent="0.25">
      <c r="A1713" s="4" t="s">
        <v>1615</v>
      </c>
      <c r="B1713" s="5" t="s">
        <v>16</v>
      </c>
      <c r="C1713" s="5" t="s">
        <v>1823</v>
      </c>
      <c r="D1713" s="5">
        <v>81.75</v>
      </c>
      <c r="E1713" s="5">
        <v>81.599999999999994</v>
      </c>
      <c r="F1713" s="5">
        <v>81.849999999999994</v>
      </c>
      <c r="G1713" s="5">
        <v>79.7</v>
      </c>
      <c r="H1713" s="5">
        <v>80.75</v>
      </c>
      <c r="I1713" s="5">
        <v>81.05</v>
      </c>
      <c r="J1713" s="5">
        <v>80.7</v>
      </c>
      <c r="K1713" s="5">
        <v>204280</v>
      </c>
      <c r="L1713" s="5">
        <v>164.85</v>
      </c>
      <c r="M1713" s="5">
        <v>2579</v>
      </c>
      <c r="N1713" s="5">
        <v>68092</v>
      </c>
      <c r="O1713" s="5">
        <v>33.33</v>
      </c>
      <c r="P1713" s="5">
        <f t="shared" si="135"/>
        <v>-0.70000000000000284</v>
      </c>
      <c r="Q1713" s="6">
        <f t="shared" si="136"/>
        <v>-8.5626911314985055E-3</v>
      </c>
      <c r="R1713" s="5">
        <f t="shared" si="137"/>
        <v>2.1499999999999915</v>
      </c>
      <c r="S1713" s="6">
        <f t="shared" si="138"/>
        <v>2.6299694189602343E-2</v>
      </c>
      <c r="T1713" s="6">
        <f t="shared" si="139"/>
        <v>4.3183220234422493E-3</v>
      </c>
    </row>
    <row r="1714" spans="1:20" hidden="1" x14ac:dyDescent="0.25">
      <c r="A1714" s="4" t="s">
        <v>1616</v>
      </c>
      <c r="B1714" s="5" t="s">
        <v>39</v>
      </c>
      <c r="C1714" s="5" t="s">
        <v>1823</v>
      </c>
      <c r="D1714" s="5">
        <v>355.05</v>
      </c>
      <c r="E1714" s="5">
        <v>372.8</v>
      </c>
      <c r="F1714" s="5">
        <v>372.8</v>
      </c>
      <c r="G1714" s="5">
        <v>372.8</v>
      </c>
      <c r="H1714" s="5">
        <v>372.8</v>
      </c>
      <c r="I1714" s="5">
        <v>372.8</v>
      </c>
      <c r="J1714" s="5">
        <v>372.8</v>
      </c>
      <c r="K1714" s="5">
        <v>11947</v>
      </c>
      <c r="L1714" s="5">
        <v>44.54</v>
      </c>
      <c r="M1714" s="5">
        <v>96</v>
      </c>
      <c r="N1714" s="5" t="s">
        <v>25</v>
      </c>
      <c r="O1714" s="5" t="s">
        <v>25</v>
      </c>
      <c r="P1714" s="5">
        <f t="shared" si="135"/>
        <v>17.75</v>
      </c>
      <c r="Q1714" s="6">
        <f t="shared" si="136"/>
        <v>4.9992958738205882E-2</v>
      </c>
      <c r="R1714" s="5">
        <f t="shared" si="137"/>
        <v>0</v>
      </c>
      <c r="S1714" s="6">
        <f t="shared" si="138"/>
        <v>0</v>
      </c>
      <c r="T1714" s="6">
        <f t="shared" si="139"/>
        <v>0</v>
      </c>
    </row>
    <row r="1715" spans="1:20" x14ac:dyDescent="0.25">
      <c r="A1715" s="4" t="s">
        <v>104</v>
      </c>
      <c r="B1715" s="5" t="s">
        <v>16</v>
      </c>
      <c r="C1715" s="5" t="s">
        <v>1823</v>
      </c>
      <c r="D1715" s="5">
        <v>34.049999999999997</v>
      </c>
      <c r="E1715" s="5">
        <v>34.200000000000003</v>
      </c>
      <c r="F1715" s="5">
        <v>35.85</v>
      </c>
      <c r="G1715" s="5">
        <v>33.6</v>
      </c>
      <c r="H1715" s="5">
        <v>35.85</v>
      </c>
      <c r="I1715" s="5">
        <v>35.25</v>
      </c>
      <c r="J1715" s="5">
        <v>34.74</v>
      </c>
      <c r="K1715" s="5">
        <v>226328</v>
      </c>
      <c r="L1715" s="5">
        <v>78.63</v>
      </c>
      <c r="M1715" s="5">
        <v>917</v>
      </c>
      <c r="N1715" s="5">
        <v>169291</v>
      </c>
      <c r="O1715" s="5">
        <v>74.8</v>
      </c>
      <c r="P1715" s="5">
        <f t="shared" si="135"/>
        <v>1.2000000000000028</v>
      </c>
      <c r="Q1715" s="6">
        <f t="shared" si="136"/>
        <v>3.5242290748898765E-2</v>
      </c>
      <c r="R1715" s="5">
        <f t="shared" si="137"/>
        <v>2.25</v>
      </c>
      <c r="S1715" s="6">
        <f t="shared" si="138"/>
        <v>6.6079295154185022E-2</v>
      </c>
      <c r="T1715" s="6">
        <f t="shared" si="139"/>
        <v>1.4686825053995623E-2</v>
      </c>
    </row>
    <row r="1716" spans="1:20" x14ac:dyDescent="0.25">
      <c r="A1716" s="4" t="s">
        <v>839</v>
      </c>
      <c r="B1716" s="5" t="s">
        <v>16</v>
      </c>
      <c r="C1716" s="5" t="s">
        <v>1823</v>
      </c>
      <c r="D1716" s="5">
        <v>139.85</v>
      </c>
      <c r="E1716" s="5">
        <v>137.25</v>
      </c>
      <c r="F1716" s="5">
        <v>139</v>
      </c>
      <c r="G1716" s="5">
        <v>133.30000000000001</v>
      </c>
      <c r="H1716" s="5">
        <v>133.4</v>
      </c>
      <c r="I1716" s="5">
        <v>134.6</v>
      </c>
      <c r="J1716" s="5">
        <v>136.16</v>
      </c>
      <c r="K1716" s="5">
        <v>389984</v>
      </c>
      <c r="L1716" s="5">
        <v>530.99</v>
      </c>
      <c r="M1716" s="5">
        <v>3865</v>
      </c>
      <c r="N1716" s="5">
        <v>292481</v>
      </c>
      <c r="O1716" s="5">
        <v>75</v>
      </c>
      <c r="P1716" s="5">
        <f t="shared" si="135"/>
        <v>-5.25</v>
      </c>
      <c r="Q1716" s="6">
        <f t="shared" si="136"/>
        <v>-3.7540221666070794E-2</v>
      </c>
      <c r="R1716" s="5">
        <f t="shared" si="137"/>
        <v>5.6999999999999886</v>
      </c>
      <c r="S1716" s="6">
        <f t="shared" si="138"/>
        <v>4.075795495173392E-2</v>
      </c>
      <c r="T1716" s="6">
        <f t="shared" si="139"/>
        <v>-1.1467426261141247E-2</v>
      </c>
    </row>
    <row r="1717" spans="1:20" hidden="1" x14ac:dyDescent="0.25">
      <c r="A1717" s="4" t="s">
        <v>1619</v>
      </c>
      <c r="B1717" s="5" t="s">
        <v>16</v>
      </c>
      <c r="C1717" s="5" t="s">
        <v>1823</v>
      </c>
      <c r="D1717" s="5">
        <v>837.8</v>
      </c>
      <c r="E1717" s="5">
        <v>835.35</v>
      </c>
      <c r="F1717" s="5">
        <v>836.45</v>
      </c>
      <c r="G1717" s="5">
        <v>827.35</v>
      </c>
      <c r="H1717" s="5">
        <v>830</v>
      </c>
      <c r="I1717" s="5">
        <v>830.25</v>
      </c>
      <c r="J1717" s="5">
        <v>830.64</v>
      </c>
      <c r="K1717" s="5">
        <v>6943</v>
      </c>
      <c r="L1717" s="5">
        <v>57.67</v>
      </c>
      <c r="M1717" s="5">
        <v>398</v>
      </c>
      <c r="N1717" s="5">
        <v>4317</v>
      </c>
      <c r="O1717" s="5">
        <v>62.18</v>
      </c>
      <c r="P1717" s="5">
        <f t="shared" si="135"/>
        <v>-7.5499999999999545</v>
      </c>
      <c r="Q1717" s="6">
        <f t="shared" si="136"/>
        <v>-9.0116973024587672E-3</v>
      </c>
      <c r="R1717" s="5">
        <f t="shared" si="137"/>
        <v>9.1000000000000227</v>
      </c>
      <c r="S1717" s="6">
        <f t="shared" si="138"/>
        <v>1.0861780854619269E-2</v>
      </c>
      <c r="T1717" s="6">
        <f t="shared" si="139"/>
        <v>-4.6855289241303101E-4</v>
      </c>
    </row>
    <row r="1718" spans="1:20" hidden="1" x14ac:dyDescent="0.25">
      <c r="A1718" s="4" t="s">
        <v>1620</v>
      </c>
      <c r="B1718" s="5" t="s">
        <v>16</v>
      </c>
      <c r="C1718" s="5" t="s">
        <v>1823</v>
      </c>
      <c r="D1718" s="5">
        <v>567.9</v>
      </c>
      <c r="E1718" s="5">
        <v>569.95000000000005</v>
      </c>
      <c r="F1718" s="5">
        <v>573.75</v>
      </c>
      <c r="G1718" s="5">
        <v>549</v>
      </c>
      <c r="H1718" s="5">
        <v>550</v>
      </c>
      <c r="I1718" s="5">
        <v>552.25</v>
      </c>
      <c r="J1718" s="5">
        <v>557.70000000000005</v>
      </c>
      <c r="K1718" s="5">
        <v>17690</v>
      </c>
      <c r="L1718" s="5">
        <v>98.66</v>
      </c>
      <c r="M1718" s="5">
        <v>1391</v>
      </c>
      <c r="N1718" s="5">
        <v>9708</v>
      </c>
      <c r="O1718" s="5">
        <v>54.88</v>
      </c>
      <c r="P1718" s="5">
        <f t="shared" si="135"/>
        <v>-15.649999999999977</v>
      </c>
      <c r="Q1718" s="6">
        <f t="shared" si="136"/>
        <v>-2.755766860362736E-2</v>
      </c>
      <c r="R1718" s="5">
        <f t="shared" si="137"/>
        <v>24.75</v>
      </c>
      <c r="S1718" s="6">
        <f t="shared" si="138"/>
        <v>4.3581616481774964E-2</v>
      </c>
      <c r="T1718" s="6">
        <f t="shared" si="139"/>
        <v>-9.7106839795987367E-3</v>
      </c>
    </row>
    <row r="1719" spans="1:20" x14ac:dyDescent="0.25">
      <c r="A1719" s="4" t="s">
        <v>307</v>
      </c>
      <c r="B1719" s="5" t="s">
        <v>16</v>
      </c>
      <c r="C1719" s="5" t="s">
        <v>1823</v>
      </c>
      <c r="D1719" s="5">
        <v>149.9</v>
      </c>
      <c r="E1719" s="5">
        <v>149.94999999999999</v>
      </c>
      <c r="F1719" s="5">
        <v>155.44999999999999</v>
      </c>
      <c r="G1719" s="5">
        <v>149.9</v>
      </c>
      <c r="H1719" s="5">
        <v>154.4</v>
      </c>
      <c r="I1719" s="5">
        <v>154.80000000000001</v>
      </c>
      <c r="J1719" s="5">
        <v>154.28</v>
      </c>
      <c r="K1719" s="5">
        <v>1604427</v>
      </c>
      <c r="L1719" s="5">
        <v>2475.38</v>
      </c>
      <c r="M1719" s="5">
        <v>17086</v>
      </c>
      <c r="N1719" s="5">
        <v>1206541</v>
      </c>
      <c r="O1719" s="5">
        <v>75.2</v>
      </c>
      <c r="P1719" s="5">
        <f t="shared" si="135"/>
        <v>4.9000000000000057</v>
      </c>
      <c r="Q1719" s="6">
        <f t="shared" si="136"/>
        <v>3.2688458972648472E-2</v>
      </c>
      <c r="R1719" s="5">
        <f t="shared" si="137"/>
        <v>5.5499999999999829</v>
      </c>
      <c r="S1719" s="6">
        <f t="shared" si="138"/>
        <v>3.7024683122081271E-2</v>
      </c>
      <c r="T1719" s="6">
        <f t="shared" si="139"/>
        <v>3.4092771676774974E-3</v>
      </c>
    </row>
    <row r="1720" spans="1:20" x14ac:dyDescent="0.25">
      <c r="A1720" s="4" t="s">
        <v>452</v>
      </c>
      <c r="B1720" s="5" t="s">
        <v>16</v>
      </c>
      <c r="C1720" s="5" t="s">
        <v>1823</v>
      </c>
      <c r="D1720" s="5">
        <v>167.25</v>
      </c>
      <c r="E1720" s="5">
        <v>167.75</v>
      </c>
      <c r="F1720" s="5">
        <v>171.85</v>
      </c>
      <c r="G1720" s="5">
        <v>164.3</v>
      </c>
      <c r="H1720" s="5">
        <v>166.55</v>
      </c>
      <c r="I1720" s="5">
        <v>166.1</v>
      </c>
      <c r="J1720" s="5">
        <v>166.61</v>
      </c>
      <c r="K1720" s="5">
        <v>467860</v>
      </c>
      <c r="L1720" s="5">
        <v>779.48</v>
      </c>
      <c r="M1720" s="5">
        <v>2931</v>
      </c>
      <c r="N1720" s="5">
        <v>352399</v>
      </c>
      <c r="O1720" s="5">
        <v>75.319999999999993</v>
      </c>
      <c r="P1720" s="5">
        <f t="shared" si="135"/>
        <v>-1.1500000000000057</v>
      </c>
      <c r="Q1720" s="6">
        <f t="shared" si="136"/>
        <v>-6.8759342301943542E-3</v>
      </c>
      <c r="R1720" s="5">
        <f t="shared" si="137"/>
        <v>7.5499999999999829</v>
      </c>
      <c r="S1720" s="6">
        <f t="shared" si="138"/>
        <v>4.5142002989536523E-2</v>
      </c>
      <c r="T1720" s="6">
        <f t="shared" si="139"/>
        <v>-3.0447761194031006E-3</v>
      </c>
    </row>
    <row r="1721" spans="1:20" x14ac:dyDescent="0.25">
      <c r="A1721" s="4" t="s">
        <v>854</v>
      </c>
      <c r="B1721" s="5" t="s">
        <v>16</v>
      </c>
      <c r="C1721" s="5" t="s">
        <v>1823</v>
      </c>
      <c r="D1721" s="5">
        <v>64.849999999999994</v>
      </c>
      <c r="E1721" s="5">
        <v>64.349999999999994</v>
      </c>
      <c r="F1721" s="5">
        <v>65.7</v>
      </c>
      <c r="G1721" s="5">
        <v>63</v>
      </c>
      <c r="H1721" s="5">
        <v>63.6</v>
      </c>
      <c r="I1721" s="5">
        <v>63.6</v>
      </c>
      <c r="J1721" s="5">
        <v>64.41</v>
      </c>
      <c r="K1721" s="5">
        <v>1319250</v>
      </c>
      <c r="L1721" s="5">
        <v>849.7</v>
      </c>
      <c r="M1721" s="5">
        <v>6860</v>
      </c>
      <c r="N1721" s="5">
        <v>994403</v>
      </c>
      <c r="O1721" s="5">
        <v>75.38</v>
      </c>
      <c r="P1721" s="5">
        <f t="shared" si="135"/>
        <v>-1.2499999999999929</v>
      </c>
      <c r="Q1721" s="6">
        <f t="shared" si="136"/>
        <v>-1.9275250578257408E-2</v>
      </c>
      <c r="R1721" s="5">
        <f t="shared" si="137"/>
        <v>2.7000000000000028</v>
      </c>
      <c r="S1721" s="6">
        <f t="shared" si="138"/>
        <v>4.1634541249036282E-2</v>
      </c>
      <c r="T1721" s="6">
        <f t="shared" si="139"/>
        <v>-1.2624196376388E-2</v>
      </c>
    </row>
    <row r="1722" spans="1:20" hidden="1" x14ac:dyDescent="0.25">
      <c r="A1722" s="4" t="s">
        <v>1624</v>
      </c>
      <c r="B1722" s="5" t="s">
        <v>625</v>
      </c>
      <c r="C1722" s="5" t="s">
        <v>1823</v>
      </c>
      <c r="D1722" s="5">
        <v>39.299999999999997</v>
      </c>
      <c r="E1722" s="5">
        <v>39.4</v>
      </c>
      <c r="F1722" s="5">
        <v>39.4</v>
      </c>
      <c r="G1722" s="5">
        <v>36.5</v>
      </c>
      <c r="H1722" s="5">
        <v>38.200000000000003</v>
      </c>
      <c r="I1722" s="5">
        <v>38.15</v>
      </c>
      <c r="J1722" s="5">
        <v>37.92</v>
      </c>
      <c r="K1722" s="5">
        <v>78915</v>
      </c>
      <c r="L1722" s="5">
        <v>29.92</v>
      </c>
      <c r="M1722" s="5">
        <v>546</v>
      </c>
      <c r="N1722" s="5">
        <v>36623</v>
      </c>
      <c r="O1722" s="5">
        <v>46.41</v>
      </c>
      <c r="P1722" s="5">
        <f t="shared" si="135"/>
        <v>-1.1499999999999986</v>
      </c>
      <c r="Q1722" s="6">
        <f t="shared" si="136"/>
        <v>-2.9262086513994878E-2</v>
      </c>
      <c r="R1722" s="5">
        <f t="shared" si="137"/>
        <v>2.8999999999999986</v>
      </c>
      <c r="S1722" s="6">
        <f t="shared" si="138"/>
        <v>7.3791348600508871E-2</v>
      </c>
      <c r="T1722" s="6">
        <f t="shared" si="139"/>
        <v>5.995438253502689E-3</v>
      </c>
    </row>
    <row r="1723" spans="1:20" hidden="1" x14ac:dyDescent="0.25">
      <c r="A1723" s="4" t="s">
        <v>1624</v>
      </c>
      <c r="B1723" s="5" t="s">
        <v>16</v>
      </c>
      <c r="C1723" s="5" t="s">
        <v>1823</v>
      </c>
      <c r="D1723" s="5">
        <v>370.8</v>
      </c>
      <c r="E1723" s="5">
        <v>367.5</v>
      </c>
      <c r="F1723" s="5">
        <v>367.95</v>
      </c>
      <c r="G1723" s="5">
        <v>357.55</v>
      </c>
      <c r="H1723" s="5">
        <v>361.7</v>
      </c>
      <c r="I1723" s="5">
        <v>362.05</v>
      </c>
      <c r="J1723" s="5">
        <v>361.44</v>
      </c>
      <c r="K1723" s="5">
        <v>9116985</v>
      </c>
      <c r="L1723" s="5">
        <v>32952.1</v>
      </c>
      <c r="M1723" s="5">
        <v>107373</v>
      </c>
      <c r="N1723" s="5">
        <v>1280683</v>
      </c>
      <c r="O1723" s="5">
        <v>14.05</v>
      </c>
      <c r="P1723" s="5">
        <f t="shared" si="135"/>
        <v>-8.75</v>
      </c>
      <c r="Q1723" s="6">
        <f t="shared" si="136"/>
        <v>-2.3597626752966557E-2</v>
      </c>
      <c r="R1723" s="5">
        <f t="shared" si="137"/>
        <v>10.399999999999977</v>
      </c>
      <c r="S1723" s="6">
        <f t="shared" si="138"/>
        <v>2.8047464940668763E-2</v>
      </c>
      <c r="T1723" s="6">
        <f t="shared" si="139"/>
        <v>1.6769183189581489E-3</v>
      </c>
    </row>
    <row r="1724" spans="1:20" hidden="1" x14ac:dyDescent="0.25">
      <c r="A1724" s="4" t="s">
        <v>1625</v>
      </c>
      <c r="B1724" s="5" t="s">
        <v>16</v>
      </c>
      <c r="C1724" s="5" t="s">
        <v>1823</v>
      </c>
      <c r="D1724" s="5">
        <v>23.2</v>
      </c>
      <c r="E1724" s="5">
        <v>22.9</v>
      </c>
      <c r="F1724" s="5">
        <v>23</v>
      </c>
      <c r="G1724" s="5">
        <v>22.4</v>
      </c>
      <c r="H1724" s="5">
        <v>22.75</v>
      </c>
      <c r="I1724" s="5">
        <v>22.75</v>
      </c>
      <c r="J1724" s="5">
        <v>22.58</v>
      </c>
      <c r="K1724" s="5">
        <v>464671</v>
      </c>
      <c r="L1724" s="5">
        <v>104.94</v>
      </c>
      <c r="M1724" s="5">
        <v>969</v>
      </c>
      <c r="N1724" s="5">
        <v>343086</v>
      </c>
      <c r="O1724" s="5">
        <v>73.83</v>
      </c>
      <c r="P1724" s="5">
        <f t="shared" si="135"/>
        <v>-0.44999999999999929</v>
      </c>
      <c r="Q1724" s="6">
        <f t="shared" si="136"/>
        <v>-1.93965517241379E-2</v>
      </c>
      <c r="R1724" s="5">
        <f t="shared" si="137"/>
        <v>0.60000000000000142</v>
      </c>
      <c r="S1724" s="6">
        <f t="shared" si="138"/>
        <v>2.5862068965517303E-2</v>
      </c>
      <c r="T1724" s="6">
        <f t="shared" si="139"/>
        <v>7.468423942888598E-3</v>
      </c>
    </row>
    <row r="1725" spans="1:20" hidden="1" x14ac:dyDescent="0.25">
      <c r="A1725" s="4" t="s">
        <v>1626</v>
      </c>
      <c r="B1725" s="5" t="s">
        <v>16</v>
      </c>
      <c r="C1725" s="5" t="s">
        <v>1823</v>
      </c>
      <c r="D1725" s="5">
        <v>416.6</v>
      </c>
      <c r="E1725" s="5">
        <v>418.5</v>
      </c>
      <c r="F1725" s="5">
        <v>418.5</v>
      </c>
      <c r="G1725" s="5">
        <v>408</v>
      </c>
      <c r="H1725" s="5">
        <v>409.5</v>
      </c>
      <c r="I1725" s="5">
        <v>411</v>
      </c>
      <c r="J1725" s="5">
        <v>412.14</v>
      </c>
      <c r="K1725" s="5">
        <v>19572</v>
      </c>
      <c r="L1725" s="5">
        <v>80.66</v>
      </c>
      <c r="M1725" s="5">
        <v>776</v>
      </c>
      <c r="N1725" s="5">
        <v>12278</v>
      </c>
      <c r="O1725" s="5">
        <v>62.73</v>
      </c>
      <c r="P1725" s="5">
        <f t="shared" si="135"/>
        <v>-5.6000000000000227</v>
      </c>
      <c r="Q1725" s="6">
        <f t="shared" si="136"/>
        <v>-1.3442150744119113E-2</v>
      </c>
      <c r="R1725" s="5">
        <f t="shared" si="137"/>
        <v>10.5</v>
      </c>
      <c r="S1725" s="6">
        <f t="shared" si="138"/>
        <v>2.5204032645223234E-2</v>
      </c>
      <c r="T1725" s="6">
        <f t="shared" si="139"/>
        <v>-2.7536231884057643E-3</v>
      </c>
    </row>
    <row r="1726" spans="1:20" hidden="1" x14ac:dyDescent="0.25">
      <c r="A1726" s="4" t="s">
        <v>1627</v>
      </c>
      <c r="B1726" s="5" t="s">
        <v>16</v>
      </c>
      <c r="C1726" s="5" t="s">
        <v>1823</v>
      </c>
      <c r="D1726" s="5">
        <v>42.9</v>
      </c>
      <c r="E1726" s="5">
        <v>43.9</v>
      </c>
      <c r="F1726" s="5">
        <v>44.4</v>
      </c>
      <c r="G1726" s="5">
        <v>42.1</v>
      </c>
      <c r="H1726" s="5">
        <v>43</v>
      </c>
      <c r="I1726" s="5">
        <v>42.9</v>
      </c>
      <c r="J1726" s="5">
        <v>43.3</v>
      </c>
      <c r="K1726" s="5">
        <v>34209</v>
      </c>
      <c r="L1726" s="5">
        <v>14.81</v>
      </c>
      <c r="M1726" s="5">
        <v>517</v>
      </c>
      <c r="N1726" s="5">
        <v>19715</v>
      </c>
      <c r="O1726" s="5">
        <v>57.63</v>
      </c>
      <c r="P1726" s="5">
        <f t="shared" si="135"/>
        <v>0</v>
      </c>
      <c r="Q1726" s="6">
        <f t="shared" si="136"/>
        <v>0</v>
      </c>
      <c r="R1726" s="5">
        <f t="shared" si="137"/>
        <v>2.2999999999999972</v>
      </c>
      <c r="S1726" s="6">
        <f t="shared" si="138"/>
        <v>5.3613053613053546E-2</v>
      </c>
      <c r="T1726" s="6">
        <f t="shared" si="139"/>
        <v>-9.2325447201384546E-3</v>
      </c>
    </row>
    <row r="1727" spans="1:20" hidden="1" x14ac:dyDescent="0.25">
      <c r="A1727" s="4" t="s">
        <v>1628</v>
      </c>
      <c r="B1727" s="5" t="s">
        <v>441</v>
      </c>
      <c r="C1727" s="5" t="s">
        <v>1823</v>
      </c>
      <c r="D1727" s="5">
        <v>1020.05</v>
      </c>
      <c r="E1727" s="5">
        <v>1021.99</v>
      </c>
      <c r="F1727" s="5">
        <v>1023</v>
      </c>
      <c r="G1727" s="5">
        <v>1020.2</v>
      </c>
      <c r="H1727" s="5">
        <v>1023</v>
      </c>
      <c r="I1727" s="5">
        <v>1022.7</v>
      </c>
      <c r="J1727" s="5">
        <v>1022.17</v>
      </c>
      <c r="K1727" s="5">
        <v>750</v>
      </c>
      <c r="L1727" s="5">
        <v>7.67</v>
      </c>
      <c r="M1727" s="5">
        <v>23</v>
      </c>
      <c r="N1727" s="5">
        <v>729</v>
      </c>
      <c r="O1727" s="5">
        <v>97.2</v>
      </c>
      <c r="P1727" s="5">
        <f t="shared" si="135"/>
        <v>2.6500000000000909</v>
      </c>
      <c r="Q1727" s="6">
        <f t="shared" si="136"/>
        <v>2.5979118670654291E-3</v>
      </c>
      <c r="R1727" s="5">
        <f t="shared" si="137"/>
        <v>2.7999999999999545</v>
      </c>
      <c r="S1727" s="6">
        <f t="shared" si="138"/>
        <v>2.7449634821822017E-3</v>
      </c>
      <c r="T1727" s="6">
        <f t="shared" si="139"/>
        <v>5.186049526773826E-4</v>
      </c>
    </row>
    <row r="1728" spans="1:20" hidden="1" x14ac:dyDescent="0.25">
      <c r="A1728" s="4" t="s">
        <v>1628</v>
      </c>
      <c r="B1728" s="5" t="s">
        <v>688</v>
      </c>
      <c r="C1728" s="5" t="s">
        <v>1823</v>
      </c>
      <c r="D1728" s="5">
        <v>1035.01</v>
      </c>
      <c r="E1728" s="5">
        <v>1033</v>
      </c>
      <c r="F1728" s="5">
        <v>1038</v>
      </c>
      <c r="G1728" s="5">
        <v>1033</v>
      </c>
      <c r="H1728" s="5">
        <v>1034</v>
      </c>
      <c r="I1728" s="5">
        <v>1034.53</v>
      </c>
      <c r="J1728" s="5">
        <v>1035.3399999999999</v>
      </c>
      <c r="K1728" s="5">
        <v>673</v>
      </c>
      <c r="L1728" s="5">
        <v>6.97</v>
      </c>
      <c r="M1728" s="5">
        <v>31</v>
      </c>
      <c r="N1728" s="5">
        <v>512</v>
      </c>
      <c r="O1728" s="5">
        <v>76.08</v>
      </c>
      <c r="P1728" s="5">
        <f t="shared" si="135"/>
        <v>-0.48000000000001819</v>
      </c>
      <c r="Q1728" s="6">
        <f t="shared" si="136"/>
        <v>-4.6376363513397765E-4</v>
      </c>
      <c r="R1728" s="5">
        <f t="shared" si="137"/>
        <v>5</v>
      </c>
      <c r="S1728" s="6">
        <f t="shared" si="138"/>
        <v>4.8308711993120838E-3</v>
      </c>
      <c r="T1728" s="6">
        <f t="shared" si="139"/>
        <v>-7.8288667715342936E-4</v>
      </c>
    </row>
    <row r="1729" spans="1:20" hidden="1" x14ac:dyDescent="0.25">
      <c r="A1729" s="4" t="s">
        <v>1628</v>
      </c>
      <c r="B1729" s="5" t="s">
        <v>399</v>
      </c>
      <c r="C1729" s="5" t="s">
        <v>1823</v>
      </c>
      <c r="D1729" s="5">
        <v>1037.07</v>
      </c>
      <c r="E1729" s="5">
        <v>1036.25</v>
      </c>
      <c r="F1729" s="5">
        <v>1036.25</v>
      </c>
      <c r="G1729" s="5">
        <v>1031.5</v>
      </c>
      <c r="H1729" s="5">
        <v>1031.5</v>
      </c>
      <c r="I1729" s="5">
        <v>1033.73</v>
      </c>
      <c r="J1729" s="5">
        <v>1033.73</v>
      </c>
      <c r="K1729" s="5">
        <v>470</v>
      </c>
      <c r="L1729" s="5">
        <v>4.8600000000000003</v>
      </c>
      <c r="M1729" s="5">
        <v>5</v>
      </c>
      <c r="N1729" s="5">
        <v>470</v>
      </c>
      <c r="O1729" s="5">
        <v>100</v>
      </c>
      <c r="P1729" s="5">
        <f t="shared" si="135"/>
        <v>-3.3399999999999181</v>
      </c>
      <c r="Q1729" s="6">
        <f t="shared" si="136"/>
        <v>-3.2206119162640112E-3</v>
      </c>
      <c r="R1729" s="5">
        <f t="shared" si="137"/>
        <v>4.75</v>
      </c>
      <c r="S1729" s="6">
        <f t="shared" si="138"/>
        <v>4.5802115575612062E-3</v>
      </c>
      <c r="T1729" s="6">
        <f t="shared" si="139"/>
        <v>0</v>
      </c>
    </row>
    <row r="1730" spans="1:20" hidden="1" x14ac:dyDescent="0.25">
      <c r="A1730" s="4" t="s">
        <v>1628</v>
      </c>
      <c r="B1730" s="5" t="s">
        <v>730</v>
      </c>
      <c r="C1730" s="5" t="s">
        <v>1823</v>
      </c>
      <c r="D1730" s="5">
        <v>1013.15</v>
      </c>
      <c r="E1730" s="5">
        <v>1008</v>
      </c>
      <c r="F1730" s="5">
        <v>1010</v>
      </c>
      <c r="G1730" s="5">
        <v>1008</v>
      </c>
      <c r="H1730" s="5">
        <v>1010</v>
      </c>
      <c r="I1730" s="5">
        <v>1010</v>
      </c>
      <c r="J1730" s="5">
        <v>1009.71</v>
      </c>
      <c r="K1730" s="5">
        <v>70</v>
      </c>
      <c r="L1730" s="5">
        <v>0.71</v>
      </c>
      <c r="M1730" s="5">
        <v>3</v>
      </c>
      <c r="N1730" s="5">
        <v>70</v>
      </c>
      <c r="O1730" s="5">
        <v>100</v>
      </c>
      <c r="P1730" s="5">
        <f t="shared" si="135"/>
        <v>-3.1499999999999773</v>
      </c>
      <c r="Q1730" s="6">
        <f t="shared" si="136"/>
        <v>-3.1091151359620762E-3</v>
      </c>
      <c r="R1730" s="5">
        <f t="shared" si="137"/>
        <v>2</v>
      </c>
      <c r="S1730" s="6">
        <f t="shared" si="138"/>
        <v>1.9740413561664116E-3</v>
      </c>
      <c r="T1730" s="6">
        <f t="shared" si="139"/>
        <v>2.8741328047568248E-4</v>
      </c>
    </row>
    <row r="1731" spans="1:20" hidden="1" x14ac:dyDescent="0.25">
      <c r="A1731" s="4" t="s">
        <v>1628</v>
      </c>
      <c r="B1731" s="5" t="s">
        <v>400</v>
      </c>
      <c r="C1731" s="5" t="s">
        <v>1823</v>
      </c>
      <c r="D1731" s="5">
        <v>1068</v>
      </c>
      <c r="E1731" s="5">
        <v>1020</v>
      </c>
      <c r="F1731" s="5">
        <v>1033.05</v>
      </c>
      <c r="G1731" s="5">
        <v>1020</v>
      </c>
      <c r="H1731" s="5">
        <v>1033.05</v>
      </c>
      <c r="I1731" s="5">
        <v>1033.05</v>
      </c>
      <c r="J1731" s="5">
        <v>1021.37</v>
      </c>
      <c r="K1731" s="5">
        <v>95</v>
      </c>
      <c r="L1731" s="5">
        <v>0.97</v>
      </c>
      <c r="M1731" s="5">
        <v>3</v>
      </c>
      <c r="N1731" s="5">
        <v>95</v>
      </c>
      <c r="O1731" s="5">
        <v>100</v>
      </c>
      <c r="P1731" s="5">
        <f t="shared" si="135"/>
        <v>-34.950000000000045</v>
      </c>
      <c r="Q1731" s="6">
        <f t="shared" si="136"/>
        <v>-3.2724719101123637E-2</v>
      </c>
      <c r="R1731" s="5">
        <f t="shared" si="137"/>
        <v>13.049999999999955</v>
      </c>
      <c r="S1731" s="6">
        <f t="shared" si="138"/>
        <v>1.2219101123595463E-2</v>
      </c>
      <c r="T1731" s="6">
        <f t="shared" si="139"/>
        <v>1.1378193419546479E-2</v>
      </c>
    </row>
    <row r="1732" spans="1:20" hidden="1" x14ac:dyDescent="0.25">
      <c r="A1732" s="4" t="s">
        <v>1629</v>
      </c>
      <c r="B1732" s="5" t="s">
        <v>16</v>
      </c>
      <c r="C1732" s="5" t="s">
        <v>1823</v>
      </c>
      <c r="D1732" s="5">
        <v>290.3</v>
      </c>
      <c r="E1732" s="5">
        <v>292.89999999999998</v>
      </c>
      <c r="F1732" s="5">
        <v>292.89999999999998</v>
      </c>
      <c r="G1732" s="5">
        <v>288</v>
      </c>
      <c r="H1732" s="5">
        <v>288</v>
      </c>
      <c r="I1732" s="5">
        <v>288.05</v>
      </c>
      <c r="J1732" s="5">
        <v>288.7</v>
      </c>
      <c r="K1732" s="5">
        <v>10267</v>
      </c>
      <c r="L1732" s="5">
        <v>29.64</v>
      </c>
      <c r="M1732" s="5">
        <v>385</v>
      </c>
      <c r="N1732" s="5">
        <v>9018</v>
      </c>
      <c r="O1732" s="5">
        <v>87.83</v>
      </c>
      <c r="P1732" s="5">
        <f t="shared" si="135"/>
        <v>-2.25</v>
      </c>
      <c r="Q1732" s="6">
        <f t="shared" si="136"/>
        <v>-7.7506028246641405E-3</v>
      </c>
      <c r="R1732" s="5">
        <f t="shared" si="137"/>
        <v>4.8999999999999773</v>
      </c>
      <c r="S1732" s="6">
        <f t="shared" si="138"/>
        <v>1.6879090595935162E-2</v>
      </c>
      <c r="T1732" s="6">
        <f t="shared" si="139"/>
        <v>-2.237810388604303E-3</v>
      </c>
    </row>
    <row r="1733" spans="1:20" hidden="1" x14ac:dyDescent="0.25">
      <c r="A1733" s="4" t="s">
        <v>1630</v>
      </c>
      <c r="B1733" s="5" t="s">
        <v>16</v>
      </c>
      <c r="C1733" s="5" t="s">
        <v>1823</v>
      </c>
      <c r="D1733" s="5">
        <v>350</v>
      </c>
      <c r="E1733" s="5">
        <v>351.95</v>
      </c>
      <c r="F1733" s="5">
        <v>352.05</v>
      </c>
      <c r="G1733" s="5">
        <v>341.95</v>
      </c>
      <c r="H1733" s="5">
        <v>343.2</v>
      </c>
      <c r="I1733" s="5">
        <v>343.2</v>
      </c>
      <c r="J1733" s="5">
        <v>346.18</v>
      </c>
      <c r="K1733" s="5">
        <v>165</v>
      </c>
      <c r="L1733" s="5">
        <v>0.56999999999999995</v>
      </c>
      <c r="M1733" s="5">
        <v>9</v>
      </c>
      <c r="N1733" s="5">
        <v>72</v>
      </c>
      <c r="O1733" s="5">
        <v>43.64</v>
      </c>
      <c r="P1733" s="5">
        <f t="shared" si="135"/>
        <v>-6.8000000000000114</v>
      </c>
      <c r="Q1733" s="6">
        <f t="shared" si="136"/>
        <v>-1.9428571428571462E-2</v>
      </c>
      <c r="R1733" s="5">
        <f t="shared" si="137"/>
        <v>10.100000000000023</v>
      </c>
      <c r="S1733" s="6">
        <f t="shared" si="138"/>
        <v>2.8857142857142921E-2</v>
      </c>
      <c r="T1733" s="6">
        <f t="shared" si="139"/>
        <v>-8.5807868120793811E-3</v>
      </c>
    </row>
    <row r="1734" spans="1:20" hidden="1" x14ac:dyDescent="0.25">
      <c r="A1734" s="4" t="s">
        <v>1631</v>
      </c>
      <c r="B1734" s="5" t="s">
        <v>16</v>
      </c>
      <c r="C1734" s="5" t="s">
        <v>1823</v>
      </c>
      <c r="D1734" s="5">
        <v>705.95</v>
      </c>
      <c r="E1734" s="5">
        <v>705.85</v>
      </c>
      <c r="F1734" s="5">
        <v>709.95</v>
      </c>
      <c r="G1734" s="5">
        <v>691.95</v>
      </c>
      <c r="H1734" s="5">
        <v>709.95</v>
      </c>
      <c r="I1734" s="5">
        <v>705.25</v>
      </c>
      <c r="J1734" s="5">
        <v>701.83</v>
      </c>
      <c r="K1734" s="5">
        <v>9251</v>
      </c>
      <c r="L1734" s="5">
        <v>64.930000000000007</v>
      </c>
      <c r="M1734" s="5">
        <v>656</v>
      </c>
      <c r="N1734" s="5">
        <v>7849</v>
      </c>
      <c r="O1734" s="5">
        <v>84.84</v>
      </c>
      <c r="P1734" s="5">
        <f t="shared" si="135"/>
        <v>-0.70000000000004547</v>
      </c>
      <c r="Q1734" s="6">
        <f t="shared" si="136"/>
        <v>-9.9157164105113027E-4</v>
      </c>
      <c r="R1734" s="5">
        <f t="shared" si="137"/>
        <v>18</v>
      </c>
      <c r="S1734" s="6">
        <f t="shared" si="138"/>
        <v>2.5497556484170264E-2</v>
      </c>
      <c r="T1734" s="6">
        <f t="shared" si="139"/>
        <v>4.8631354425879266E-3</v>
      </c>
    </row>
    <row r="1735" spans="1:20" hidden="1" x14ac:dyDescent="0.25">
      <c r="A1735" s="4" t="s">
        <v>1632</v>
      </c>
      <c r="B1735" s="5" t="s">
        <v>16</v>
      </c>
      <c r="C1735" s="5" t="s">
        <v>1823</v>
      </c>
      <c r="D1735" s="5">
        <v>10.75</v>
      </c>
      <c r="E1735" s="5">
        <v>10.85</v>
      </c>
      <c r="F1735" s="5">
        <v>10.9</v>
      </c>
      <c r="G1735" s="5">
        <v>10.25</v>
      </c>
      <c r="H1735" s="5">
        <v>10.3</v>
      </c>
      <c r="I1735" s="5">
        <v>10.35</v>
      </c>
      <c r="J1735" s="5">
        <v>10.44</v>
      </c>
      <c r="K1735" s="5">
        <v>8571</v>
      </c>
      <c r="L1735" s="5">
        <v>0.89</v>
      </c>
      <c r="M1735" s="5">
        <v>65</v>
      </c>
      <c r="N1735" s="5">
        <v>6482</v>
      </c>
      <c r="O1735" s="5">
        <v>75.63</v>
      </c>
      <c r="P1735" s="5">
        <f t="shared" si="135"/>
        <v>-0.40000000000000036</v>
      </c>
      <c r="Q1735" s="6">
        <f t="shared" si="136"/>
        <v>-3.720930232558143E-2</v>
      </c>
      <c r="R1735" s="5">
        <f t="shared" si="137"/>
        <v>0.65000000000000036</v>
      </c>
      <c r="S1735" s="6">
        <f t="shared" si="138"/>
        <v>6.0465116279069801E-2</v>
      </c>
      <c r="T1735" s="6">
        <f t="shared" si="139"/>
        <v>-8.5005903187721239E-3</v>
      </c>
    </row>
    <row r="1736" spans="1:20" hidden="1" x14ac:dyDescent="0.25">
      <c r="A1736" s="4" t="s">
        <v>1633</v>
      </c>
      <c r="B1736" s="5" t="s">
        <v>16</v>
      </c>
      <c r="C1736" s="5" t="s">
        <v>1823</v>
      </c>
      <c r="D1736" s="5">
        <v>744.25</v>
      </c>
      <c r="E1736" s="5">
        <v>755</v>
      </c>
      <c r="F1736" s="5">
        <v>755</v>
      </c>
      <c r="G1736" s="5">
        <v>713</v>
      </c>
      <c r="H1736" s="5">
        <v>750</v>
      </c>
      <c r="I1736" s="5">
        <v>743.45</v>
      </c>
      <c r="J1736" s="5">
        <v>731</v>
      </c>
      <c r="K1736" s="5">
        <v>9697</v>
      </c>
      <c r="L1736" s="5">
        <v>70.88</v>
      </c>
      <c r="M1736" s="5">
        <v>1091</v>
      </c>
      <c r="N1736" s="5">
        <v>7373</v>
      </c>
      <c r="O1736" s="5">
        <v>76.03</v>
      </c>
      <c r="P1736" s="5">
        <f t="shared" si="135"/>
        <v>-0.79999999999995453</v>
      </c>
      <c r="Q1736" s="6">
        <f t="shared" si="136"/>
        <v>-1.0749076251259045E-3</v>
      </c>
      <c r="R1736" s="5">
        <f t="shared" si="137"/>
        <v>42</v>
      </c>
      <c r="S1736" s="6">
        <f t="shared" si="138"/>
        <v>5.6432650319113202E-2</v>
      </c>
      <c r="T1736" s="6">
        <f t="shared" si="139"/>
        <v>1.6787742925045149E-2</v>
      </c>
    </row>
    <row r="1737" spans="1:20" hidden="1" x14ac:dyDescent="0.25">
      <c r="A1737" s="4" t="s">
        <v>1634</v>
      </c>
      <c r="B1737" s="5" t="s">
        <v>16</v>
      </c>
      <c r="C1737" s="5" t="s">
        <v>1823</v>
      </c>
      <c r="D1737" s="5">
        <v>301.10000000000002</v>
      </c>
      <c r="E1737" s="5">
        <v>300.05</v>
      </c>
      <c r="F1737" s="5">
        <v>305.10000000000002</v>
      </c>
      <c r="G1737" s="5">
        <v>286.35000000000002</v>
      </c>
      <c r="H1737" s="5">
        <v>295</v>
      </c>
      <c r="I1737" s="5">
        <v>294.2</v>
      </c>
      <c r="J1737" s="5">
        <v>300.11</v>
      </c>
      <c r="K1737" s="5">
        <v>2954</v>
      </c>
      <c r="L1737" s="5">
        <v>8.8699999999999992</v>
      </c>
      <c r="M1737" s="5">
        <v>101</v>
      </c>
      <c r="N1737" s="5">
        <v>1726</v>
      </c>
      <c r="O1737" s="5">
        <v>58.43</v>
      </c>
      <c r="P1737" s="5">
        <f t="shared" si="135"/>
        <v>-6.9000000000000341</v>
      </c>
      <c r="Q1737" s="6">
        <f t="shared" si="136"/>
        <v>-2.291597475921632E-2</v>
      </c>
      <c r="R1737" s="5">
        <f t="shared" si="137"/>
        <v>18.75</v>
      </c>
      <c r="S1737" s="6">
        <f t="shared" si="138"/>
        <v>6.2271670541348384E-2</v>
      </c>
      <c r="T1737" s="6">
        <f t="shared" si="139"/>
        <v>-1.9937589609513452E-2</v>
      </c>
    </row>
    <row r="1738" spans="1:20" hidden="1" x14ac:dyDescent="0.25">
      <c r="A1738" s="4" t="s">
        <v>1635</v>
      </c>
      <c r="B1738" s="5" t="s">
        <v>16</v>
      </c>
      <c r="C1738" s="5" t="s">
        <v>1823</v>
      </c>
      <c r="D1738" s="5">
        <v>2044.7</v>
      </c>
      <c r="E1738" s="5">
        <v>2065</v>
      </c>
      <c r="F1738" s="5">
        <v>2092</v>
      </c>
      <c r="G1738" s="5">
        <v>2060.0500000000002</v>
      </c>
      <c r="H1738" s="5">
        <v>2084</v>
      </c>
      <c r="I1738" s="5">
        <v>2088.4499999999998</v>
      </c>
      <c r="J1738" s="5">
        <v>2077.98</v>
      </c>
      <c r="K1738" s="5">
        <v>4002232</v>
      </c>
      <c r="L1738" s="5">
        <v>83165.52</v>
      </c>
      <c r="M1738" s="5">
        <v>205505</v>
      </c>
      <c r="N1738" s="5">
        <v>2508929</v>
      </c>
      <c r="O1738" s="5">
        <v>62.69</v>
      </c>
      <c r="P1738" s="5">
        <f t="shared" si="135"/>
        <v>43.749999999999773</v>
      </c>
      <c r="Q1738" s="6">
        <f t="shared" si="136"/>
        <v>2.139678192399852E-2</v>
      </c>
      <c r="R1738" s="5">
        <f t="shared" si="137"/>
        <v>31.949999999999818</v>
      </c>
      <c r="S1738" s="6">
        <f t="shared" si="138"/>
        <v>1.5625764170782909E-2</v>
      </c>
      <c r="T1738" s="6">
        <f t="shared" si="139"/>
        <v>5.0424417554631512E-3</v>
      </c>
    </row>
    <row r="1739" spans="1:20" hidden="1" x14ac:dyDescent="0.25">
      <c r="A1739" s="4" t="s">
        <v>1636</v>
      </c>
      <c r="B1739" s="5" t="s">
        <v>16</v>
      </c>
      <c r="C1739" s="5" t="s">
        <v>1823</v>
      </c>
      <c r="D1739" s="5">
        <v>152.6</v>
      </c>
      <c r="E1739" s="5">
        <v>151.5</v>
      </c>
      <c r="F1739" s="5">
        <v>152.5</v>
      </c>
      <c r="G1739" s="5">
        <v>147.1</v>
      </c>
      <c r="H1739" s="5">
        <v>152</v>
      </c>
      <c r="I1739" s="5">
        <v>151.6</v>
      </c>
      <c r="J1739" s="5">
        <v>151.01</v>
      </c>
      <c r="K1739" s="5">
        <v>12978</v>
      </c>
      <c r="L1739" s="5">
        <v>19.600000000000001</v>
      </c>
      <c r="M1739" s="5">
        <v>231</v>
      </c>
      <c r="N1739" s="5">
        <v>10921</v>
      </c>
      <c r="O1739" s="5">
        <v>84.15</v>
      </c>
      <c r="P1739" s="5">
        <f t="shared" si="135"/>
        <v>-1</v>
      </c>
      <c r="Q1739" s="6">
        <f t="shared" si="136"/>
        <v>-6.5530799475753609E-3</v>
      </c>
      <c r="R1739" s="5">
        <f t="shared" si="137"/>
        <v>5.4000000000000057</v>
      </c>
      <c r="S1739" s="6">
        <f t="shared" si="138"/>
        <v>3.5386631716906987E-2</v>
      </c>
      <c r="T1739" s="6">
        <f t="shared" si="139"/>
        <v>3.9157126265140429E-3</v>
      </c>
    </row>
    <row r="1740" spans="1:20" hidden="1" x14ac:dyDescent="0.25">
      <c r="A1740" s="4" t="s">
        <v>1637</v>
      </c>
      <c r="B1740" s="5" t="s">
        <v>16</v>
      </c>
      <c r="C1740" s="5" t="s">
        <v>1823</v>
      </c>
      <c r="D1740" s="5">
        <v>2949.75</v>
      </c>
      <c r="E1740" s="5">
        <v>2955</v>
      </c>
      <c r="F1740" s="5">
        <v>3028.35</v>
      </c>
      <c r="G1740" s="5">
        <v>2905.65</v>
      </c>
      <c r="H1740" s="5">
        <v>2940</v>
      </c>
      <c r="I1740" s="5">
        <v>2923.7</v>
      </c>
      <c r="J1740" s="5">
        <v>2985.75</v>
      </c>
      <c r="K1740" s="5">
        <v>22874</v>
      </c>
      <c r="L1740" s="5">
        <v>682.96</v>
      </c>
      <c r="M1740" s="5">
        <v>2086</v>
      </c>
      <c r="N1740" s="5">
        <v>17475</v>
      </c>
      <c r="O1740" s="5">
        <v>76.400000000000006</v>
      </c>
      <c r="P1740" s="5">
        <f t="shared" ref="P1740:P1803" si="140">I1740-D1740</f>
        <v>-26.050000000000182</v>
      </c>
      <c r="Q1740" s="6">
        <f t="shared" ref="Q1740:Q1803" si="141">P1740/D1740</f>
        <v>-8.8312568861768567E-3</v>
      </c>
      <c r="R1740" s="5">
        <f t="shared" ref="R1740:R1803" si="142">ABS(F1740-G1740)</f>
        <v>122.69999999999982</v>
      </c>
      <c r="S1740" s="6">
        <f t="shared" ref="S1740:S1803" si="143">R1740/D1740</f>
        <v>4.1596745486905611E-2</v>
      </c>
      <c r="T1740" s="6">
        <f t="shared" ref="T1740:T1803" si="144">(I1740-J1740)/AVERAGE(E1740:G1740,I1740)</f>
        <v>-2.1011284465024992E-2</v>
      </c>
    </row>
    <row r="1741" spans="1:20" hidden="1" x14ac:dyDescent="0.25">
      <c r="A1741" s="4" t="s">
        <v>1638</v>
      </c>
      <c r="B1741" s="5" t="s">
        <v>16</v>
      </c>
      <c r="C1741" s="5" t="s">
        <v>1823</v>
      </c>
      <c r="D1741" s="5">
        <v>703.85</v>
      </c>
      <c r="E1741" s="5">
        <v>704.05</v>
      </c>
      <c r="F1741" s="5">
        <v>709.95</v>
      </c>
      <c r="G1741" s="5">
        <v>698</v>
      </c>
      <c r="H1741" s="5">
        <v>705.5</v>
      </c>
      <c r="I1741" s="5">
        <v>705.9</v>
      </c>
      <c r="J1741" s="5">
        <v>706.03</v>
      </c>
      <c r="K1741" s="5">
        <v>3512690</v>
      </c>
      <c r="L1741" s="5">
        <v>24800.54</v>
      </c>
      <c r="M1741" s="5">
        <v>104443</v>
      </c>
      <c r="N1741" s="5">
        <v>2250800</v>
      </c>
      <c r="O1741" s="5">
        <v>64.08</v>
      </c>
      <c r="P1741" s="5">
        <f t="shared" si="140"/>
        <v>2.0499999999999545</v>
      </c>
      <c r="Q1741" s="6">
        <f t="shared" si="141"/>
        <v>2.9125523904240313E-3</v>
      </c>
      <c r="R1741" s="5">
        <f t="shared" si="142"/>
        <v>11.950000000000045</v>
      </c>
      <c r="S1741" s="6">
        <f t="shared" si="143"/>
        <v>1.6978049300277111E-2</v>
      </c>
      <c r="T1741" s="6">
        <f t="shared" si="144"/>
        <v>-1.8453458249050066E-4</v>
      </c>
    </row>
    <row r="1742" spans="1:20" hidden="1" x14ac:dyDescent="0.25">
      <c r="A1742" s="4" t="s">
        <v>1639</v>
      </c>
      <c r="B1742" s="5" t="s">
        <v>16</v>
      </c>
      <c r="C1742" s="5" t="s">
        <v>1823</v>
      </c>
      <c r="D1742" s="5">
        <v>270.64999999999998</v>
      </c>
      <c r="E1742" s="5">
        <v>268</v>
      </c>
      <c r="F1742" s="5">
        <v>273.64999999999998</v>
      </c>
      <c r="G1742" s="5">
        <v>267.2</v>
      </c>
      <c r="H1742" s="5">
        <v>270.05</v>
      </c>
      <c r="I1742" s="5">
        <v>270</v>
      </c>
      <c r="J1742" s="5">
        <v>270</v>
      </c>
      <c r="K1742" s="5">
        <v>956813</v>
      </c>
      <c r="L1742" s="5">
        <v>2583.44</v>
      </c>
      <c r="M1742" s="5">
        <v>585</v>
      </c>
      <c r="N1742" s="5">
        <v>955717</v>
      </c>
      <c r="O1742" s="5">
        <v>99.89</v>
      </c>
      <c r="P1742" s="5">
        <f t="shared" si="140"/>
        <v>-0.64999999999997726</v>
      </c>
      <c r="Q1742" s="6">
        <f t="shared" si="141"/>
        <v>-2.4016257158691202E-3</v>
      </c>
      <c r="R1742" s="5">
        <f t="shared" si="142"/>
        <v>6.4499999999999886</v>
      </c>
      <c r="S1742" s="6">
        <f t="shared" si="143"/>
        <v>2.3831516719009752E-2</v>
      </c>
      <c r="T1742" s="6">
        <f t="shared" si="144"/>
        <v>0</v>
      </c>
    </row>
    <row r="1743" spans="1:20" hidden="1" x14ac:dyDescent="0.25">
      <c r="A1743" s="4" t="s">
        <v>1640</v>
      </c>
      <c r="B1743" s="5" t="s">
        <v>16</v>
      </c>
      <c r="C1743" s="5" t="s">
        <v>1823</v>
      </c>
      <c r="D1743" s="5">
        <v>18.5</v>
      </c>
      <c r="E1743" s="5">
        <v>19.399999999999999</v>
      </c>
      <c r="F1743" s="5">
        <v>19.399999999999999</v>
      </c>
      <c r="G1743" s="5">
        <v>19.399999999999999</v>
      </c>
      <c r="H1743" s="5">
        <v>19.399999999999999</v>
      </c>
      <c r="I1743" s="5">
        <v>19.399999999999999</v>
      </c>
      <c r="J1743" s="5">
        <v>19.399999999999999</v>
      </c>
      <c r="K1743" s="5">
        <v>3054</v>
      </c>
      <c r="L1743" s="5">
        <v>0.59</v>
      </c>
      <c r="M1743" s="5">
        <v>8</v>
      </c>
      <c r="N1743" s="5">
        <v>3054</v>
      </c>
      <c r="O1743" s="5">
        <v>100</v>
      </c>
      <c r="P1743" s="5">
        <f t="shared" si="140"/>
        <v>0.89999999999999858</v>
      </c>
      <c r="Q1743" s="6">
        <f t="shared" si="141"/>
        <v>4.8648648648648575E-2</v>
      </c>
      <c r="R1743" s="5">
        <f t="shared" si="142"/>
        <v>0</v>
      </c>
      <c r="S1743" s="6">
        <f t="shared" si="143"/>
        <v>0</v>
      </c>
      <c r="T1743" s="6">
        <f t="shared" si="144"/>
        <v>0</v>
      </c>
    </row>
    <row r="1744" spans="1:20" hidden="1" x14ac:dyDescent="0.25">
      <c r="A1744" s="4" t="s">
        <v>1641</v>
      </c>
      <c r="B1744" s="5" t="s">
        <v>16</v>
      </c>
      <c r="C1744" s="5" t="s">
        <v>1823</v>
      </c>
      <c r="D1744" s="5">
        <v>82.65</v>
      </c>
      <c r="E1744" s="5">
        <v>84.4</v>
      </c>
      <c r="F1744" s="5">
        <v>84.5</v>
      </c>
      <c r="G1744" s="5">
        <v>81.55</v>
      </c>
      <c r="H1744" s="5">
        <v>83.25</v>
      </c>
      <c r="I1744" s="5">
        <v>83.05</v>
      </c>
      <c r="J1744" s="5">
        <v>83.32</v>
      </c>
      <c r="K1744" s="5">
        <v>94565</v>
      </c>
      <c r="L1744" s="5">
        <v>78.790000000000006</v>
      </c>
      <c r="M1744" s="5">
        <v>3716</v>
      </c>
      <c r="N1744" s="5">
        <v>68827</v>
      </c>
      <c r="O1744" s="5">
        <v>72.78</v>
      </c>
      <c r="P1744" s="5">
        <f t="shared" si="140"/>
        <v>0.39999999999999147</v>
      </c>
      <c r="Q1744" s="6">
        <f t="shared" si="141"/>
        <v>4.8396854204475672E-3</v>
      </c>
      <c r="R1744" s="5">
        <f t="shared" si="142"/>
        <v>2.9500000000000028</v>
      </c>
      <c r="S1744" s="6">
        <f t="shared" si="143"/>
        <v>3.5692679975801604E-2</v>
      </c>
      <c r="T1744" s="6">
        <f t="shared" si="144"/>
        <v>-3.2383808095951547E-3</v>
      </c>
    </row>
    <row r="1745" spans="1:20" hidden="1" x14ac:dyDescent="0.25">
      <c r="A1745" s="4" t="s">
        <v>1642</v>
      </c>
      <c r="B1745" s="5" t="s">
        <v>16</v>
      </c>
      <c r="C1745" s="5" t="s">
        <v>1823</v>
      </c>
      <c r="D1745" s="5">
        <v>26.75</v>
      </c>
      <c r="E1745" s="5">
        <v>26.9</v>
      </c>
      <c r="F1745" s="5">
        <v>26.9</v>
      </c>
      <c r="G1745" s="5">
        <v>25.95</v>
      </c>
      <c r="H1745" s="5">
        <v>26.5</v>
      </c>
      <c r="I1745" s="5">
        <v>26.2</v>
      </c>
      <c r="J1745" s="5">
        <v>26.18</v>
      </c>
      <c r="K1745" s="5">
        <v>17857</v>
      </c>
      <c r="L1745" s="5">
        <v>4.68</v>
      </c>
      <c r="M1745" s="5">
        <v>163</v>
      </c>
      <c r="N1745" s="5">
        <v>10424</v>
      </c>
      <c r="O1745" s="5">
        <v>58.37</v>
      </c>
      <c r="P1745" s="5">
        <f t="shared" si="140"/>
        <v>-0.55000000000000071</v>
      </c>
      <c r="Q1745" s="6">
        <f t="shared" si="141"/>
        <v>-2.056074766355143E-2</v>
      </c>
      <c r="R1745" s="5">
        <f t="shared" si="142"/>
        <v>0.94999999999999929</v>
      </c>
      <c r="S1745" s="6">
        <f t="shared" si="143"/>
        <v>3.551401869158876E-2</v>
      </c>
      <c r="T1745" s="6">
        <f t="shared" si="144"/>
        <v>7.5507314771116837E-4</v>
      </c>
    </row>
    <row r="1746" spans="1:20" hidden="1" x14ac:dyDescent="0.25">
      <c r="A1746" s="4" t="s">
        <v>1643</v>
      </c>
      <c r="B1746" s="5" t="s">
        <v>16</v>
      </c>
      <c r="C1746" s="5" t="s">
        <v>1823</v>
      </c>
      <c r="D1746" s="5">
        <v>52.1</v>
      </c>
      <c r="E1746" s="5">
        <v>51.2</v>
      </c>
      <c r="F1746" s="5">
        <v>51.25</v>
      </c>
      <c r="G1746" s="5">
        <v>47.1</v>
      </c>
      <c r="H1746" s="5">
        <v>47.85</v>
      </c>
      <c r="I1746" s="5">
        <v>47.65</v>
      </c>
      <c r="J1746" s="5">
        <v>48.16</v>
      </c>
      <c r="K1746" s="5">
        <v>35964</v>
      </c>
      <c r="L1746" s="5">
        <v>17.32</v>
      </c>
      <c r="M1746" s="5">
        <v>922</v>
      </c>
      <c r="N1746" s="5">
        <v>24218</v>
      </c>
      <c r="O1746" s="5">
        <v>67.34</v>
      </c>
      <c r="P1746" s="5">
        <f t="shared" si="140"/>
        <v>-4.4500000000000028</v>
      </c>
      <c r="Q1746" s="6">
        <f t="shared" si="141"/>
        <v>-8.5412667946257251E-2</v>
      </c>
      <c r="R1746" s="5">
        <f t="shared" si="142"/>
        <v>4.1499999999999986</v>
      </c>
      <c r="S1746" s="6">
        <f t="shared" si="143"/>
        <v>7.9654510556621858E-2</v>
      </c>
      <c r="T1746" s="6">
        <f t="shared" si="144"/>
        <v>-1.0344827586206855E-2</v>
      </c>
    </row>
    <row r="1747" spans="1:20" hidden="1" x14ac:dyDescent="0.25">
      <c r="A1747" s="4" t="s">
        <v>1644</v>
      </c>
      <c r="B1747" s="5" t="s">
        <v>16</v>
      </c>
      <c r="C1747" s="5" t="s">
        <v>1823</v>
      </c>
      <c r="D1747" s="5">
        <v>17.25</v>
      </c>
      <c r="E1747" s="5">
        <v>17.05</v>
      </c>
      <c r="F1747" s="5">
        <v>17.649999999999999</v>
      </c>
      <c r="G1747" s="5">
        <v>16.8</v>
      </c>
      <c r="H1747" s="5">
        <v>17.149999999999999</v>
      </c>
      <c r="I1747" s="5">
        <v>16.899999999999999</v>
      </c>
      <c r="J1747" s="5">
        <v>17.07</v>
      </c>
      <c r="K1747" s="5">
        <v>70621</v>
      </c>
      <c r="L1747" s="5">
        <v>12.05</v>
      </c>
      <c r="M1747" s="5">
        <v>241</v>
      </c>
      <c r="N1747" s="5">
        <v>40962</v>
      </c>
      <c r="O1747" s="5">
        <v>58</v>
      </c>
      <c r="P1747" s="5">
        <f t="shared" si="140"/>
        <v>-0.35000000000000142</v>
      </c>
      <c r="Q1747" s="6">
        <f t="shared" si="141"/>
        <v>-2.028985507246385E-2</v>
      </c>
      <c r="R1747" s="5">
        <f t="shared" si="142"/>
        <v>0.84999999999999787</v>
      </c>
      <c r="S1747" s="6">
        <f t="shared" si="143"/>
        <v>4.9275362318840457E-2</v>
      </c>
      <c r="T1747" s="6">
        <f t="shared" si="144"/>
        <v>-9.941520467836357E-3</v>
      </c>
    </row>
    <row r="1748" spans="1:20" x14ac:dyDescent="0.25">
      <c r="A1748" s="4" t="s">
        <v>600</v>
      </c>
      <c r="B1748" s="5" t="s">
        <v>16</v>
      </c>
      <c r="C1748" s="5" t="s">
        <v>1823</v>
      </c>
      <c r="D1748" s="5">
        <v>268</v>
      </c>
      <c r="E1748" s="5">
        <v>264.2</v>
      </c>
      <c r="F1748" s="5">
        <v>269.05</v>
      </c>
      <c r="G1748" s="5">
        <v>260.45</v>
      </c>
      <c r="H1748" s="5">
        <v>264</v>
      </c>
      <c r="I1748" s="5">
        <v>263.95</v>
      </c>
      <c r="J1748" s="5">
        <v>264.44</v>
      </c>
      <c r="K1748" s="5">
        <v>695423</v>
      </c>
      <c r="L1748" s="5">
        <v>1839</v>
      </c>
      <c r="M1748" s="5">
        <v>20329</v>
      </c>
      <c r="N1748" s="5">
        <v>524658</v>
      </c>
      <c r="O1748" s="5">
        <v>75.44</v>
      </c>
      <c r="P1748" s="5">
        <f t="shared" si="140"/>
        <v>-4.0500000000000114</v>
      </c>
      <c r="Q1748" s="6">
        <f t="shared" si="141"/>
        <v>-1.5111940298507506E-2</v>
      </c>
      <c r="R1748" s="5">
        <f t="shared" si="142"/>
        <v>8.6000000000000227</v>
      </c>
      <c r="S1748" s="6">
        <f t="shared" si="143"/>
        <v>3.2089552238806052E-2</v>
      </c>
      <c r="T1748" s="6">
        <f t="shared" si="144"/>
        <v>-1.8531650356923711E-3</v>
      </c>
    </row>
    <row r="1749" spans="1:20" hidden="1" x14ac:dyDescent="0.25">
      <c r="A1749" s="4" t="s">
        <v>1646</v>
      </c>
      <c r="B1749" s="5" t="s">
        <v>16</v>
      </c>
      <c r="C1749" s="5" t="s">
        <v>1823</v>
      </c>
      <c r="D1749" s="5">
        <v>82.9</v>
      </c>
      <c r="E1749" s="5">
        <v>83.45</v>
      </c>
      <c r="F1749" s="5">
        <v>83.45</v>
      </c>
      <c r="G1749" s="5">
        <v>79.55</v>
      </c>
      <c r="H1749" s="5">
        <v>79.55</v>
      </c>
      <c r="I1749" s="5">
        <v>79.75</v>
      </c>
      <c r="J1749" s="5">
        <v>80.47</v>
      </c>
      <c r="K1749" s="5">
        <v>44925</v>
      </c>
      <c r="L1749" s="5">
        <v>36.15</v>
      </c>
      <c r="M1749" s="5">
        <v>567</v>
      </c>
      <c r="N1749" s="5">
        <v>34022</v>
      </c>
      <c r="O1749" s="5">
        <v>75.73</v>
      </c>
      <c r="P1749" s="5">
        <f t="shared" si="140"/>
        <v>-3.1500000000000057</v>
      </c>
      <c r="Q1749" s="6">
        <f t="shared" si="141"/>
        <v>-3.7997587454764843E-2</v>
      </c>
      <c r="R1749" s="5">
        <f t="shared" si="142"/>
        <v>3.9000000000000057</v>
      </c>
      <c r="S1749" s="6">
        <f t="shared" si="143"/>
        <v>4.7044632086851695E-2</v>
      </c>
      <c r="T1749" s="6">
        <f t="shared" si="144"/>
        <v>-8.828939301042291E-3</v>
      </c>
    </row>
    <row r="1750" spans="1:20" hidden="1" x14ac:dyDescent="0.25">
      <c r="A1750" s="4" t="s">
        <v>1647</v>
      </c>
      <c r="B1750" s="5" t="s">
        <v>16</v>
      </c>
      <c r="C1750" s="5" t="s">
        <v>1823</v>
      </c>
      <c r="D1750" s="5">
        <v>3.95</v>
      </c>
      <c r="E1750" s="5">
        <v>3.95</v>
      </c>
      <c r="F1750" s="5">
        <v>3.95</v>
      </c>
      <c r="G1750" s="5">
        <v>3.95</v>
      </c>
      <c r="H1750" s="5">
        <v>3.95</v>
      </c>
      <c r="I1750" s="5">
        <v>3.95</v>
      </c>
      <c r="J1750" s="5">
        <v>3.95</v>
      </c>
      <c r="K1750" s="5">
        <v>828</v>
      </c>
      <c r="L1750" s="5">
        <v>0.03</v>
      </c>
      <c r="M1750" s="5">
        <v>3</v>
      </c>
      <c r="N1750" s="5">
        <v>828</v>
      </c>
      <c r="O1750" s="5">
        <v>100</v>
      </c>
      <c r="P1750" s="5">
        <f t="shared" si="140"/>
        <v>0</v>
      </c>
      <c r="Q1750" s="6">
        <f t="shared" si="141"/>
        <v>0</v>
      </c>
      <c r="R1750" s="5">
        <f t="shared" si="142"/>
        <v>0</v>
      </c>
      <c r="S1750" s="6">
        <f t="shared" si="143"/>
        <v>0</v>
      </c>
      <c r="T1750" s="6">
        <f t="shared" si="144"/>
        <v>0</v>
      </c>
    </row>
    <row r="1751" spans="1:20" hidden="1" x14ac:dyDescent="0.25">
      <c r="A1751" s="4" t="s">
        <v>1648</v>
      </c>
      <c r="B1751" s="5" t="s">
        <v>39</v>
      </c>
      <c r="C1751" s="5" t="s">
        <v>1823</v>
      </c>
      <c r="D1751" s="5">
        <v>4.5</v>
      </c>
      <c r="E1751" s="5">
        <v>4.5</v>
      </c>
      <c r="F1751" s="5">
        <v>4.5</v>
      </c>
      <c r="G1751" s="5">
        <v>4.3</v>
      </c>
      <c r="H1751" s="5">
        <v>4.3</v>
      </c>
      <c r="I1751" s="5">
        <v>4.3</v>
      </c>
      <c r="J1751" s="5">
        <v>4.3</v>
      </c>
      <c r="K1751" s="5">
        <v>7940</v>
      </c>
      <c r="L1751" s="5">
        <v>0.34</v>
      </c>
      <c r="M1751" s="5">
        <v>26</v>
      </c>
      <c r="N1751" s="5" t="s">
        <v>25</v>
      </c>
      <c r="O1751" s="5" t="s">
        <v>25</v>
      </c>
      <c r="P1751" s="5">
        <f t="shared" si="140"/>
        <v>-0.20000000000000018</v>
      </c>
      <c r="Q1751" s="6">
        <f t="shared" si="141"/>
        <v>-4.4444444444444481E-2</v>
      </c>
      <c r="R1751" s="5">
        <f t="shared" si="142"/>
        <v>0.20000000000000018</v>
      </c>
      <c r="S1751" s="6">
        <f t="shared" si="143"/>
        <v>4.4444444444444481E-2</v>
      </c>
      <c r="T1751" s="6">
        <f t="shared" si="144"/>
        <v>0</v>
      </c>
    </row>
    <row r="1752" spans="1:20" hidden="1" x14ac:dyDescent="0.25">
      <c r="A1752" s="4" t="s">
        <v>1649</v>
      </c>
      <c r="B1752" s="5" t="s">
        <v>16</v>
      </c>
      <c r="C1752" s="5" t="s">
        <v>1823</v>
      </c>
      <c r="D1752" s="5">
        <v>333.9</v>
      </c>
      <c r="E1752" s="5">
        <v>328</v>
      </c>
      <c r="F1752" s="5">
        <v>347.35</v>
      </c>
      <c r="G1752" s="5">
        <v>328</v>
      </c>
      <c r="H1752" s="5">
        <v>337.95</v>
      </c>
      <c r="I1752" s="5">
        <v>336.3</v>
      </c>
      <c r="J1752" s="5">
        <v>336.31</v>
      </c>
      <c r="K1752" s="5">
        <v>8182</v>
      </c>
      <c r="L1752" s="5">
        <v>27.52</v>
      </c>
      <c r="M1752" s="5">
        <v>487</v>
      </c>
      <c r="N1752" s="5">
        <v>6138</v>
      </c>
      <c r="O1752" s="5">
        <v>75.02</v>
      </c>
      <c r="P1752" s="5">
        <f t="shared" si="140"/>
        <v>2.4000000000000341</v>
      </c>
      <c r="Q1752" s="6">
        <f t="shared" si="141"/>
        <v>7.1877807726865358E-3</v>
      </c>
      <c r="R1752" s="5">
        <f t="shared" si="142"/>
        <v>19.350000000000023</v>
      </c>
      <c r="S1752" s="6">
        <f t="shared" si="143"/>
        <v>5.795148247978444E-2</v>
      </c>
      <c r="T1752" s="6">
        <f t="shared" si="144"/>
        <v>-2.9858545142360779E-5</v>
      </c>
    </row>
    <row r="1753" spans="1:20" hidden="1" x14ac:dyDescent="0.25">
      <c r="A1753" s="4" t="s">
        <v>1650</v>
      </c>
      <c r="B1753" s="5" t="s">
        <v>16</v>
      </c>
      <c r="C1753" s="5" t="s">
        <v>1823</v>
      </c>
      <c r="D1753" s="5">
        <v>128</v>
      </c>
      <c r="E1753" s="5">
        <v>129.4</v>
      </c>
      <c r="F1753" s="5">
        <v>129.4</v>
      </c>
      <c r="G1753" s="5">
        <v>120.45</v>
      </c>
      <c r="H1753" s="5">
        <v>122.3</v>
      </c>
      <c r="I1753" s="5">
        <v>122.3</v>
      </c>
      <c r="J1753" s="5">
        <v>122.46</v>
      </c>
      <c r="K1753" s="5">
        <v>1648</v>
      </c>
      <c r="L1753" s="5">
        <v>2.02</v>
      </c>
      <c r="M1753" s="5">
        <v>36</v>
      </c>
      <c r="N1753" s="5">
        <v>1455</v>
      </c>
      <c r="O1753" s="5">
        <v>88.29</v>
      </c>
      <c r="P1753" s="5">
        <f t="shared" si="140"/>
        <v>-5.7000000000000028</v>
      </c>
      <c r="Q1753" s="6">
        <f t="shared" si="141"/>
        <v>-4.4531250000000022E-2</v>
      </c>
      <c r="R1753" s="5">
        <f t="shared" si="142"/>
        <v>8.9500000000000028</v>
      </c>
      <c r="S1753" s="6">
        <f t="shared" si="143"/>
        <v>6.9921875000000022E-2</v>
      </c>
      <c r="T1753" s="6">
        <f t="shared" si="144"/>
        <v>-1.2760442627853382E-3</v>
      </c>
    </row>
    <row r="1754" spans="1:20" hidden="1" x14ac:dyDescent="0.25">
      <c r="A1754" s="4" t="s">
        <v>1651</v>
      </c>
      <c r="B1754" s="5" t="s">
        <v>16</v>
      </c>
      <c r="C1754" s="5" t="s">
        <v>1823</v>
      </c>
      <c r="D1754" s="5">
        <v>213.65</v>
      </c>
      <c r="E1754" s="5">
        <v>215.6</v>
      </c>
      <c r="F1754" s="5">
        <v>224.3</v>
      </c>
      <c r="G1754" s="5">
        <v>215.6</v>
      </c>
      <c r="H1754" s="5">
        <v>224.3</v>
      </c>
      <c r="I1754" s="5">
        <v>224.3</v>
      </c>
      <c r="J1754" s="5">
        <v>224.11</v>
      </c>
      <c r="K1754" s="5">
        <v>5074</v>
      </c>
      <c r="L1754" s="5">
        <v>11.37</v>
      </c>
      <c r="M1754" s="5">
        <v>46</v>
      </c>
      <c r="N1754" s="5">
        <v>4072</v>
      </c>
      <c r="O1754" s="5">
        <v>80.25</v>
      </c>
      <c r="P1754" s="5">
        <f t="shared" si="140"/>
        <v>10.650000000000006</v>
      </c>
      <c r="Q1754" s="6">
        <f t="shared" si="141"/>
        <v>4.9847882050081935E-2</v>
      </c>
      <c r="R1754" s="5">
        <f t="shared" si="142"/>
        <v>8.7000000000000171</v>
      </c>
      <c r="S1754" s="6">
        <f t="shared" si="143"/>
        <v>4.0720805054996569E-2</v>
      </c>
      <c r="T1754" s="6">
        <f t="shared" si="144"/>
        <v>8.6383268924754601E-4</v>
      </c>
    </row>
    <row r="1755" spans="1:20" x14ac:dyDescent="0.25">
      <c r="A1755" s="4" t="s">
        <v>1181</v>
      </c>
      <c r="B1755" s="5" t="s">
        <v>16</v>
      </c>
      <c r="C1755" s="5" t="s">
        <v>1823</v>
      </c>
      <c r="D1755" s="5">
        <v>35.950000000000003</v>
      </c>
      <c r="E1755" s="5">
        <v>35.549999999999997</v>
      </c>
      <c r="F1755" s="5">
        <v>36</v>
      </c>
      <c r="G1755" s="5">
        <v>33.549999999999997</v>
      </c>
      <c r="H1755" s="5">
        <v>33.65</v>
      </c>
      <c r="I1755" s="5">
        <v>33.700000000000003</v>
      </c>
      <c r="J1755" s="5">
        <v>34.979999999999997</v>
      </c>
      <c r="K1755" s="5">
        <v>122065</v>
      </c>
      <c r="L1755" s="5">
        <v>42.69</v>
      </c>
      <c r="M1755" s="5">
        <v>639</v>
      </c>
      <c r="N1755" s="5">
        <v>92559</v>
      </c>
      <c r="O1755" s="5">
        <v>75.83</v>
      </c>
      <c r="P1755" s="5">
        <f t="shared" si="140"/>
        <v>-2.25</v>
      </c>
      <c r="Q1755" s="6">
        <f t="shared" si="141"/>
        <v>-6.258692628650904E-2</v>
      </c>
      <c r="R1755" s="5">
        <f t="shared" si="142"/>
        <v>2.4500000000000028</v>
      </c>
      <c r="S1755" s="6">
        <f t="shared" si="143"/>
        <v>6.8150208623087696E-2</v>
      </c>
      <c r="T1755" s="6">
        <f t="shared" si="144"/>
        <v>-3.6887608069164093E-2</v>
      </c>
    </row>
    <row r="1756" spans="1:20" hidden="1" x14ac:dyDescent="0.25">
      <c r="A1756" s="4" t="s">
        <v>1653</v>
      </c>
      <c r="B1756" s="5" t="s">
        <v>24</v>
      </c>
      <c r="C1756" s="5" t="s">
        <v>1823</v>
      </c>
      <c r="D1756" s="5">
        <v>4.3499999999999996</v>
      </c>
      <c r="E1756" s="5">
        <v>4.2</v>
      </c>
      <c r="F1756" s="5">
        <v>4.5</v>
      </c>
      <c r="G1756" s="5">
        <v>4.2</v>
      </c>
      <c r="H1756" s="5">
        <v>4.5</v>
      </c>
      <c r="I1756" s="5">
        <v>4.5</v>
      </c>
      <c r="J1756" s="5">
        <v>4.3499999999999996</v>
      </c>
      <c r="K1756" s="5">
        <v>2</v>
      </c>
      <c r="L1756" s="5">
        <v>0</v>
      </c>
      <c r="M1756" s="5">
        <v>2</v>
      </c>
      <c r="N1756" s="5" t="s">
        <v>25</v>
      </c>
      <c r="O1756" s="5" t="s">
        <v>25</v>
      </c>
      <c r="P1756" s="5">
        <f t="shared" si="140"/>
        <v>0.15000000000000036</v>
      </c>
      <c r="Q1756" s="6">
        <f t="shared" si="141"/>
        <v>3.4482758620689738E-2</v>
      </c>
      <c r="R1756" s="5">
        <f t="shared" si="142"/>
        <v>0.29999999999999982</v>
      </c>
      <c r="S1756" s="6">
        <f t="shared" si="143"/>
        <v>6.8965517241379282E-2</v>
      </c>
      <c r="T1756" s="6">
        <f t="shared" si="144"/>
        <v>3.4482758620689738E-2</v>
      </c>
    </row>
    <row r="1757" spans="1:20" x14ac:dyDescent="0.25">
      <c r="A1757" s="4" t="s">
        <v>176</v>
      </c>
      <c r="B1757" s="5" t="s">
        <v>16</v>
      </c>
      <c r="C1757" s="5" t="s">
        <v>1823</v>
      </c>
      <c r="D1757" s="5">
        <v>80.400000000000006</v>
      </c>
      <c r="E1757" s="5">
        <v>80</v>
      </c>
      <c r="F1757" s="5">
        <v>82.05</v>
      </c>
      <c r="G1757" s="5">
        <v>79.05</v>
      </c>
      <c r="H1757" s="5">
        <v>79.05</v>
      </c>
      <c r="I1757" s="5">
        <v>80</v>
      </c>
      <c r="J1757" s="5">
        <v>80.02</v>
      </c>
      <c r="K1757" s="5">
        <v>128330</v>
      </c>
      <c r="L1757" s="5">
        <v>102.69</v>
      </c>
      <c r="M1757" s="5">
        <v>420</v>
      </c>
      <c r="N1757" s="5">
        <v>97727</v>
      </c>
      <c r="O1757" s="5">
        <v>76.150000000000006</v>
      </c>
      <c r="P1757" s="5">
        <f t="shared" si="140"/>
        <v>-0.40000000000000568</v>
      </c>
      <c r="Q1757" s="6">
        <f t="shared" si="141"/>
        <v>-4.9751243781095229E-3</v>
      </c>
      <c r="R1757" s="5">
        <f t="shared" si="142"/>
        <v>3</v>
      </c>
      <c r="S1757" s="6">
        <f t="shared" si="143"/>
        <v>3.7313432835820892E-2</v>
      </c>
      <c r="T1757" s="6">
        <f t="shared" si="144"/>
        <v>-2.4914356898157606E-4</v>
      </c>
    </row>
    <row r="1758" spans="1:20" hidden="1" x14ac:dyDescent="0.25">
      <c r="A1758" s="4" t="s">
        <v>1655</v>
      </c>
      <c r="B1758" s="5" t="s">
        <v>39</v>
      </c>
      <c r="C1758" s="5" t="s">
        <v>1823</v>
      </c>
      <c r="D1758" s="5">
        <v>6.35</v>
      </c>
      <c r="E1758" s="5">
        <v>6.05</v>
      </c>
      <c r="F1758" s="5">
        <v>6.05</v>
      </c>
      <c r="G1758" s="5">
        <v>6.05</v>
      </c>
      <c r="H1758" s="5">
        <v>6.05</v>
      </c>
      <c r="I1758" s="5">
        <v>6.05</v>
      </c>
      <c r="J1758" s="5">
        <v>6.05</v>
      </c>
      <c r="K1758" s="5">
        <v>9</v>
      </c>
      <c r="L1758" s="5">
        <v>0</v>
      </c>
      <c r="M1758" s="5">
        <v>1</v>
      </c>
      <c r="N1758" s="5" t="s">
        <v>25</v>
      </c>
      <c r="O1758" s="5" t="s">
        <v>25</v>
      </c>
      <c r="P1758" s="5">
        <f t="shared" si="140"/>
        <v>-0.29999999999999982</v>
      </c>
      <c r="Q1758" s="6">
        <f t="shared" si="141"/>
        <v>-4.7244094488188948E-2</v>
      </c>
      <c r="R1758" s="5">
        <f t="shared" si="142"/>
        <v>0</v>
      </c>
      <c r="S1758" s="6">
        <f t="shared" si="143"/>
        <v>0</v>
      </c>
      <c r="T1758" s="6">
        <f t="shared" si="144"/>
        <v>0</v>
      </c>
    </row>
    <row r="1759" spans="1:20" hidden="1" x14ac:dyDescent="0.25">
      <c r="A1759" s="4" t="s">
        <v>1656</v>
      </c>
      <c r="B1759" s="5" t="s">
        <v>16</v>
      </c>
      <c r="C1759" s="5" t="s">
        <v>1823</v>
      </c>
      <c r="D1759" s="5">
        <v>508.5</v>
      </c>
      <c r="E1759" s="5">
        <v>509.05</v>
      </c>
      <c r="F1759" s="5">
        <v>519.5</v>
      </c>
      <c r="G1759" s="5">
        <v>509</v>
      </c>
      <c r="H1759" s="5">
        <v>512</v>
      </c>
      <c r="I1759" s="5">
        <v>512.15</v>
      </c>
      <c r="J1759" s="5">
        <v>514.16</v>
      </c>
      <c r="K1759" s="5">
        <v>13369</v>
      </c>
      <c r="L1759" s="5">
        <v>68.739999999999995</v>
      </c>
      <c r="M1759" s="5">
        <v>685</v>
      </c>
      <c r="N1759" s="5">
        <v>9465</v>
      </c>
      <c r="O1759" s="5">
        <v>70.8</v>
      </c>
      <c r="P1759" s="5">
        <f t="shared" si="140"/>
        <v>3.6499999999999773</v>
      </c>
      <c r="Q1759" s="6">
        <f t="shared" si="141"/>
        <v>7.1779744346115578E-3</v>
      </c>
      <c r="R1759" s="5">
        <f t="shared" si="142"/>
        <v>10.5</v>
      </c>
      <c r="S1759" s="6">
        <f t="shared" si="143"/>
        <v>2.0648967551622419E-2</v>
      </c>
      <c r="T1759" s="6">
        <f t="shared" si="144"/>
        <v>-3.9225252475971924E-3</v>
      </c>
    </row>
    <row r="1760" spans="1:20" hidden="1" x14ac:dyDescent="0.25">
      <c r="A1760" s="4" t="s">
        <v>1657</v>
      </c>
      <c r="B1760" s="5" t="s">
        <v>16</v>
      </c>
      <c r="C1760" s="5" t="s">
        <v>1823</v>
      </c>
      <c r="D1760" s="5">
        <v>12.6</v>
      </c>
      <c r="E1760" s="5">
        <v>12.5</v>
      </c>
      <c r="F1760" s="5">
        <v>12.75</v>
      </c>
      <c r="G1760" s="5">
        <v>12.3</v>
      </c>
      <c r="H1760" s="5">
        <v>12.6</v>
      </c>
      <c r="I1760" s="5">
        <v>12.5</v>
      </c>
      <c r="J1760" s="5">
        <v>12.49</v>
      </c>
      <c r="K1760" s="5">
        <v>26245</v>
      </c>
      <c r="L1760" s="5">
        <v>3.28</v>
      </c>
      <c r="M1760" s="5">
        <v>76</v>
      </c>
      <c r="N1760" s="5">
        <v>17777</v>
      </c>
      <c r="O1760" s="5">
        <v>67.73</v>
      </c>
      <c r="P1760" s="5">
        <f t="shared" si="140"/>
        <v>-9.9999999999999645E-2</v>
      </c>
      <c r="Q1760" s="6">
        <f t="shared" si="141"/>
        <v>-7.9365079365079083E-3</v>
      </c>
      <c r="R1760" s="5">
        <f t="shared" si="142"/>
        <v>0.44999999999999929</v>
      </c>
      <c r="S1760" s="6">
        <f t="shared" si="143"/>
        <v>3.5714285714285657E-2</v>
      </c>
      <c r="T1760" s="6">
        <f t="shared" si="144"/>
        <v>7.9920079920078218E-4</v>
      </c>
    </row>
    <row r="1761" spans="1:20" hidden="1" x14ac:dyDescent="0.25">
      <c r="A1761" s="4" t="s">
        <v>1658</v>
      </c>
      <c r="B1761" s="5" t="s">
        <v>16</v>
      </c>
      <c r="C1761" s="5" t="s">
        <v>1823</v>
      </c>
      <c r="D1761" s="5">
        <v>4490.3</v>
      </c>
      <c r="E1761" s="5">
        <v>4570</v>
      </c>
      <c r="F1761" s="5">
        <v>4570</v>
      </c>
      <c r="G1761" s="5">
        <v>4465.05</v>
      </c>
      <c r="H1761" s="5">
        <v>4465.05</v>
      </c>
      <c r="I1761" s="5">
        <v>4484.55</v>
      </c>
      <c r="J1761" s="5">
        <v>4528.03</v>
      </c>
      <c r="K1761" s="5">
        <v>1186</v>
      </c>
      <c r="L1761" s="5">
        <v>53.7</v>
      </c>
      <c r="M1761" s="5">
        <v>313</v>
      </c>
      <c r="N1761" s="5">
        <v>761</v>
      </c>
      <c r="O1761" s="5">
        <v>64.17</v>
      </c>
      <c r="P1761" s="5">
        <f t="shared" si="140"/>
        <v>-5.75</v>
      </c>
      <c r="Q1761" s="6">
        <f t="shared" si="141"/>
        <v>-1.280538048682716E-3</v>
      </c>
      <c r="R1761" s="5">
        <f t="shared" si="142"/>
        <v>104.94999999999982</v>
      </c>
      <c r="S1761" s="6">
        <f t="shared" si="143"/>
        <v>2.3372603166826229E-2</v>
      </c>
      <c r="T1761" s="6">
        <f t="shared" si="144"/>
        <v>-9.614364054484249E-3</v>
      </c>
    </row>
    <row r="1762" spans="1:20" hidden="1" x14ac:dyDescent="0.25">
      <c r="A1762" s="4" t="s">
        <v>1659</v>
      </c>
      <c r="B1762" s="5" t="s">
        <v>16</v>
      </c>
      <c r="C1762" s="5" t="s">
        <v>1823</v>
      </c>
      <c r="D1762" s="5">
        <v>411.85</v>
      </c>
      <c r="E1762" s="5">
        <v>400.3</v>
      </c>
      <c r="F1762" s="5">
        <v>423.95</v>
      </c>
      <c r="G1762" s="5">
        <v>394.95</v>
      </c>
      <c r="H1762" s="5">
        <v>400.1</v>
      </c>
      <c r="I1762" s="5">
        <v>404.85</v>
      </c>
      <c r="J1762" s="5">
        <v>407.32</v>
      </c>
      <c r="K1762" s="5">
        <v>2451</v>
      </c>
      <c r="L1762" s="5">
        <v>9.98</v>
      </c>
      <c r="M1762" s="5">
        <v>141</v>
      </c>
      <c r="N1762" s="5">
        <v>2298</v>
      </c>
      <c r="O1762" s="5">
        <v>93.76</v>
      </c>
      <c r="P1762" s="5">
        <f t="shared" si="140"/>
        <v>-7</v>
      </c>
      <c r="Q1762" s="6">
        <f t="shared" si="141"/>
        <v>-1.699647930071628E-2</v>
      </c>
      <c r="R1762" s="5">
        <f t="shared" si="142"/>
        <v>29</v>
      </c>
      <c r="S1762" s="6">
        <f t="shared" si="143"/>
        <v>7.041398567439601E-2</v>
      </c>
      <c r="T1762" s="6">
        <f t="shared" si="144"/>
        <v>-6.0835565407468244E-3</v>
      </c>
    </row>
    <row r="1763" spans="1:20" hidden="1" x14ac:dyDescent="0.25">
      <c r="A1763" s="4" t="s">
        <v>1660</v>
      </c>
      <c r="B1763" s="5" t="s">
        <v>16</v>
      </c>
      <c r="C1763" s="5" t="s">
        <v>1823</v>
      </c>
      <c r="D1763" s="5">
        <v>389.35</v>
      </c>
      <c r="E1763" s="5">
        <v>389.35</v>
      </c>
      <c r="F1763" s="5">
        <v>404.05</v>
      </c>
      <c r="G1763" s="5">
        <v>377.35</v>
      </c>
      <c r="H1763" s="5">
        <v>404.05</v>
      </c>
      <c r="I1763" s="5">
        <v>399.55</v>
      </c>
      <c r="J1763" s="5">
        <v>391.16</v>
      </c>
      <c r="K1763" s="5">
        <v>89433</v>
      </c>
      <c r="L1763" s="5">
        <v>349.83</v>
      </c>
      <c r="M1763" s="5">
        <v>2806</v>
      </c>
      <c r="N1763" s="5">
        <v>62088</v>
      </c>
      <c r="O1763" s="5">
        <v>69.42</v>
      </c>
      <c r="P1763" s="5">
        <f t="shared" si="140"/>
        <v>10.199999999999989</v>
      </c>
      <c r="Q1763" s="6">
        <f t="shared" si="141"/>
        <v>2.619750866829328E-2</v>
      </c>
      <c r="R1763" s="5">
        <f t="shared" si="142"/>
        <v>26.699999999999989</v>
      </c>
      <c r="S1763" s="6">
        <f t="shared" si="143"/>
        <v>6.8575831514061866E-2</v>
      </c>
      <c r="T1763" s="6">
        <f t="shared" si="144"/>
        <v>2.1371712411641052E-2</v>
      </c>
    </row>
    <row r="1764" spans="1:20" hidden="1" x14ac:dyDescent="0.25">
      <c r="A1764" s="4" t="s">
        <v>1661</v>
      </c>
      <c r="B1764" s="5" t="s">
        <v>16</v>
      </c>
      <c r="C1764" s="5" t="s">
        <v>1823</v>
      </c>
      <c r="D1764" s="5">
        <v>10.1</v>
      </c>
      <c r="E1764" s="5">
        <v>9.6999999999999993</v>
      </c>
      <c r="F1764" s="5">
        <v>10.199999999999999</v>
      </c>
      <c r="G1764" s="5">
        <v>9.6</v>
      </c>
      <c r="H1764" s="5">
        <v>9.6</v>
      </c>
      <c r="I1764" s="5">
        <v>9.6999999999999993</v>
      </c>
      <c r="J1764" s="5">
        <v>9.69</v>
      </c>
      <c r="K1764" s="5">
        <v>11414</v>
      </c>
      <c r="L1764" s="5">
        <v>1.1100000000000001</v>
      </c>
      <c r="M1764" s="5">
        <v>67</v>
      </c>
      <c r="N1764" s="5">
        <v>9761</v>
      </c>
      <c r="O1764" s="5">
        <v>85.52</v>
      </c>
      <c r="P1764" s="5">
        <f t="shared" si="140"/>
        <v>-0.40000000000000036</v>
      </c>
      <c r="Q1764" s="6">
        <f t="shared" si="141"/>
        <v>-3.9603960396039639E-2</v>
      </c>
      <c r="R1764" s="5">
        <f t="shared" si="142"/>
        <v>0.59999999999999964</v>
      </c>
      <c r="S1764" s="6">
        <f t="shared" si="143"/>
        <v>5.9405940594059375E-2</v>
      </c>
      <c r="T1764" s="6">
        <f t="shared" si="144"/>
        <v>1.0204081632652843E-3</v>
      </c>
    </row>
    <row r="1765" spans="1:20" hidden="1" x14ac:dyDescent="0.25">
      <c r="A1765" s="4" t="s">
        <v>1662</v>
      </c>
      <c r="B1765" s="5" t="s">
        <v>16</v>
      </c>
      <c r="C1765" s="5" t="s">
        <v>1823</v>
      </c>
      <c r="D1765" s="5">
        <v>214.7</v>
      </c>
      <c r="E1765" s="5">
        <v>218.4</v>
      </c>
      <c r="F1765" s="5">
        <v>220.55</v>
      </c>
      <c r="G1765" s="5">
        <v>210.65</v>
      </c>
      <c r="H1765" s="5">
        <v>210.65</v>
      </c>
      <c r="I1765" s="5">
        <v>212.4</v>
      </c>
      <c r="J1765" s="5">
        <v>215.66</v>
      </c>
      <c r="K1765" s="5">
        <v>3253</v>
      </c>
      <c r="L1765" s="5">
        <v>7.02</v>
      </c>
      <c r="M1765" s="5">
        <v>319</v>
      </c>
      <c r="N1765" s="5">
        <v>1629</v>
      </c>
      <c r="O1765" s="5">
        <v>50.08</v>
      </c>
      <c r="P1765" s="5">
        <f t="shared" si="140"/>
        <v>-2.2999999999999829</v>
      </c>
      <c r="Q1765" s="6">
        <f t="shared" si="141"/>
        <v>-1.0712622263623583E-2</v>
      </c>
      <c r="R1765" s="5">
        <f t="shared" si="142"/>
        <v>9.9000000000000057</v>
      </c>
      <c r="S1765" s="6">
        <f t="shared" si="143"/>
        <v>4.6110852352119265E-2</v>
      </c>
      <c r="T1765" s="6">
        <f t="shared" si="144"/>
        <v>-1.5127610208816663E-2</v>
      </c>
    </row>
    <row r="1766" spans="1:20" hidden="1" x14ac:dyDescent="0.25">
      <c r="A1766" s="4" t="s">
        <v>1663</v>
      </c>
      <c r="B1766" s="5" t="s">
        <v>16</v>
      </c>
      <c r="C1766" s="5" t="s">
        <v>1823</v>
      </c>
      <c r="D1766" s="5">
        <v>32.85</v>
      </c>
      <c r="E1766" s="5">
        <v>33.200000000000003</v>
      </c>
      <c r="F1766" s="5">
        <v>36.1</v>
      </c>
      <c r="G1766" s="5">
        <v>33.200000000000003</v>
      </c>
      <c r="H1766" s="5">
        <v>34.65</v>
      </c>
      <c r="I1766" s="5">
        <v>34.6</v>
      </c>
      <c r="J1766" s="5">
        <v>35.049999999999997</v>
      </c>
      <c r="K1766" s="5">
        <v>1999</v>
      </c>
      <c r="L1766" s="5">
        <v>0.7</v>
      </c>
      <c r="M1766" s="5">
        <v>30</v>
      </c>
      <c r="N1766" s="5">
        <v>1825</v>
      </c>
      <c r="O1766" s="5">
        <v>91.3</v>
      </c>
      <c r="P1766" s="5">
        <f t="shared" si="140"/>
        <v>1.75</v>
      </c>
      <c r="Q1766" s="6">
        <f t="shared" si="141"/>
        <v>5.3272450532724502E-2</v>
      </c>
      <c r="R1766" s="5">
        <f t="shared" si="142"/>
        <v>2.8999999999999986</v>
      </c>
      <c r="S1766" s="6">
        <f t="shared" si="143"/>
        <v>8.8280060882800562E-2</v>
      </c>
      <c r="T1766" s="6">
        <f t="shared" si="144"/>
        <v>-1.3129102844638823E-2</v>
      </c>
    </row>
    <row r="1767" spans="1:20" x14ac:dyDescent="0.25">
      <c r="A1767" s="4" t="s">
        <v>352</v>
      </c>
      <c r="B1767" s="5" t="s">
        <v>16</v>
      </c>
      <c r="C1767" s="5" t="s">
        <v>1823</v>
      </c>
      <c r="D1767" s="5">
        <v>662.65</v>
      </c>
      <c r="E1767" s="5">
        <v>662.7</v>
      </c>
      <c r="F1767" s="5">
        <v>682.8</v>
      </c>
      <c r="G1767" s="5">
        <v>651.1</v>
      </c>
      <c r="H1767" s="5">
        <v>668</v>
      </c>
      <c r="I1767" s="5">
        <v>670.05</v>
      </c>
      <c r="J1767" s="5">
        <v>675.8</v>
      </c>
      <c r="K1767" s="5">
        <v>143621</v>
      </c>
      <c r="L1767" s="5">
        <v>970.59</v>
      </c>
      <c r="M1767" s="5">
        <v>3148</v>
      </c>
      <c r="N1767" s="5">
        <v>110398</v>
      </c>
      <c r="O1767" s="5">
        <v>76.87</v>
      </c>
      <c r="P1767" s="5">
        <f t="shared" si="140"/>
        <v>7.3999999999999773</v>
      </c>
      <c r="Q1767" s="6">
        <f t="shared" si="141"/>
        <v>1.1167282879348038E-2</v>
      </c>
      <c r="R1767" s="5">
        <f t="shared" si="142"/>
        <v>31.699999999999932</v>
      </c>
      <c r="S1767" s="6">
        <f t="shared" si="143"/>
        <v>4.7838225307477451E-2</v>
      </c>
      <c r="T1767" s="6">
        <f t="shared" si="144"/>
        <v>-8.6250539065869172E-3</v>
      </c>
    </row>
    <row r="1768" spans="1:20" hidden="1" x14ac:dyDescent="0.25">
      <c r="A1768" s="4" t="s">
        <v>1665</v>
      </c>
      <c r="B1768" s="5" t="s">
        <v>16</v>
      </c>
      <c r="C1768" s="5" t="s">
        <v>1823</v>
      </c>
      <c r="D1768" s="5">
        <v>796.15</v>
      </c>
      <c r="E1768" s="5">
        <v>793.9</v>
      </c>
      <c r="F1768" s="5">
        <v>794</v>
      </c>
      <c r="G1768" s="5">
        <v>775</v>
      </c>
      <c r="H1768" s="5">
        <v>778.5</v>
      </c>
      <c r="I1768" s="5">
        <v>777.9</v>
      </c>
      <c r="J1768" s="5">
        <v>781.72</v>
      </c>
      <c r="K1768" s="5">
        <v>54147</v>
      </c>
      <c r="L1768" s="5">
        <v>423.28</v>
      </c>
      <c r="M1768" s="5">
        <v>3525</v>
      </c>
      <c r="N1768" s="5">
        <v>29142</v>
      </c>
      <c r="O1768" s="5">
        <v>53.82</v>
      </c>
      <c r="P1768" s="5">
        <f t="shared" si="140"/>
        <v>-18.25</v>
      </c>
      <c r="Q1768" s="6">
        <f t="shared" si="141"/>
        <v>-2.2922816052251462E-2</v>
      </c>
      <c r="R1768" s="5">
        <f t="shared" si="142"/>
        <v>19</v>
      </c>
      <c r="S1768" s="6">
        <f t="shared" si="143"/>
        <v>2.3864849588645355E-2</v>
      </c>
      <c r="T1768" s="6">
        <f t="shared" si="144"/>
        <v>-4.8650025471218159E-3</v>
      </c>
    </row>
    <row r="1769" spans="1:20" x14ac:dyDescent="0.25">
      <c r="A1769" s="4" t="s">
        <v>1730</v>
      </c>
      <c r="B1769" s="5" t="s">
        <v>16</v>
      </c>
      <c r="C1769" s="5" t="s">
        <v>1823</v>
      </c>
      <c r="D1769" s="5">
        <v>29.75</v>
      </c>
      <c r="E1769" s="5">
        <v>29.95</v>
      </c>
      <c r="F1769" s="5">
        <v>30.95</v>
      </c>
      <c r="G1769" s="5">
        <v>28.8</v>
      </c>
      <c r="H1769" s="5">
        <v>29</v>
      </c>
      <c r="I1769" s="5">
        <v>29.35</v>
      </c>
      <c r="J1769" s="5">
        <v>29.27</v>
      </c>
      <c r="K1769" s="5">
        <v>3142546</v>
      </c>
      <c r="L1769" s="5">
        <v>919.83</v>
      </c>
      <c r="M1769" s="5">
        <v>8130</v>
      </c>
      <c r="N1769" s="5">
        <v>2431877</v>
      </c>
      <c r="O1769" s="5">
        <v>77.39</v>
      </c>
      <c r="P1769" s="5">
        <f t="shared" si="140"/>
        <v>-0.39999999999999858</v>
      </c>
      <c r="Q1769" s="6">
        <f t="shared" si="141"/>
        <v>-1.3445378151260456E-2</v>
      </c>
      <c r="R1769" s="5">
        <f t="shared" si="142"/>
        <v>2.1499999999999986</v>
      </c>
      <c r="S1769" s="6">
        <f t="shared" si="143"/>
        <v>7.2268907563025162E-2</v>
      </c>
      <c r="T1769" s="6">
        <f t="shared" si="144"/>
        <v>2.6879462410752402E-3</v>
      </c>
    </row>
    <row r="1770" spans="1:20" hidden="1" x14ac:dyDescent="0.25">
      <c r="A1770" s="4" t="s">
        <v>1667</v>
      </c>
      <c r="B1770" s="5" t="s">
        <v>16</v>
      </c>
      <c r="C1770" s="5" t="s">
        <v>1823</v>
      </c>
      <c r="D1770" s="5">
        <v>72.849999999999994</v>
      </c>
      <c r="E1770" s="5">
        <v>72</v>
      </c>
      <c r="F1770" s="5">
        <v>73.5</v>
      </c>
      <c r="G1770" s="5">
        <v>71.349999999999994</v>
      </c>
      <c r="H1770" s="5">
        <v>71.650000000000006</v>
      </c>
      <c r="I1770" s="5">
        <v>71.650000000000006</v>
      </c>
      <c r="J1770" s="5">
        <v>71.67</v>
      </c>
      <c r="K1770" s="5">
        <v>712</v>
      </c>
      <c r="L1770" s="5">
        <v>0.51</v>
      </c>
      <c r="M1770" s="5">
        <v>30</v>
      </c>
      <c r="N1770" s="5">
        <v>673</v>
      </c>
      <c r="O1770" s="5">
        <v>94.52</v>
      </c>
      <c r="P1770" s="5">
        <f t="shared" si="140"/>
        <v>-1.1999999999999886</v>
      </c>
      <c r="Q1770" s="6">
        <f t="shared" si="141"/>
        <v>-1.6472203157172117E-2</v>
      </c>
      <c r="R1770" s="5">
        <f t="shared" si="142"/>
        <v>2.1500000000000057</v>
      </c>
      <c r="S1770" s="6">
        <f t="shared" si="143"/>
        <v>2.9512697323267067E-2</v>
      </c>
      <c r="T1770" s="6">
        <f t="shared" si="144"/>
        <v>-2.7729636048521347E-4</v>
      </c>
    </row>
    <row r="1771" spans="1:20" x14ac:dyDescent="0.25">
      <c r="A1771" s="4" t="s">
        <v>366</v>
      </c>
      <c r="B1771" s="5" t="s">
        <v>16</v>
      </c>
      <c r="C1771" s="5" t="s">
        <v>1823</v>
      </c>
      <c r="D1771" s="5">
        <v>837.95</v>
      </c>
      <c r="E1771" s="5">
        <v>840.5</v>
      </c>
      <c r="F1771" s="5">
        <v>846.7</v>
      </c>
      <c r="G1771" s="5">
        <v>790.05</v>
      </c>
      <c r="H1771" s="5">
        <v>805.05</v>
      </c>
      <c r="I1771" s="5">
        <v>798.3</v>
      </c>
      <c r="J1771" s="5">
        <v>810.01</v>
      </c>
      <c r="K1771" s="5">
        <v>148094</v>
      </c>
      <c r="L1771" s="5">
        <v>1199.58</v>
      </c>
      <c r="M1771" s="5">
        <v>7301</v>
      </c>
      <c r="N1771" s="5">
        <v>115801</v>
      </c>
      <c r="O1771" s="5">
        <v>78.19</v>
      </c>
      <c r="P1771" s="5">
        <f t="shared" si="140"/>
        <v>-39.650000000000091</v>
      </c>
      <c r="Q1771" s="6">
        <f t="shared" si="141"/>
        <v>-4.7317859060803255E-2</v>
      </c>
      <c r="R1771" s="5">
        <f t="shared" si="142"/>
        <v>56.650000000000091</v>
      </c>
      <c r="S1771" s="6">
        <f t="shared" si="143"/>
        <v>6.76054657199118E-2</v>
      </c>
      <c r="T1771" s="6">
        <f t="shared" si="144"/>
        <v>-1.4299888568332079E-2</v>
      </c>
    </row>
    <row r="1772" spans="1:20" hidden="1" x14ac:dyDescent="0.25">
      <c r="A1772" s="4" t="s">
        <v>1669</v>
      </c>
      <c r="B1772" s="5" t="s">
        <v>28</v>
      </c>
      <c r="C1772" s="5" t="s">
        <v>1823</v>
      </c>
      <c r="D1772" s="5">
        <v>43.4</v>
      </c>
      <c r="E1772" s="5">
        <v>43.05</v>
      </c>
      <c r="F1772" s="5">
        <v>43.05</v>
      </c>
      <c r="G1772" s="5">
        <v>43.05</v>
      </c>
      <c r="H1772" s="5">
        <v>43.05</v>
      </c>
      <c r="I1772" s="5">
        <v>43.05</v>
      </c>
      <c r="J1772" s="5">
        <v>43.05</v>
      </c>
      <c r="K1772" s="5">
        <v>2000</v>
      </c>
      <c r="L1772" s="5">
        <v>0.86</v>
      </c>
      <c r="M1772" s="5">
        <v>1</v>
      </c>
      <c r="N1772" s="5">
        <v>2000</v>
      </c>
      <c r="O1772" s="5">
        <v>100</v>
      </c>
      <c r="P1772" s="5">
        <f t="shared" si="140"/>
        <v>-0.35000000000000142</v>
      </c>
      <c r="Q1772" s="6">
        <f t="shared" si="141"/>
        <v>-8.0645161290322908E-3</v>
      </c>
      <c r="R1772" s="5">
        <f t="shared" si="142"/>
        <v>0</v>
      </c>
      <c r="S1772" s="6">
        <f t="shared" si="143"/>
        <v>0</v>
      </c>
      <c r="T1772" s="6">
        <f t="shared" si="144"/>
        <v>0</v>
      </c>
    </row>
    <row r="1773" spans="1:20" x14ac:dyDescent="0.25">
      <c r="A1773" s="4" t="s">
        <v>463</v>
      </c>
      <c r="B1773" s="5" t="s">
        <v>16</v>
      </c>
      <c r="C1773" s="5" t="s">
        <v>1823</v>
      </c>
      <c r="D1773" s="5">
        <v>331.2</v>
      </c>
      <c r="E1773" s="5">
        <v>334</v>
      </c>
      <c r="F1773" s="5">
        <v>334</v>
      </c>
      <c r="G1773" s="5">
        <v>320.5</v>
      </c>
      <c r="H1773" s="5">
        <v>330</v>
      </c>
      <c r="I1773" s="5">
        <v>329.8</v>
      </c>
      <c r="J1773" s="5">
        <v>328.74</v>
      </c>
      <c r="K1773" s="5">
        <v>350807</v>
      </c>
      <c r="L1773" s="5">
        <v>1153.24</v>
      </c>
      <c r="M1773" s="5">
        <v>19061</v>
      </c>
      <c r="N1773" s="5">
        <v>277269</v>
      </c>
      <c r="O1773" s="5">
        <v>79.040000000000006</v>
      </c>
      <c r="P1773" s="5">
        <f t="shared" si="140"/>
        <v>-1.3999999999999773</v>
      </c>
      <c r="Q1773" s="6">
        <f t="shared" si="141"/>
        <v>-4.2270531400965495E-3</v>
      </c>
      <c r="R1773" s="5">
        <f t="shared" si="142"/>
        <v>13.5</v>
      </c>
      <c r="S1773" s="6">
        <f t="shared" si="143"/>
        <v>4.0760869565217392E-2</v>
      </c>
      <c r="T1773" s="6">
        <f t="shared" si="144"/>
        <v>3.2162633694910181E-3</v>
      </c>
    </row>
    <row r="1774" spans="1:20" hidden="1" x14ac:dyDescent="0.25">
      <c r="A1774" s="4" t="s">
        <v>1671</v>
      </c>
      <c r="B1774" s="5" t="s">
        <v>39</v>
      </c>
      <c r="C1774" s="5" t="s">
        <v>1823</v>
      </c>
      <c r="D1774" s="5">
        <v>12.1</v>
      </c>
      <c r="E1774" s="5">
        <v>12.1</v>
      </c>
      <c r="F1774" s="5">
        <v>12.7</v>
      </c>
      <c r="G1774" s="5">
        <v>12</v>
      </c>
      <c r="H1774" s="5">
        <v>12.65</v>
      </c>
      <c r="I1774" s="5">
        <v>12.55</v>
      </c>
      <c r="J1774" s="5">
        <v>12.54</v>
      </c>
      <c r="K1774" s="5">
        <v>15262</v>
      </c>
      <c r="L1774" s="5">
        <v>1.91</v>
      </c>
      <c r="M1774" s="5">
        <v>54</v>
      </c>
      <c r="N1774" s="5" t="s">
        <v>25</v>
      </c>
      <c r="O1774" s="5" t="s">
        <v>25</v>
      </c>
      <c r="P1774" s="5">
        <f t="shared" si="140"/>
        <v>0.45000000000000107</v>
      </c>
      <c r="Q1774" s="6">
        <f t="shared" si="141"/>
        <v>3.719008264462819E-2</v>
      </c>
      <c r="R1774" s="5">
        <f t="shared" si="142"/>
        <v>0.69999999999999929</v>
      </c>
      <c r="S1774" s="6">
        <f t="shared" si="143"/>
        <v>5.7851239669421434E-2</v>
      </c>
      <c r="T1774" s="6">
        <f t="shared" si="144"/>
        <v>8.1053698074987351E-4</v>
      </c>
    </row>
    <row r="1775" spans="1:20" hidden="1" x14ac:dyDescent="0.25">
      <c r="A1775" s="4" t="s">
        <v>1672</v>
      </c>
      <c r="B1775" s="5" t="s">
        <v>16</v>
      </c>
      <c r="C1775" s="5" t="s">
        <v>1823</v>
      </c>
      <c r="D1775" s="5">
        <v>35.75</v>
      </c>
      <c r="E1775" s="5">
        <v>37</v>
      </c>
      <c r="F1775" s="5">
        <v>37</v>
      </c>
      <c r="G1775" s="5">
        <v>34.299999999999997</v>
      </c>
      <c r="H1775" s="5">
        <v>34.950000000000003</v>
      </c>
      <c r="I1775" s="5">
        <v>34.75</v>
      </c>
      <c r="J1775" s="5">
        <v>35.119999999999997</v>
      </c>
      <c r="K1775" s="5">
        <v>70578</v>
      </c>
      <c r="L1775" s="5">
        <v>24.79</v>
      </c>
      <c r="M1775" s="5">
        <v>877</v>
      </c>
      <c r="N1775" s="5">
        <v>47028</v>
      </c>
      <c r="O1775" s="5">
        <v>66.63</v>
      </c>
      <c r="P1775" s="5">
        <f t="shared" si="140"/>
        <v>-1</v>
      </c>
      <c r="Q1775" s="6">
        <f t="shared" si="141"/>
        <v>-2.7972027972027972E-2</v>
      </c>
      <c r="R1775" s="5">
        <f t="shared" si="142"/>
        <v>2.7000000000000028</v>
      </c>
      <c r="S1775" s="6">
        <f t="shared" si="143"/>
        <v>7.5524475524475609E-2</v>
      </c>
      <c r="T1775" s="6">
        <f t="shared" si="144"/>
        <v>-1.0346032855644807E-2</v>
      </c>
    </row>
    <row r="1776" spans="1:20" x14ac:dyDescent="0.25">
      <c r="A1776" s="4" t="s">
        <v>555</v>
      </c>
      <c r="B1776" s="5" t="s">
        <v>16</v>
      </c>
      <c r="C1776" s="5" t="s">
        <v>1823</v>
      </c>
      <c r="D1776" s="5">
        <v>71.5</v>
      </c>
      <c r="E1776" s="5">
        <v>71.650000000000006</v>
      </c>
      <c r="F1776" s="5">
        <v>72.7</v>
      </c>
      <c r="G1776" s="5">
        <v>70.150000000000006</v>
      </c>
      <c r="H1776" s="5">
        <v>71</v>
      </c>
      <c r="I1776" s="5">
        <v>70.849999999999994</v>
      </c>
      <c r="J1776" s="5">
        <v>71.44</v>
      </c>
      <c r="K1776" s="5">
        <v>128389</v>
      </c>
      <c r="L1776" s="5">
        <v>91.73</v>
      </c>
      <c r="M1776" s="5">
        <v>603</v>
      </c>
      <c r="N1776" s="5">
        <v>101717</v>
      </c>
      <c r="O1776" s="5">
        <v>79.23</v>
      </c>
      <c r="P1776" s="5">
        <f t="shared" si="140"/>
        <v>-0.65000000000000568</v>
      </c>
      <c r="Q1776" s="6">
        <f t="shared" si="141"/>
        <v>-9.0909090909091703E-3</v>
      </c>
      <c r="R1776" s="5">
        <f t="shared" si="142"/>
        <v>2.5499999999999972</v>
      </c>
      <c r="S1776" s="6">
        <f t="shared" si="143"/>
        <v>3.5664335664335627E-2</v>
      </c>
      <c r="T1776" s="6">
        <f t="shared" si="144"/>
        <v>-8.2705449448046732E-3</v>
      </c>
    </row>
    <row r="1777" spans="1:20" hidden="1" x14ac:dyDescent="0.25">
      <c r="A1777" s="4" t="s">
        <v>1868</v>
      </c>
      <c r="B1777" s="5" t="s">
        <v>39</v>
      </c>
      <c r="C1777" s="5" t="s">
        <v>1823</v>
      </c>
      <c r="D1777" s="5">
        <v>1.55</v>
      </c>
      <c r="E1777" s="5">
        <v>1.5</v>
      </c>
      <c r="F1777" s="5">
        <v>1.5</v>
      </c>
      <c r="G1777" s="5">
        <v>1.5</v>
      </c>
      <c r="H1777" s="5">
        <v>1.5</v>
      </c>
      <c r="I1777" s="5">
        <v>1.5</v>
      </c>
      <c r="J1777" s="5">
        <v>1.5</v>
      </c>
      <c r="K1777" s="5">
        <v>1</v>
      </c>
      <c r="L1777" s="5">
        <v>0</v>
      </c>
      <c r="M1777" s="5">
        <v>1</v>
      </c>
      <c r="N1777" s="5" t="s">
        <v>25</v>
      </c>
      <c r="O1777" s="5" t="s">
        <v>25</v>
      </c>
      <c r="P1777" s="5">
        <f t="shared" si="140"/>
        <v>-5.0000000000000044E-2</v>
      </c>
      <c r="Q1777" s="6">
        <f t="shared" si="141"/>
        <v>-3.2258064516129059E-2</v>
      </c>
      <c r="R1777" s="5">
        <f t="shared" si="142"/>
        <v>0</v>
      </c>
      <c r="S1777" s="6">
        <f t="shared" si="143"/>
        <v>0</v>
      </c>
      <c r="T1777" s="6">
        <f t="shared" si="144"/>
        <v>0</v>
      </c>
    </row>
    <row r="1778" spans="1:20" hidden="1" x14ac:dyDescent="0.25">
      <c r="A1778" s="4" t="s">
        <v>1674</v>
      </c>
      <c r="B1778" s="5" t="s">
        <v>16</v>
      </c>
      <c r="C1778" s="5" t="s">
        <v>1823</v>
      </c>
      <c r="D1778" s="5">
        <v>52.5</v>
      </c>
      <c r="E1778" s="5">
        <v>53</v>
      </c>
      <c r="F1778" s="5">
        <v>53.2</v>
      </c>
      <c r="G1778" s="5">
        <v>53</v>
      </c>
      <c r="H1778" s="5">
        <v>53</v>
      </c>
      <c r="I1778" s="5">
        <v>53</v>
      </c>
      <c r="J1778" s="5">
        <v>53</v>
      </c>
      <c r="K1778" s="5">
        <v>3980</v>
      </c>
      <c r="L1778" s="5">
        <v>2.11</v>
      </c>
      <c r="M1778" s="5">
        <v>38</v>
      </c>
      <c r="N1778" s="5">
        <v>3960</v>
      </c>
      <c r="O1778" s="5">
        <v>99.5</v>
      </c>
      <c r="P1778" s="5">
        <f t="shared" si="140"/>
        <v>0.5</v>
      </c>
      <c r="Q1778" s="6">
        <f t="shared" si="141"/>
        <v>9.5238095238095247E-3</v>
      </c>
      <c r="R1778" s="5">
        <f t="shared" si="142"/>
        <v>0.20000000000000284</v>
      </c>
      <c r="S1778" s="6">
        <f t="shared" si="143"/>
        <v>3.8095238095238637E-3</v>
      </c>
      <c r="T1778" s="6">
        <f t="shared" si="144"/>
        <v>0</v>
      </c>
    </row>
    <row r="1779" spans="1:20" hidden="1" x14ac:dyDescent="0.25">
      <c r="A1779" s="4" t="s">
        <v>1675</v>
      </c>
      <c r="B1779" s="5" t="s">
        <v>16</v>
      </c>
      <c r="C1779" s="5" t="s">
        <v>1823</v>
      </c>
      <c r="D1779" s="5">
        <v>1697.95</v>
      </c>
      <c r="E1779" s="5">
        <v>1697.95</v>
      </c>
      <c r="F1779" s="5">
        <v>1715</v>
      </c>
      <c r="G1779" s="5">
        <v>1685</v>
      </c>
      <c r="H1779" s="5">
        <v>1700</v>
      </c>
      <c r="I1779" s="5">
        <v>1703.1</v>
      </c>
      <c r="J1779" s="5">
        <v>1701.47</v>
      </c>
      <c r="K1779" s="5">
        <v>155370</v>
      </c>
      <c r="L1779" s="5">
        <v>2643.58</v>
      </c>
      <c r="M1779" s="5">
        <v>14640</v>
      </c>
      <c r="N1779" s="5">
        <v>73454</v>
      </c>
      <c r="O1779" s="5">
        <v>47.28</v>
      </c>
      <c r="P1779" s="5">
        <f t="shared" si="140"/>
        <v>5.1499999999998636</v>
      </c>
      <c r="Q1779" s="6">
        <f t="shared" si="141"/>
        <v>3.0330692894371823E-3</v>
      </c>
      <c r="R1779" s="5">
        <f t="shared" si="142"/>
        <v>30</v>
      </c>
      <c r="S1779" s="6">
        <f t="shared" si="143"/>
        <v>1.7668364792838422E-2</v>
      </c>
      <c r="T1779" s="6">
        <f t="shared" si="144"/>
        <v>9.5867549863617053E-4</v>
      </c>
    </row>
    <row r="1780" spans="1:20" hidden="1" x14ac:dyDescent="0.25">
      <c r="A1780" s="4" t="s">
        <v>1676</v>
      </c>
      <c r="B1780" s="5" t="s">
        <v>16</v>
      </c>
      <c r="C1780" s="5" t="s">
        <v>1823</v>
      </c>
      <c r="D1780" s="5">
        <v>286.7</v>
      </c>
      <c r="E1780" s="5">
        <v>287.2</v>
      </c>
      <c r="F1780" s="5">
        <v>289.39999999999998</v>
      </c>
      <c r="G1780" s="5">
        <v>284.2</v>
      </c>
      <c r="H1780" s="5">
        <v>288.75</v>
      </c>
      <c r="I1780" s="5">
        <v>288.2</v>
      </c>
      <c r="J1780" s="5">
        <v>287.19</v>
      </c>
      <c r="K1780" s="5">
        <v>650451</v>
      </c>
      <c r="L1780" s="5">
        <v>1868.05</v>
      </c>
      <c r="M1780" s="5">
        <v>8481</v>
      </c>
      <c r="N1780" s="5">
        <v>169270</v>
      </c>
      <c r="O1780" s="5">
        <v>26.02</v>
      </c>
      <c r="P1780" s="5">
        <f t="shared" si="140"/>
        <v>1.5</v>
      </c>
      <c r="Q1780" s="6">
        <f t="shared" si="141"/>
        <v>5.2319497732821766E-3</v>
      </c>
      <c r="R1780" s="5">
        <f t="shared" si="142"/>
        <v>5.1999999999999886</v>
      </c>
      <c r="S1780" s="6">
        <f t="shared" si="143"/>
        <v>1.8137425880711506E-2</v>
      </c>
      <c r="T1780" s="6">
        <f t="shared" si="144"/>
        <v>3.5161009573541893E-3</v>
      </c>
    </row>
    <row r="1781" spans="1:20" hidden="1" x14ac:dyDescent="0.25">
      <c r="A1781" s="4" t="s">
        <v>1677</v>
      </c>
      <c r="B1781" s="5" t="s">
        <v>16</v>
      </c>
      <c r="C1781" s="5" t="s">
        <v>1823</v>
      </c>
      <c r="D1781" s="5">
        <v>148.6</v>
      </c>
      <c r="E1781" s="5">
        <v>148.6</v>
      </c>
      <c r="F1781" s="5">
        <v>156.80000000000001</v>
      </c>
      <c r="G1781" s="5">
        <v>142.9</v>
      </c>
      <c r="H1781" s="5">
        <v>145.05000000000001</v>
      </c>
      <c r="I1781" s="5">
        <v>145.94999999999999</v>
      </c>
      <c r="J1781" s="5">
        <v>149.08000000000001</v>
      </c>
      <c r="K1781" s="5">
        <v>14126</v>
      </c>
      <c r="L1781" s="5">
        <v>21.06</v>
      </c>
      <c r="M1781" s="5">
        <v>764</v>
      </c>
      <c r="N1781" s="5">
        <v>5477</v>
      </c>
      <c r="O1781" s="5">
        <v>38.770000000000003</v>
      </c>
      <c r="P1781" s="5">
        <f t="shared" si="140"/>
        <v>-2.6500000000000057</v>
      </c>
      <c r="Q1781" s="6">
        <f t="shared" si="141"/>
        <v>-1.7833109017496674E-2</v>
      </c>
      <c r="R1781" s="5">
        <f t="shared" si="142"/>
        <v>13.900000000000006</v>
      </c>
      <c r="S1781" s="6">
        <f t="shared" si="143"/>
        <v>9.35397039030956E-2</v>
      </c>
      <c r="T1781" s="6">
        <f t="shared" si="144"/>
        <v>-2.1068573832562214E-2</v>
      </c>
    </row>
    <row r="1782" spans="1:20" hidden="1" x14ac:dyDescent="0.25">
      <c r="A1782" s="4" t="s">
        <v>1678</v>
      </c>
      <c r="B1782" s="5" t="s">
        <v>39</v>
      </c>
      <c r="C1782" s="5" t="s">
        <v>1823</v>
      </c>
      <c r="D1782" s="5">
        <v>5.85</v>
      </c>
      <c r="E1782" s="5">
        <v>5.75</v>
      </c>
      <c r="F1782" s="5">
        <v>5.9</v>
      </c>
      <c r="G1782" s="5">
        <v>5.6</v>
      </c>
      <c r="H1782" s="5">
        <v>5.8</v>
      </c>
      <c r="I1782" s="5">
        <v>5.75</v>
      </c>
      <c r="J1782" s="5">
        <v>5.86</v>
      </c>
      <c r="K1782" s="5">
        <v>67470</v>
      </c>
      <c r="L1782" s="5">
        <v>3.95</v>
      </c>
      <c r="M1782" s="5">
        <v>36</v>
      </c>
      <c r="N1782" s="5" t="s">
        <v>25</v>
      </c>
      <c r="O1782" s="5" t="s">
        <v>25</v>
      </c>
      <c r="P1782" s="5">
        <f t="shared" si="140"/>
        <v>-9.9999999999999645E-2</v>
      </c>
      <c r="Q1782" s="6">
        <f t="shared" si="141"/>
        <v>-1.7094017094017033E-2</v>
      </c>
      <c r="R1782" s="5">
        <f t="shared" si="142"/>
        <v>0.30000000000000071</v>
      </c>
      <c r="S1782" s="6">
        <f t="shared" si="143"/>
        <v>5.1282051282051405E-2</v>
      </c>
      <c r="T1782" s="6">
        <f t="shared" si="144"/>
        <v>-1.913043478260875E-2</v>
      </c>
    </row>
    <row r="1783" spans="1:20" hidden="1" x14ac:dyDescent="0.25">
      <c r="A1783" s="4" t="s">
        <v>1679</v>
      </c>
      <c r="B1783" s="5" t="s">
        <v>16</v>
      </c>
      <c r="C1783" s="5" t="s">
        <v>1823</v>
      </c>
      <c r="D1783" s="5">
        <v>16.399999999999999</v>
      </c>
      <c r="E1783" s="5">
        <v>15.65</v>
      </c>
      <c r="F1783" s="5">
        <v>16.25</v>
      </c>
      <c r="G1783" s="5">
        <v>15.6</v>
      </c>
      <c r="H1783" s="5">
        <v>15.6</v>
      </c>
      <c r="I1783" s="5">
        <v>15.6</v>
      </c>
      <c r="J1783" s="5">
        <v>15.79</v>
      </c>
      <c r="K1783" s="5">
        <v>2915</v>
      </c>
      <c r="L1783" s="5">
        <v>0.46</v>
      </c>
      <c r="M1783" s="5">
        <v>39</v>
      </c>
      <c r="N1783" s="5">
        <v>1264</v>
      </c>
      <c r="O1783" s="5">
        <v>43.36</v>
      </c>
      <c r="P1783" s="5">
        <f t="shared" si="140"/>
        <v>-0.79999999999999893</v>
      </c>
      <c r="Q1783" s="6">
        <f t="shared" si="141"/>
        <v>-4.8780487804877988E-2</v>
      </c>
      <c r="R1783" s="5">
        <f t="shared" si="142"/>
        <v>0.65000000000000036</v>
      </c>
      <c r="S1783" s="6">
        <f t="shared" si="143"/>
        <v>3.9634146341463443E-2</v>
      </c>
      <c r="T1783" s="6">
        <f t="shared" si="144"/>
        <v>-1.2044374009508684E-2</v>
      </c>
    </row>
    <row r="1784" spans="1:20" hidden="1" x14ac:dyDescent="0.25">
      <c r="A1784" s="4" t="s">
        <v>1680</v>
      </c>
      <c r="B1784" s="5" t="s">
        <v>16</v>
      </c>
      <c r="C1784" s="5" t="s">
        <v>1823</v>
      </c>
      <c r="D1784" s="5">
        <v>515.4</v>
      </c>
      <c r="E1784" s="5">
        <v>516.54999999999995</v>
      </c>
      <c r="F1784" s="5">
        <v>520</v>
      </c>
      <c r="G1784" s="5">
        <v>512</v>
      </c>
      <c r="H1784" s="5">
        <v>518.29999999999995</v>
      </c>
      <c r="I1784" s="5">
        <v>517.85</v>
      </c>
      <c r="J1784" s="5">
        <v>517.73</v>
      </c>
      <c r="K1784" s="5">
        <v>234480</v>
      </c>
      <c r="L1784" s="5">
        <v>1213.97</v>
      </c>
      <c r="M1784" s="5">
        <v>7247</v>
      </c>
      <c r="N1784" s="5">
        <v>159628</v>
      </c>
      <c r="O1784" s="5">
        <v>68.08</v>
      </c>
      <c r="P1784" s="5">
        <f t="shared" si="140"/>
        <v>2.4500000000000455</v>
      </c>
      <c r="Q1784" s="6">
        <f t="shared" si="141"/>
        <v>4.7535894450912797E-3</v>
      </c>
      <c r="R1784" s="5">
        <f t="shared" si="142"/>
        <v>8</v>
      </c>
      <c r="S1784" s="6">
        <f t="shared" si="143"/>
        <v>1.5521924718665115E-2</v>
      </c>
      <c r="T1784" s="6">
        <f t="shared" si="144"/>
        <v>2.3228803716609473E-4</v>
      </c>
    </row>
    <row r="1785" spans="1:20" x14ac:dyDescent="0.25">
      <c r="A1785" s="4" t="s">
        <v>1524</v>
      </c>
      <c r="B1785" s="5" t="s">
        <v>16</v>
      </c>
      <c r="C1785" s="5" t="s">
        <v>1823</v>
      </c>
      <c r="D1785" s="5">
        <v>81.55</v>
      </c>
      <c r="E1785" s="5">
        <v>81.55</v>
      </c>
      <c r="F1785" s="5">
        <v>83.8</v>
      </c>
      <c r="G1785" s="5">
        <v>78.150000000000006</v>
      </c>
      <c r="H1785" s="5">
        <v>79.95</v>
      </c>
      <c r="I1785" s="5">
        <v>79.3</v>
      </c>
      <c r="J1785" s="5">
        <v>81.75</v>
      </c>
      <c r="K1785" s="5">
        <v>105969</v>
      </c>
      <c r="L1785" s="5">
        <v>86.63</v>
      </c>
      <c r="M1785" s="5">
        <v>973</v>
      </c>
      <c r="N1785" s="5">
        <v>83993</v>
      </c>
      <c r="O1785" s="5">
        <v>79.260000000000005</v>
      </c>
      <c r="P1785" s="5">
        <f t="shared" si="140"/>
        <v>-2.25</v>
      </c>
      <c r="Q1785" s="6">
        <f t="shared" si="141"/>
        <v>-2.7590435315757205E-2</v>
      </c>
      <c r="R1785" s="5">
        <f t="shared" si="142"/>
        <v>5.6499999999999915</v>
      </c>
      <c r="S1785" s="6">
        <f t="shared" si="143"/>
        <v>6.928264868179021E-2</v>
      </c>
      <c r="T1785" s="6">
        <f t="shared" si="144"/>
        <v>-3.035935563816608E-2</v>
      </c>
    </row>
    <row r="1786" spans="1:20" x14ac:dyDescent="0.25">
      <c r="A1786" s="4" t="s">
        <v>1752</v>
      </c>
      <c r="B1786" s="5" t="s">
        <v>16</v>
      </c>
      <c r="C1786" s="5" t="s">
        <v>1823</v>
      </c>
      <c r="D1786" s="5">
        <v>11.2</v>
      </c>
      <c r="E1786" s="5">
        <v>11.4</v>
      </c>
      <c r="F1786" s="5">
        <v>11.65</v>
      </c>
      <c r="G1786" s="5">
        <v>10.9</v>
      </c>
      <c r="H1786" s="5">
        <v>11.05</v>
      </c>
      <c r="I1786" s="5">
        <v>11.25</v>
      </c>
      <c r="J1786" s="5">
        <v>11.3</v>
      </c>
      <c r="K1786" s="5">
        <v>235039</v>
      </c>
      <c r="L1786" s="5">
        <v>26.57</v>
      </c>
      <c r="M1786" s="5">
        <v>318</v>
      </c>
      <c r="N1786" s="5">
        <v>187600</v>
      </c>
      <c r="O1786" s="5">
        <v>79.819999999999993</v>
      </c>
      <c r="P1786" s="5">
        <f t="shared" si="140"/>
        <v>5.0000000000000711E-2</v>
      </c>
      <c r="Q1786" s="6">
        <f t="shared" si="141"/>
        <v>4.4642857142857782E-3</v>
      </c>
      <c r="R1786" s="5">
        <f t="shared" si="142"/>
        <v>0.75</v>
      </c>
      <c r="S1786" s="6">
        <f t="shared" si="143"/>
        <v>6.6964285714285712E-2</v>
      </c>
      <c r="T1786" s="6">
        <f t="shared" si="144"/>
        <v>-4.4247787610620093E-3</v>
      </c>
    </row>
    <row r="1787" spans="1:20" hidden="1" x14ac:dyDescent="0.25">
      <c r="A1787" s="4" t="s">
        <v>1683</v>
      </c>
      <c r="B1787" s="5" t="s">
        <v>16</v>
      </c>
      <c r="C1787" s="5" t="s">
        <v>1823</v>
      </c>
      <c r="D1787" s="5">
        <v>53.25</v>
      </c>
      <c r="E1787" s="5">
        <v>53.35</v>
      </c>
      <c r="F1787" s="5">
        <v>53.35</v>
      </c>
      <c r="G1787" s="5">
        <v>50.6</v>
      </c>
      <c r="H1787" s="5">
        <v>51</v>
      </c>
      <c r="I1787" s="5">
        <v>51.05</v>
      </c>
      <c r="J1787" s="5">
        <v>51.65</v>
      </c>
      <c r="K1787" s="5">
        <v>38046</v>
      </c>
      <c r="L1787" s="5">
        <v>19.649999999999999</v>
      </c>
      <c r="M1787" s="5">
        <v>515</v>
      </c>
      <c r="N1787" s="5">
        <v>24609</v>
      </c>
      <c r="O1787" s="5">
        <v>64.680000000000007</v>
      </c>
      <c r="P1787" s="5">
        <f t="shared" si="140"/>
        <v>-2.2000000000000028</v>
      </c>
      <c r="Q1787" s="6">
        <f t="shared" si="141"/>
        <v>-4.1314553990610382E-2</v>
      </c>
      <c r="R1787" s="5">
        <f t="shared" si="142"/>
        <v>2.75</v>
      </c>
      <c r="S1787" s="6">
        <f t="shared" si="143"/>
        <v>5.1643192488262914E-2</v>
      </c>
      <c r="T1787" s="6">
        <f t="shared" si="144"/>
        <v>-1.1519078473722128E-2</v>
      </c>
    </row>
    <row r="1788" spans="1:20" hidden="1" x14ac:dyDescent="0.25">
      <c r="A1788" s="4" t="s">
        <v>1684</v>
      </c>
      <c r="B1788" s="5" t="s">
        <v>16</v>
      </c>
      <c r="C1788" s="5" t="s">
        <v>1823</v>
      </c>
      <c r="D1788" s="5">
        <v>8.1</v>
      </c>
      <c r="E1788" s="5">
        <v>8.25</v>
      </c>
      <c r="F1788" s="5">
        <v>9</v>
      </c>
      <c r="G1788" s="5">
        <v>8.1999999999999993</v>
      </c>
      <c r="H1788" s="5">
        <v>8.5</v>
      </c>
      <c r="I1788" s="5">
        <v>8.5</v>
      </c>
      <c r="J1788" s="5">
        <v>8.5399999999999991</v>
      </c>
      <c r="K1788" s="5">
        <v>69548</v>
      </c>
      <c r="L1788" s="5">
        <v>5.94</v>
      </c>
      <c r="M1788" s="5">
        <v>245</v>
      </c>
      <c r="N1788" s="5">
        <v>40910</v>
      </c>
      <c r="O1788" s="5">
        <v>58.82</v>
      </c>
      <c r="P1788" s="5">
        <f t="shared" si="140"/>
        <v>0.40000000000000036</v>
      </c>
      <c r="Q1788" s="6">
        <f t="shared" si="141"/>
        <v>4.9382716049382762E-2</v>
      </c>
      <c r="R1788" s="5">
        <f t="shared" si="142"/>
        <v>0.80000000000000071</v>
      </c>
      <c r="S1788" s="6">
        <f t="shared" si="143"/>
        <v>9.8765432098765524E-2</v>
      </c>
      <c r="T1788" s="6">
        <f t="shared" si="144"/>
        <v>-4.7128129602355398E-3</v>
      </c>
    </row>
    <row r="1789" spans="1:20" hidden="1" x14ac:dyDescent="0.25">
      <c r="A1789" s="4" t="s">
        <v>1685</v>
      </c>
      <c r="B1789" s="5" t="s">
        <v>16</v>
      </c>
      <c r="C1789" s="5" t="s">
        <v>1823</v>
      </c>
      <c r="D1789" s="5">
        <v>103.4</v>
      </c>
      <c r="E1789" s="5">
        <v>103.35</v>
      </c>
      <c r="F1789" s="5">
        <v>103.95</v>
      </c>
      <c r="G1789" s="5">
        <v>100.25</v>
      </c>
      <c r="H1789" s="5">
        <v>100.5</v>
      </c>
      <c r="I1789" s="5">
        <v>101.45</v>
      </c>
      <c r="J1789" s="5">
        <v>101.99</v>
      </c>
      <c r="K1789" s="5">
        <v>16050</v>
      </c>
      <c r="L1789" s="5">
        <v>16.37</v>
      </c>
      <c r="M1789" s="5">
        <v>433</v>
      </c>
      <c r="N1789" s="5">
        <v>8781</v>
      </c>
      <c r="O1789" s="5">
        <v>54.71</v>
      </c>
      <c r="P1789" s="5">
        <f t="shared" si="140"/>
        <v>-1.9500000000000028</v>
      </c>
      <c r="Q1789" s="6">
        <f t="shared" si="141"/>
        <v>-1.8858800773694416E-2</v>
      </c>
      <c r="R1789" s="5">
        <f t="shared" si="142"/>
        <v>3.7000000000000028</v>
      </c>
      <c r="S1789" s="6">
        <f t="shared" si="143"/>
        <v>3.5783365570599641E-2</v>
      </c>
      <c r="T1789" s="6">
        <f t="shared" si="144"/>
        <v>-5.2811735941319512E-3</v>
      </c>
    </row>
    <row r="1790" spans="1:20" x14ac:dyDescent="0.25">
      <c r="A1790" s="4" t="s">
        <v>1609</v>
      </c>
      <c r="B1790" s="5" t="s">
        <v>16</v>
      </c>
      <c r="C1790" s="5" t="s">
        <v>1823</v>
      </c>
      <c r="D1790" s="5">
        <v>54.2</v>
      </c>
      <c r="E1790" s="5">
        <v>54.5</v>
      </c>
      <c r="F1790" s="5">
        <v>54.5</v>
      </c>
      <c r="G1790" s="5">
        <v>52</v>
      </c>
      <c r="H1790" s="5">
        <v>52.35</v>
      </c>
      <c r="I1790" s="5">
        <v>52.55</v>
      </c>
      <c r="J1790" s="5">
        <v>52.97</v>
      </c>
      <c r="K1790" s="5">
        <v>177407</v>
      </c>
      <c r="L1790" s="5">
        <v>93.97</v>
      </c>
      <c r="M1790" s="5">
        <v>1556</v>
      </c>
      <c r="N1790" s="5">
        <v>144209</v>
      </c>
      <c r="O1790" s="5">
        <v>81.290000000000006</v>
      </c>
      <c r="P1790" s="5">
        <f t="shared" si="140"/>
        <v>-1.6500000000000057</v>
      </c>
      <c r="Q1790" s="6">
        <f t="shared" si="141"/>
        <v>-3.0442804428044385E-2</v>
      </c>
      <c r="R1790" s="5">
        <f t="shared" si="142"/>
        <v>2.5</v>
      </c>
      <c r="S1790" s="6">
        <f t="shared" si="143"/>
        <v>4.6125461254612546E-2</v>
      </c>
      <c r="T1790" s="6">
        <f t="shared" si="144"/>
        <v>-7.8670100678998201E-3</v>
      </c>
    </row>
    <row r="1791" spans="1:20" hidden="1" x14ac:dyDescent="0.25">
      <c r="A1791" s="4" t="s">
        <v>1687</v>
      </c>
      <c r="B1791" s="5" t="s">
        <v>16</v>
      </c>
      <c r="C1791" s="5" t="s">
        <v>1823</v>
      </c>
      <c r="D1791" s="5">
        <v>490.15</v>
      </c>
      <c r="E1791" s="5">
        <v>499</v>
      </c>
      <c r="F1791" s="5">
        <v>499</v>
      </c>
      <c r="G1791" s="5">
        <v>480</v>
      </c>
      <c r="H1791" s="5">
        <v>485</v>
      </c>
      <c r="I1791" s="5">
        <v>489.65</v>
      </c>
      <c r="J1791" s="5">
        <v>483.72</v>
      </c>
      <c r="K1791" s="5">
        <v>1737</v>
      </c>
      <c r="L1791" s="5">
        <v>8.4</v>
      </c>
      <c r="M1791" s="5">
        <v>250</v>
      </c>
      <c r="N1791" s="5">
        <v>986</v>
      </c>
      <c r="O1791" s="5">
        <v>56.76</v>
      </c>
      <c r="P1791" s="5">
        <f t="shared" si="140"/>
        <v>-0.5</v>
      </c>
      <c r="Q1791" s="6">
        <f t="shared" si="141"/>
        <v>-1.0200958890135673E-3</v>
      </c>
      <c r="R1791" s="5">
        <f t="shared" si="142"/>
        <v>19</v>
      </c>
      <c r="S1791" s="6">
        <f t="shared" si="143"/>
        <v>3.876364378251556E-2</v>
      </c>
      <c r="T1791" s="6">
        <f t="shared" si="144"/>
        <v>1.2054989454425227E-2</v>
      </c>
    </row>
    <row r="1792" spans="1:20" hidden="1" x14ac:dyDescent="0.25">
      <c r="A1792" s="4" t="s">
        <v>1688</v>
      </c>
      <c r="B1792" s="5" t="s">
        <v>16</v>
      </c>
      <c r="C1792" s="5" t="s">
        <v>1823</v>
      </c>
      <c r="D1792" s="5">
        <v>6294.85</v>
      </c>
      <c r="E1792" s="5">
        <v>6349.75</v>
      </c>
      <c r="F1792" s="5">
        <v>6349.75</v>
      </c>
      <c r="G1792" s="5">
        <v>6200</v>
      </c>
      <c r="H1792" s="5">
        <v>6201.3</v>
      </c>
      <c r="I1792" s="5">
        <v>6217.5</v>
      </c>
      <c r="J1792" s="5">
        <v>6233.34</v>
      </c>
      <c r="K1792" s="5">
        <v>1834</v>
      </c>
      <c r="L1792" s="5">
        <v>114.32</v>
      </c>
      <c r="M1792" s="5">
        <v>667</v>
      </c>
      <c r="N1792" s="5">
        <v>1438</v>
      </c>
      <c r="O1792" s="5">
        <v>78.41</v>
      </c>
      <c r="P1792" s="5">
        <f t="shared" si="140"/>
        <v>-77.350000000000364</v>
      </c>
      <c r="Q1792" s="6">
        <f t="shared" si="141"/>
        <v>-1.2287822585129171E-2</v>
      </c>
      <c r="R1792" s="5">
        <f t="shared" si="142"/>
        <v>149.75</v>
      </c>
      <c r="S1792" s="6">
        <f t="shared" si="143"/>
        <v>2.3789288068818158E-2</v>
      </c>
      <c r="T1792" s="6">
        <f t="shared" si="144"/>
        <v>-2.5225942588685186E-3</v>
      </c>
    </row>
    <row r="1793" spans="1:20" hidden="1" x14ac:dyDescent="0.25">
      <c r="A1793" s="4" t="s">
        <v>1689</v>
      </c>
      <c r="B1793" s="5" t="s">
        <v>16</v>
      </c>
      <c r="C1793" s="5" t="s">
        <v>1823</v>
      </c>
      <c r="D1793" s="5">
        <v>40.4</v>
      </c>
      <c r="E1793" s="5">
        <v>40</v>
      </c>
      <c r="F1793" s="5">
        <v>41.8</v>
      </c>
      <c r="G1793" s="5">
        <v>38.1</v>
      </c>
      <c r="H1793" s="5">
        <v>38.200000000000003</v>
      </c>
      <c r="I1793" s="5">
        <v>38.35</v>
      </c>
      <c r="J1793" s="5">
        <v>38.53</v>
      </c>
      <c r="K1793" s="5">
        <v>1754</v>
      </c>
      <c r="L1793" s="5">
        <v>0.68</v>
      </c>
      <c r="M1793" s="5">
        <v>72</v>
      </c>
      <c r="N1793" s="5">
        <v>1382</v>
      </c>
      <c r="O1793" s="5">
        <v>78.790000000000006</v>
      </c>
      <c r="P1793" s="5">
        <f t="shared" si="140"/>
        <v>-2.0499999999999972</v>
      </c>
      <c r="Q1793" s="6">
        <f t="shared" si="141"/>
        <v>-5.0742574257425677E-2</v>
      </c>
      <c r="R1793" s="5">
        <f t="shared" si="142"/>
        <v>3.6999999999999957</v>
      </c>
      <c r="S1793" s="6">
        <f t="shared" si="143"/>
        <v>9.1584158415841485E-2</v>
      </c>
      <c r="T1793" s="6">
        <f t="shared" si="144"/>
        <v>-4.549763033175348E-3</v>
      </c>
    </row>
    <row r="1794" spans="1:20" hidden="1" x14ac:dyDescent="0.25">
      <c r="A1794" s="4" t="s">
        <v>1690</v>
      </c>
      <c r="B1794" s="5" t="s">
        <v>16</v>
      </c>
      <c r="C1794" s="5" t="s">
        <v>1823</v>
      </c>
      <c r="D1794" s="5">
        <v>3.05</v>
      </c>
      <c r="E1794" s="5">
        <v>2.9</v>
      </c>
      <c r="F1794" s="5">
        <v>2.95</v>
      </c>
      <c r="G1794" s="5">
        <v>2.9</v>
      </c>
      <c r="H1794" s="5">
        <v>2.9</v>
      </c>
      <c r="I1794" s="5">
        <v>2.9</v>
      </c>
      <c r="J1794" s="5">
        <v>2.9</v>
      </c>
      <c r="K1794" s="5">
        <v>263075</v>
      </c>
      <c r="L1794" s="5">
        <v>7.63</v>
      </c>
      <c r="M1794" s="5">
        <v>249</v>
      </c>
      <c r="N1794" s="5">
        <v>233900</v>
      </c>
      <c r="O1794" s="5">
        <v>88.91</v>
      </c>
      <c r="P1794" s="5">
        <f t="shared" si="140"/>
        <v>-0.14999999999999991</v>
      </c>
      <c r="Q1794" s="6">
        <f t="shared" si="141"/>
        <v>-4.918032786885243E-2</v>
      </c>
      <c r="R1794" s="5">
        <f t="shared" si="142"/>
        <v>5.0000000000000266E-2</v>
      </c>
      <c r="S1794" s="6">
        <f t="shared" si="143"/>
        <v>1.6393442622950907E-2</v>
      </c>
      <c r="T1794" s="6">
        <f t="shared" si="144"/>
        <v>0</v>
      </c>
    </row>
    <row r="1795" spans="1:20" x14ac:dyDescent="0.25">
      <c r="A1795" s="4" t="s">
        <v>505</v>
      </c>
      <c r="B1795" s="5" t="s">
        <v>16</v>
      </c>
      <c r="C1795" s="5" t="s">
        <v>1823</v>
      </c>
      <c r="D1795" s="5">
        <v>38.549999999999997</v>
      </c>
      <c r="E1795" s="5">
        <v>38.85</v>
      </c>
      <c r="F1795" s="5">
        <v>39</v>
      </c>
      <c r="G1795" s="5">
        <v>37.700000000000003</v>
      </c>
      <c r="H1795" s="5">
        <v>38.200000000000003</v>
      </c>
      <c r="I1795" s="5">
        <v>38.049999999999997</v>
      </c>
      <c r="J1795" s="5">
        <v>38.369999999999997</v>
      </c>
      <c r="K1795" s="5">
        <v>225398</v>
      </c>
      <c r="L1795" s="5">
        <v>86.5</v>
      </c>
      <c r="M1795" s="5">
        <v>611</v>
      </c>
      <c r="N1795" s="5">
        <v>184783</v>
      </c>
      <c r="O1795" s="5">
        <v>81.98</v>
      </c>
      <c r="P1795" s="5">
        <f t="shared" si="140"/>
        <v>-0.5</v>
      </c>
      <c r="Q1795" s="6">
        <f t="shared" si="141"/>
        <v>-1.2970168612191959E-2</v>
      </c>
      <c r="R1795" s="5">
        <f t="shared" si="142"/>
        <v>1.2999999999999972</v>
      </c>
      <c r="S1795" s="6">
        <f t="shared" si="143"/>
        <v>3.3722438391699021E-2</v>
      </c>
      <c r="T1795" s="6">
        <f t="shared" si="144"/>
        <v>-8.3333333333333419E-3</v>
      </c>
    </row>
    <row r="1796" spans="1:20" hidden="1" x14ac:dyDescent="0.25">
      <c r="A1796" s="4" t="s">
        <v>1692</v>
      </c>
      <c r="B1796" s="5" t="s">
        <v>16</v>
      </c>
      <c r="C1796" s="5" t="s">
        <v>1823</v>
      </c>
      <c r="D1796" s="5">
        <v>151.35</v>
      </c>
      <c r="E1796" s="5">
        <v>151.5</v>
      </c>
      <c r="F1796" s="5">
        <v>151.5</v>
      </c>
      <c r="G1796" s="5">
        <v>145</v>
      </c>
      <c r="H1796" s="5">
        <v>145.9</v>
      </c>
      <c r="I1796" s="5">
        <v>145.55000000000001</v>
      </c>
      <c r="J1796" s="5">
        <v>147.58000000000001</v>
      </c>
      <c r="K1796" s="5">
        <v>39137</v>
      </c>
      <c r="L1796" s="5">
        <v>57.76</v>
      </c>
      <c r="M1796" s="5">
        <v>1006</v>
      </c>
      <c r="N1796" s="5">
        <v>22168</v>
      </c>
      <c r="O1796" s="5">
        <v>56.64</v>
      </c>
      <c r="P1796" s="5">
        <f t="shared" si="140"/>
        <v>-5.7999999999999829</v>
      </c>
      <c r="Q1796" s="6">
        <f t="shared" si="141"/>
        <v>-3.832177073009569E-2</v>
      </c>
      <c r="R1796" s="5">
        <f t="shared" si="142"/>
        <v>6.5</v>
      </c>
      <c r="S1796" s="6">
        <f t="shared" si="143"/>
        <v>4.2946812025107368E-2</v>
      </c>
      <c r="T1796" s="6">
        <f t="shared" si="144"/>
        <v>-1.3680397607615205E-2</v>
      </c>
    </row>
    <row r="1797" spans="1:20" x14ac:dyDescent="0.25">
      <c r="A1797" s="4" t="s">
        <v>1212</v>
      </c>
      <c r="B1797" s="5" t="s">
        <v>16</v>
      </c>
      <c r="C1797" s="5" t="s">
        <v>1823</v>
      </c>
      <c r="D1797" s="5">
        <v>10.95</v>
      </c>
      <c r="E1797" s="5">
        <v>10.8</v>
      </c>
      <c r="F1797" s="5">
        <v>10.95</v>
      </c>
      <c r="G1797" s="5">
        <v>10.5</v>
      </c>
      <c r="H1797" s="5">
        <v>10.7</v>
      </c>
      <c r="I1797" s="5">
        <v>10.6</v>
      </c>
      <c r="J1797" s="5">
        <v>10.61</v>
      </c>
      <c r="K1797" s="5">
        <v>100754</v>
      </c>
      <c r="L1797" s="5">
        <v>10.69</v>
      </c>
      <c r="M1797" s="5">
        <v>365</v>
      </c>
      <c r="N1797" s="5">
        <v>86422</v>
      </c>
      <c r="O1797" s="5">
        <v>85.78</v>
      </c>
      <c r="P1797" s="5">
        <f t="shared" si="140"/>
        <v>-0.34999999999999964</v>
      </c>
      <c r="Q1797" s="6">
        <f t="shared" si="141"/>
        <v>-3.1963470319634674E-2</v>
      </c>
      <c r="R1797" s="5">
        <f t="shared" si="142"/>
        <v>0.44999999999999929</v>
      </c>
      <c r="S1797" s="6">
        <f t="shared" si="143"/>
        <v>4.1095890410958839E-2</v>
      </c>
      <c r="T1797" s="6">
        <f t="shared" si="144"/>
        <v>-9.3348891481911662E-4</v>
      </c>
    </row>
    <row r="1798" spans="1:20" hidden="1" x14ac:dyDescent="0.25">
      <c r="A1798" s="4" t="s">
        <v>1694</v>
      </c>
      <c r="B1798" s="5" t="s">
        <v>16</v>
      </c>
      <c r="C1798" s="5" t="s">
        <v>1823</v>
      </c>
      <c r="D1798" s="5">
        <v>2012</v>
      </c>
      <c r="E1798" s="5">
        <v>2000</v>
      </c>
      <c r="F1798" s="5">
        <v>2009</v>
      </c>
      <c r="G1798" s="5">
        <v>1950</v>
      </c>
      <c r="H1798" s="5">
        <v>2000</v>
      </c>
      <c r="I1798" s="5">
        <v>1979.05</v>
      </c>
      <c r="J1798" s="5">
        <v>1973.25</v>
      </c>
      <c r="K1798" s="5">
        <v>2195</v>
      </c>
      <c r="L1798" s="5">
        <v>43.31</v>
      </c>
      <c r="M1798" s="5">
        <v>585</v>
      </c>
      <c r="N1798" s="5">
        <v>1369</v>
      </c>
      <c r="O1798" s="5">
        <v>62.37</v>
      </c>
      <c r="P1798" s="5">
        <f t="shared" si="140"/>
        <v>-32.950000000000045</v>
      </c>
      <c r="Q1798" s="6">
        <f t="shared" si="141"/>
        <v>-1.6376739562624278E-2</v>
      </c>
      <c r="R1798" s="5">
        <f t="shared" si="142"/>
        <v>59</v>
      </c>
      <c r="S1798" s="6">
        <f t="shared" si="143"/>
        <v>2.9324055666003976E-2</v>
      </c>
      <c r="T1798" s="6">
        <f t="shared" si="144"/>
        <v>2.9226321325766173E-3</v>
      </c>
    </row>
    <row r="1799" spans="1:20" hidden="1" x14ac:dyDescent="0.25">
      <c r="A1799" s="4" t="s">
        <v>1695</v>
      </c>
      <c r="B1799" s="5" t="s">
        <v>16</v>
      </c>
      <c r="C1799" s="5" t="s">
        <v>1823</v>
      </c>
      <c r="D1799" s="5">
        <v>311.14999999999998</v>
      </c>
      <c r="E1799" s="5">
        <v>311.14999999999998</v>
      </c>
      <c r="F1799" s="5">
        <v>313</v>
      </c>
      <c r="G1799" s="5">
        <v>301.5</v>
      </c>
      <c r="H1799" s="5">
        <v>302.55</v>
      </c>
      <c r="I1799" s="5">
        <v>304.14999999999998</v>
      </c>
      <c r="J1799" s="5">
        <v>307.83</v>
      </c>
      <c r="K1799" s="5">
        <v>18257</v>
      </c>
      <c r="L1799" s="5">
        <v>56.2</v>
      </c>
      <c r="M1799" s="5">
        <v>2402</v>
      </c>
      <c r="N1799" s="5">
        <v>12813</v>
      </c>
      <c r="O1799" s="5">
        <v>70.180000000000007</v>
      </c>
      <c r="P1799" s="5">
        <f t="shared" si="140"/>
        <v>-7</v>
      </c>
      <c r="Q1799" s="6">
        <f t="shared" si="141"/>
        <v>-2.2497187851518562E-2</v>
      </c>
      <c r="R1799" s="5">
        <f t="shared" si="142"/>
        <v>11.5</v>
      </c>
      <c r="S1799" s="6">
        <f t="shared" si="143"/>
        <v>3.6959665756066205E-2</v>
      </c>
      <c r="T1799" s="6">
        <f t="shared" si="144"/>
        <v>-1.1969425922914318E-2</v>
      </c>
    </row>
    <row r="1800" spans="1:20" x14ac:dyDescent="0.25">
      <c r="A1800" s="4" t="s">
        <v>368</v>
      </c>
      <c r="B1800" s="5" t="s">
        <v>16</v>
      </c>
      <c r="C1800" s="5" t="s">
        <v>1823</v>
      </c>
      <c r="D1800" s="5">
        <v>32.15</v>
      </c>
      <c r="E1800" s="5">
        <v>32.15</v>
      </c>
      <c r="F1800" s="5">
        <v>33.700000000000003</v>
      </c>
      <c r="G1800" s="5">
        <v>30.35</v>
      </c>
      <c r="H1800" s="5">
        <v>31</v>
      </c>
      <c r="I1800" s="5">
        <v>31.75</v>
      </c>
      <c r="J1800" s="5">
        <v>32.4</v>
      </c>
      <c r="K1800" s="5">
        <v>131257</v>
      </c>
      <c r="L1800" s="5">
        <v>42.53</v>
      </c>
      <c r="M1800" s="5">
        <v>357</v>
      </c>
      <c r="N1800" s="5">
        <v>114006</v>
      </c>
      <c r="O1800" s="5">
        <v>86.86</v>
      </c>
      <c r="P1800" s="5">
        <f t="shared" si="140"/>
        <v>-0.39999999999999858</v>
      </c>
      <c r="Q1800" s="6">
        <f t="shared" si="141"/>
        <v>-1.2441679626749568E-2</v>
      </c>
      <c r="R1800" s="5">
        <f t="shared" si="142"/>
        <v>3.3500000000000014</v>
      </c>
      <c r="S1800" s="6">
        <f t="shared" si="143"/>
        <v>0.10419906687402804</v>
      </c>
      <c r="T1800" s="6">
        <f t="shared" si="144"/>
        <v>-2.0320437670965179E-2</v>
      </c>
    </row>
    <row r="1801" spans="1:20" hidden="1" x14ac:dyDescent="0.25">
      <c r="A1801" s="4" t="s">
        <v>1697</v>
      </c>
      <c r="B1801" s="5" t="s">
        <v>16</v>
      </c>
      <c r="C1801" s="5" t="s">
        <v>1823</v>
      </c>
      <c r="D1801" s="5">
        <v>1372.85</v>
      </c>
      <c r="E1801" s="5">
        <v>1372</v>
      </c>
      <c r="F1801" s="5">
        <v>1372</v>
      </c>
      <c r="G1801" s="5">
        <v>1337.55</v>
      </c>
      <c r="H1801" s="5">
        <v>1353.2</v>
      </c>
      <c r="I1801" s="5">
        <v>1355.8</v>
      </c>
      <c r="J1801" s="5">
        <v>1354.22</v>
      </c>
      <c r="K1801" s="5">
        <v>331440</v>
      </c>
      <c r="L1801" s="5">
        <v>4488.43</v>
      </c>
      <c r="M1801" s="5">
        <v>20435</v>
      </c>
      <c r="N1801" s="5">
        <v>184969</v>
      </c>
      <c r="O1801" s="5">
        <v>55.81</v>
      </c>
      <c r="P1801" s="5">
        <f t="shared" si="140"/>
        <v>-17.049999999999955</v>
      </c>
      <c r="Q1801" s="6">
        <f t="shared" si="141"/>
        <v>-1.241941945587643E-2</v>
      </c>
      <c r="R1801" s="5">
        <f t="shared" si="142"/>
        <v>34.450000000000045</v>
      </c>
      <c r="S1801" s="6">
        <f t="shared" si="143"/>
        <v>2.5093783006155113E-2</v>
      </c>
      <c r="T1801" s="6">
        <f t="shared" si="144"/>
        <v>1.162330914875759E-3</v>
      </c>
    </row>
    <row r="1802" spans="1:20" hidden="1" x14ac:dyDescent="0.25">
      <c r="A1802" s="4" t="s">
        <v>1698</v>
      </c>
      <c r="B1802" s="5" t="s">
        <v>16</v>
      </c>
      <c r="C1802" s="5" t="s">
        <v>1823</v>
      </c>
      <c r="D1802" s="5">
        <v>135.75</v>
      </c>
      <c r="E1802" s="5">
        <v>136.5</v>
      </c>
      <c r="F1802" s="5">
        <v>138.65</v>
      </c>
      <c r="G1802" s="5">
        <v>134.9</v>
      </c>
      <c r="H1802" s="5">
        <v>136</v>
      </c>
      <c r="I1802" s="5">
        <v>135.85</v>
      </c>
      <c r="J1802" s="5">
        <v>136.88</v>
      </c>
      <c r="K1802" s="5">
        <v>26459</v>
      </c>
      <c r="L1802" s="5">
        <v>36.22</v>
      </c>
      <c r="M1802" s="5">
        <v>781</v>
      </c>
      <c r="N1802" s="5">
        <v>17147</v>
      </c>
      <c r="O1802" s="5">
        <v>64.81</v>
      </c>
      <c r="P1802" s="5">
        <f t="shared" si="140"/>
        <v>9.9999999999994316E-2</v>
      </c>
      <c r="Q1802" s="6">
        <f t="shared" si="141"/>
        <v>7.3664825046036329E-4</v>
      </c>
      <c r="R1802" s="5">
        <f t="shared" si="142"/>
        <v>3.75</v>
      </c>
      <c r="S1802" s="6">
        <f t="shared" si="143"/>
        <v>2.7624309392265192E-2</v>
      </c>
      <c r="T1802" s="6">
        <f t="shared" si="144"/>
        <v>-7.5471698113207634E-3</v>
      </c>
    </row>
    <row r="1803" spans="1:20" hidden="1" x14ac:dyDescent="0.25">
      <c r="A1803" s="4" t="s">
        <v>1869</v>
      </c>
      <c r="B1803" s="5" t="s">
        <v>28</v>
      </c>
      <c r="C1803" s="5" t="s">
        <v>1823</v>
      </c>
      <c r="D1803" s="5">
        <v>42.6</v>
      </c>
      <c r="E1803" s="5">
        <v>46.4</v>
      </c>
      <c r="F1803" s="5">
        <v>46.4</v>
      </c>
      <c r="G1803" s="5">
        <v>36.15</v>
      </c>
      <c r="H1803" s="5">
        <v>41.15</v>
      </c>
      <c r="I1803" s="5">
        <v>41.15</v>
      </c>
      <c r="J1803" s="5">
        <v>41.23</v>
      </c>
      <c r="K1803" s="5">
        <v>6000</v>
      </c>
      <c r="L1803" s="5">
        <v>2.4700000000000002</v>
      </c>
      <c r="M1803" s="5">
        <v>3</v>
      </c>
      <c r="N1803" s="5">
        <v>0</v>
      </c>
      <c r="O1803" s="5">
        <v>0</v>
      </c>
      <c r="P1803" s="5">
        <f t="shared" si="140"/>
        <v>-1.4500000000000028</v>
      </c>
      <c r="Q1803" s="6">
        <f t="shared" si="141"/>
        <v>-3.4037558685446077E-2</v>
      </c>
      <c r="R1803" s="5">
        <f t="shared" si="142"/>
        <v>10.25</v>
      </c>
      <c r="S1803" s="6">
        <f t="shared" si="143"/>
        <v>0.24061032863849766</v>
      </c>
      <c r="T1803" s="6">
        <f t="shared" si="144"/>
        <v>-1.8812463256907301E-3</v>
      </c>
    </row>
    <row r="1804" spans="1:20" x14ac:dyDescent="0.25">
      <c r="A1804" s="4" t="s">
        <v>541</v>
      </c>
      <c r="B1804" s="5" t="s">
        <v>16</v>
      </c>
      <c r="C1804" s="5" t="s">
        <v>1823</v>
      </c>
      <c r="D1804" s="5">
        <v>23.7</v>
      </c>
      <c r="E1804" s="5">
        <v>24</v>
      </c>
      <c r="F1804" s="5">
        <v>24.2</v>
      </c>
      <c r="G1804" s="5">
        <v>23.15</v>
      </c>
      <c r="H1804" s="5">
        <v>23.9</v>
      </c>
      <c r="I1804" s="5">
        <v>23.8</v>
      </c>
      <c r="J1804" s="5">
        <v>23.57</v>
      </c>
      <c r="K1804" s="5">
        <v>256728</v>
      </c>
      <c r="L1804" s="5">
        <v>60.51</v>
      </c>
      <c r="M1804" s="5">
        <v>550</v>
      </c>
      <c r="N1804" s="5">
        <v>223051</v>
      </c>
      <c r="O1804" s="5">
        <v>86.88</v>
      </c>
      <c r="P1804" s="5">
        <f t="shared" ref="P1804:P1867" si="145">I1804-D1804</f>
        <v>0.10000000000000142</v>
      </c>
      <c r="Q1804" s="6">
        <f t="shared" ref="Q1804:Q1867" si="146">P1804/D1804</f>
        <v>4.2194092827004823E-3</v>
      </c>
      <c r="R1804" s="5">
        <f t="shared" ref="R1804:R1867" si="147">ABS(F1804-G1804)</f>
        <v>1.0500000000000007</v>
      </c>
      <c r="S1804" s="6">
        <f t="shared" ref="S1804:S1867" si="148">R1804/D1804</f>
        <v>4.4303797468354458E-2</v>
      </c>
      <c r="T1804" s="6">
        <f t="shared" ref="T1804:T1867" si="149">(I1804-J1804)/AVERAGE(E1804:G1804,I1804)</f>
        <v>9.6689437729900341E-3</v>
      </c>
    </row>
    <row r="1805" spans="1:20" hidden="1" x14ac:dyDescent="0.25">
      <c r="A1805" s="4" t="s">
        <v>1700</v>
      </c>
      <c r="B1805" s="5" t="s">
        <v>16</v>
      </c>
      <c r="C1805" s="5" t="s">
        <v>1823</v>
      </c>
      <c r="D1805" s="5">
        <v>227.4</v>
      </c>
      <c r="E1805" s="5">
        <v>228.9</v>
      </c>
      <c r="F1805" s="5">
        <v>228.9</v>
      </c>
      <c r="G1805" s="5">
        <v>220.2</v>
      </c>
      <c r="H1805" s="5">
        <v>220.2</v>
      </c>
      <c r="I1805" s="5">
        <v>221.7</v>
      </c>
      <c r="J1805" s="5">
        <v>224.13</v>
      </c>
      <c r="K1805" s="5">
        <v>51495</v>
      </c>
      <c r="L1805" s="5">
        <v>115.42</v>
      </c>
      <c r="M1805" s="5">
        <v>1172</v>
      </c>
      <c r="N1805" s="5">
        <v>31067</v>
      </c>
      <c r="O1805" s="5">
        <v>60.33</v>
      </c>
      <c r="P1805" s="5">
        <f t="shared" si="145"/>
        <v>-5.7000000000000171</v>
      </c>
      <c r="Q1805" s="6">
        <f t="shared" si="146"/>
        <v>-2.5065963060686092E-2</v>
      </c>
      <c r="R1805" s="5">
        <f t="shared" si="147"/>
        <v>8.7000000000000171</v>
      </c>
      <c r="S1805" s="6">
        <f t="shared" si="148"/>
        <v>3.8258575197889257E-2</v>
      </c>
      <c r="T1805" s="6">
        <f t="shared" si="149"/>
        <v>-1.0803601200400163E-2</v>
      </c>
    </row>
    <row r="1806" spans="1:20" hidden="1" x14ac:dyDescent="0.25">
      <c r="A1806" s="4" t="s">
        <v>1701</v>
      </c>
      <c r="B1806" s="5" t="s">
        <v>16</v>
      </c>
      <c r="C1806" s="5" t="s">
        <v>1823</v>
      </c>
      <c r="D1806" s="5">
        <v>153.35</v>
      </c>
      <c r="E1806" s="5">
        <v>153</v>
      </c>
      <c r="F1806" s="5">
        <v>153</v>
      </c>
      <c r="G1806" s="5">
        <v>146.35</v>
      </c>
      <c r="H1806" s="5">
        <v>148.65</v>
      </c>
      <c r="I1806" s="5">
        <v>147.80000000000001</v>
      </c>
      <c r="J1806" s="5">
        <v>148.76</v>
      </c>
      <c r="K1806" s="5">
        <v>12395</v>
      </c>
      <c r="L1806" s="5">
        <v>18.440000000000001</v>
      </c>
      <c r="M1806" s="5">
        <v>606</v>
      </c>
      <c r="N1806" s="5">
        <v>6599</v>
      </c>
      <c r="O1806" s="5">
        <v>53.24</v>
      </c>
      <c r="P1806" s="5">
        <f t="shared" si="145"/>
        <v>-5.5499999999999829</v>
      </c>
      <c r="Q1806" s="6">
        <f t="shared" si="146"/>
        <v>-3.6191718291489948E-2</v>
      </c>
      <c r="R1806" s="5">
        <f t="shared" si="147"/>
        <v>6.6500000000000057</v>
      </c>
      <c r="S1806" s="6">
        <f t="shared" si="148"/>
        <v>4.3364851646560197E-2</v>
      </c>
      <c r="T1806" s="6">
        <f t="shared" si="149"/>
        <v>-6.3984003998998878E-3</v>
      </c>
    </row>
    <row r="1807" spans="1:20" x14ac:dyDescent="0.25">
      <c r="A1807" s="4" t="s">
        <v>782</v>
      </c>
      <c r="B1807" s="5" t="s">
        <v>16</v>
      </c>
      <c r="C1807" s="5" t="s">
        <v>1823</v>
      </c>
      <c r="D1807" s="5">
        <v>36.549999999999997</v>
      </c>
      <c r="E1807" s="5">
        <v>36.549999999999997</v>
      </c>
      <c r="F1807" s="5">
        <v>37.5</v>
      </c>
      <c r="G1807" s="5">
        <v>33.1</v>
      </c>
      <c r="H1807" s="5">
        <v>34.799999999999997</v>
      </c>
      <c r="I1807" s="5">
        <v>34.9</v>
      </c>
      <c r="J1807" s="5">
        <v>35.020000000000003</v>
      </c>
      <c r="K1807" s="5">
        <v>195079</v>
      </c>
      <c r="L1807" s="5">
        <v>68.31</v>
      </c>
      <c r="M1807" s="5">
        <v>613</v>
      </c>
      <c r="N1807" s="5">
        <v>172883</v>
      </c>
      <c r="O1807" s="5">
        <v>88.62</v>
      </c>
      <c r="P1807" s="5">
        <f t="shared" si="145"/>
        <v>-1.6499999999999986</v>
      </c>
      <c r="Q1807" s="6">
        <f t="shared" si="146"/>
        <v>-4.5143638850889158E-2</v>
      </c>
      <c r="R1807" s="5">
        <f t="shared" si="147"/>
        <v>4.3999999999999986</v>
      </c>
      <c r="S1807" s="6">
        <f t="shared" si="148"/>
        <v>0.12038303693570448</v>
      </c>
      <c r="T1807" s="6">
        <f t="shared" si="149"/>
        <v>-3.3790918690603179E-3</v>
      </c>
    </row>
    <row r="1808" spans="1:20" hidden="1" x14ac:dyDescent="0.25">
      <c r="A1808" s="4" t="s">
        <v>1703</v>
      </c>
      <c r="B1808" s="5" t="s">
        <v>16</v>
      </c>
      <c r="C1808" s="5" t="s">
        <v>1823</v>
      </c>
      <c r="D1808" s="5">
        <v>4</v>
      </c>
      <c r="E1808" s="5">
        <v>3.85</v>
      </c>
      <c r="F1808" s="5">
        <v>4</v>
      </c>
      <c r="G1808" s="5">
        <v>3.8</v>
      </c>
      <c r="H1808" s="5">
        <v>3.9</v>
      </c>
      <c r="I1808" s="5">
        <v>3.85</v>
      </c>
      <c r="J1808" s="5">
        <v>3.87</v>
      </c>
      <c r="K1808" s="5">
        <v>133192</v>
      </c>
      <c r="L1808" s="5">
        <v>5.15</v>
      </c>
      <c r="M1808" s="5">
        <v>165</v>
      </c>
      <c r="N1808" s="5">
        <v>62061</v>
      </c>
      <c r="O1808" s="5">
        <v>46.6</v>
      </c>
      <c r="P1808" s="5">
        <f t="shared" si="145"/>
        <v>-0.14999999999999991</v>
      </c>
      <c r="Q1808" s="6">
        <f t="shared" si="146"/>
        <v>-3.7499999999999978E-2</v>
      </c>
      <c r="R1808" s="5">
        <f t="shared" si="147"/>
        <v>0.20000000000000018</v>
      </c>
      <c r="S1808" s="6">
        <f t="shared" si="148"/>
        <v>5.0000000000000044E-2</v>
      </c>
      <c r="T1808" s="6">
        <f t="shared" si="149"/>
        <v>-5.1612903225806504E-3</v>
      </c>
    </row>
    <row r="1809" spans="1:20" x14ac:dyDescent="0.25">
      <c r="A1809" s="4" t="s">
        <v>712</v>
      </c>
      <c r="B1809" s="5" t="s">
        <v>16</v>
      </c>
      <c r="C1809" s="5" t="s">
        <v>1823</v>
      </c>
      <c r="D1809" s="5">
        <v>122.16</v>
      </c>
      <c r="E1809" s="5">
        <v>119.7</v>
      </c>
      <c r="F1809" s="5">
        <v>123</v>
      </c>
      <c r="G1809" s="5">
        <v>117.5</v>
      </c>
      <c r="H1809" s="5">
        <v>120.33</v>
      </c>
      <c r="I1809" s="5">
        <v>120.14</v>
      </c>
      <c r="J1809" s="5">
        <v>120.25</v>
      </c>
      <c r="K1809" s="5">
        <v>290150</v>
      </c>
      <c r="L1809" s="5">
        <v>348.92</v>
      </c>
      <c r="M1809" s="5">
        <v>3700</v>
      </c>
      <c r="N1809" s="5">
        <v>258834</v>
      </c>
      <c r="O1809" s="5">
        <v>89.21</v>
      </c>
      <c r="P1809" s="5">
        <f t="shared" si="145"/>
        <v>-2.019999999999996</v>
      </c>
      <c r="Q1809" s="6">
        <f t="shared" si="146"/>
        <v>-1.6535690897183989E-2</v>
      </c>
      <c r="R1809" s="5">
        <f t="shared" si="147"/>
        <v>5.5</v>
      </c>
      <c r="S1809" s="6">
        <f t="shared" si="148"/>
        <v>4.5022920759659461E-2</v>
      </c>
      <c r="T1809" s="6">
        <f t="shared" si="149"/>
        <v>-9.1601782071032553E-4</v>
      </c>
    </row>
    <row r="1810" spans="1:20" hidden="1" x14ac:dyDescent="0.25">
      <c r="A1810" s="4" t="s">
        <v>1705</v>
      </c>
      <c r="B1810" s="5" t="s">
        <v>16</v>
      </c>
      <c r="C1810" s="5" t="s">
        <v>1823</v>
      </c>
      <c r="D1810" s="5">
        <v>4318</v>
      </c>
      <c r="E1810" s="5">
        <v>4301.05</v>
      </c>
      <c r="F1810" s="5">
        <v>4340</v>
      </c>
      <c r="G1810" s="5">
        <v>4254.7</v>
      </c>
      <c r="H1810" s="5">
        <v>4277.8500000000004</v>
      </c>
      <c r="I1810" s="5">
        <v>4277.8500000000004</v>
      </c>
      <c r="J1810" s="5">
        <v>4280.78</v>
      </c>
      <c r="K1810" s="5">
        <v>488035</v>
      </c>
      <c r="L1810" s="5">
        <v>20891.7</v>
      </c>
      <c r="M1810" s="5">
        <v>52368</v>
      </c>
      <c r="N1810" s="5">
        <v>291232</v>
      </c>
      <c r="O1810" s="5">
        <v>59.67</v>
      </c>
      <c r="P1810" s="5">
        <f t="shared" si="145"/>
        <v>-40.149999999999636</v>
      </c>
      <c r="Q1810" s="6">
        <f t="shared" si="146"/>
        <v>-9.2982862436312274E-3</v>
      </c>
      <c r="R1810" s="5">
        <f t="shared" si="147"/>
        <v>85.300000000000182</v>
      </c>
      <c r="S1810" s="6">
        <f t="shared" si="148"/>
        <v>1.9754515979620236E-2</v>
      </c>
      <c r="T1810" s="6">
        <f t="shared" si="149"/>
        <v>-6.8244281921073778E-4</v>
      </c>
    </row>
    <row r="1811" spans="1:20" hidden="1" x14ac:dyDescent="0.25">
      <c r="A1811" s="4" t="s">
        <v>1706</v>
      </c>
      <c r="B1811" s="5" t="s">
        <v>16</v>
      </c>
      <c r="C1811" s="5" t="s">
        <v>1823</v>
      </c>
      <c r="D1811" s="5">
        <v>43</v>
      </c>
      <c r="E1811" s="5">
        <v>43.25</v>
      </c>
      <c r="F1811" s="5">
        <v>43.65</v>
      </c>
      <c r="G1811" s="5">
        <v>41.55</v>
      </c>
      <c r="H1811" s="5">
        <v>41.6</v>
      </c>
      <c r="I1811" s="5">
        <v>41.95</v>
      </c>
      <c r="J1811" s="5">
        <v>42.25</v>
      </c>
      <c r="K1811" s="5">
        <v>8463</v>
      </c>
      <c r="L1811" s="5">
        <v>3.58</v>
      </c>
      <c r="M1811" s="5">
        <v>146</v>
      </c>
      <c r="N1811" s="5">
        <v>6425</v>
      </c>
      <c r="O1811" s="5">
        <v>75.92</v>
      </c>
      <c r="P1811" s="5">
        <f t="shared" si="145"/>
        <v>-1.0499999999999972</v>
      </c>
      <c r="Q1811" s="6">
        <f t="shared" si="146"/>
        <v>-2.4418604651162724E-2</v>
      </c>
      <c r="R1811" s="5">
        <f t="shared" si="147"/>
        <v>2.1000000000000014</v>
      </c>
      <c r="S1811" s="6">
        <f t="shared" si="148"/>
        <v>4.8837209302325615E-2</v>
      </c>
      <c r="T1811" s="6">
        <f t="shared" si="149"/>
        <v>-7.0422535211266948E-3</v>
      </c>
    </row>
    <row r="1812" spans="1:20" hidden="1" x14ac:dyDescent="0.25">
      <c r="A1812" s="4" t="s">
        <v>1707</v>
      </c>
      <c r="B1812" s="5" t="s">
        <v>16</v>
      </c>
      <c r="C1812" s="5" t="s">
        <v>1823</v>
      </c>
      <c r="D1812" s="5">
        <v>188.2</v>
      </c>
      <c r="E1812" s="5">
        <v>188.2</v>
      </c>
      <c r="F1812" s="5">
        <v>188.2</v>
      </c>
      <c r="G1812" s="5">
        <v>181</v>
      </c>
      <c r="H1812" s="5">
        <v>182.1</v>
      </c>
      <c r="I1812" s="5">
        <v>182.95</v>
      </c>
      <c r="J1812" s="5">
        <v>185.29</v>
      </c>
      <c r="K1812" s="5">
        <v>22881</v>
      </c>
      <c r="L1812" s="5">
        <v>42.4</v>
      </c>
      <c r="M1812" s="5">
        <v>1205</v>
      </c>
      <c r="N1812" s="5">
        <v>11009</v>
      </c>
      <c r="O1812" s="5">
        <v>48.11</v>
      </c>
      <c r="P1812" s="5">
        <f t="shared" si="145"/>
        <v>-5.25</v>
      </c>
      <c r="Q1812" s="6">
        <f t="shared" si="146"/>
        <v>-2.789585547290117E-2</v>
      </c>
      <c r="R1812" s="5">
        <f t="shared" si="147"/>
        <v>7.1999999999999886</v>
      </c>
      <c r="S1812" s="6">
        <f t="shared" si="148"/>
        <v>3.8257173219978687E-2</v>
      </c>
      <c r="T1812" s="6">
        <f t="shared" si="149"/>
        <v>-1.2642669007901688E-2</v>
      </c>
    </row>
    <row r="1813" spans="1:20" hidden="1" x14ac:dyDescent="0.25">
      <c r="A1813" s="4" t="s">
        <v>1708</v>
      </c>
      <c r="B1813" s="5" t="s">
        <v>16</v>
      </c>
      <c r="C1813" s="5" t="s">
        <v>1823</v>
      </c>
      <c r="D1813" s="5">
        <v>71.349999999999994</v>
      </c>
      <c r="E1813" s="5">
        <v>71.95</v>
      </c>
      <c r="F1813" s="5">
        <v>72.849999999999994</v>
      </c>
      <c r="G1813" s="5">
        <v>68.150000000000006</v>
      </c>
      <c r="H1813" s="5">
        <v>72.849999999999994</v>
      </c>
      <c r="I1813" s="5">
        <v>71.2</v>
      </c>
      <c r="J1813" s="5">
        <v>71.05</v>
      </c>
      <c r="K1813" s="5">
        <v>2407</v>
      </c>
      <c r="L1813" s="5">
        <v>1.71</v>
      </c>
      <c r="M1813" s="5">
        <v>73</v>
      </c>
      <c r="N1813" s="5">
        <v>1692</v>
      </c>
      <c r="O1813" s="5">
        <v>70.290000000000006</v>
      </c>
      <c r="P1813" s="5">
        <f t="shared" si="145"/>
        <v>-0.14999999999999147</v>
      </c>
      <c r="Q1813" s="6">
        <f t="shared" si="146"/>
        <v>-2.1023125437980585E-3</v>
      </c>
      <c r="R1813" s="5">
        <f t="shared" si="147"/>
        <v>4.6999999999999886</v>
      </c>
      <c r="S1813" s="6">
        <f t="shared" si="148"/>
        <v>6.5872459705676095E-2</v>
      </c>
      <c r="T1813" s="6">
        <f t="shared" si="149"/>
        <v>2.111560795354646E-3</v>
      </c>
    </row>
    <row r="1814" spans="1:20" hidden="1" x14ac:dyDescent="0.25">
      <c r="A1814" s="4" t="s">
        <v>1709</v>
      </c>
      <c r="B1814" s="5" t="s">
        <v>28</v>
      </c>
      <c r="C1814" s="5" t="s">
        <v>1823</v>
      </c>
      <c r="D1814" s="5">
        <v>23.4</v>
      </c>
      <c r="E1814" s="5">
        <v>23</v>
      </c>
      <c r="F1814" s="5">
        <v>23.3</v>
      </c>
      <c r="G1814" s="5">
        <v>23</v>
      </c>
      <c r="H1814" s="5">
        <v>23.25</v>
      </c>
      <c r="I1814" s="5">
        <v>23.25</v>
      </c>
      <c r="J1814" s="5">
        <v>23.16</v>
      </c>
      <c r="K1814" s="5">
        <v>14000</v>
      </c>
      <c r="L1814" s="5">
        <v>3.24</v>
      </c>
      <c r="M1814" s="5">
        <v>7</v>
      </c>
      <c r="N1814" s="5">
        <v>2000</v>
      </c>
      <c r="O1814" s="5">
        <v>14.29</v>
      </c>
      <c r="P1814" s="5">
        <f t="shared" si="145"/>
        <v>-0.14999999999999858</v>
      </c>
      <c r="Q1814" s="6">
        <f t="shared" si="146"/>
        <v>-6.4102564102563502E-3</v>
      </c>
      <c r="R1814" s="5">
        <f t="shared" si="147"/>
        <v>0.30000000000000071</v>
      </c>
      <c r="S1814" s="6">
        <f t="shared" si="148"/>
        <v>1.2820512820512851E-2</v>
      </c>
      <c r="T1814" s="6">
        <f t="shared" si="149"/>
        <v>3.8897893030794104E-3</v>
      </c>
    </row>
    <row r="1815" spans="1:20" x14ac:dyDescent="0.25">
      <c r="A1815" s="4" t="s">
        <v>800</v>
      </c>
      <c r="B1815" s="5" t="s">
        <v>16</v>
      </c>
      <c r="C1815" s="5" t="s">
        <v>1823</v>
      </c>
      <c r="D1815" s="5">
        <v>301.05</v>
      </c>
      <c r="E1815" s="5">
        <v>297</v>
      </c>
      <c r="F1815" s="5">
        <v>299.60000000000002</v>
      </c>
      <c r="G1815" s="5">
        <v>271</v>
      </c>
      <c r="H1815" s="5">
        <v>273</v>
      </c>
      <c r="I1815" s="5">
        <v>274.2</v>
      </c>
      <c r="J1815" s="5">
        <v>283.97000000000003</v>
      </c>
      <c r="K1815" s="5">
        <v>1900531</v>
      </c>
      <c r="L1815" s="5">
        <v>5396.94</v>
      </c>
      <c r="M1815" s="5">
        <v>17682</v>
      </c>
      <c r="N1815" s="5">
        <v>1701182</v>
      </c>
      <c r="O1815" s="5">
        <v>89.51</v>
      </c>
      <c r="P1815" s="5">
        <f t="shared" si="145"/>
        <v>-26.850000000000023</v>
      </c>
      <c r="Q1815" s="6">
        <f t="shared" si="146"/>
        <v>-8.9187842551071317E-2</v>
      </c>
      <c r="R1815" s="5">
        <f t="shared" si="147"/>
        <v>28.600000000000023</v>
      </c>
      <c r="S1815" s="6">
        <f t="shared" si="148"/>
        <v>9.5000830426839461E-2</v>
      </c>
      <c r="T1815" s="6">
        <f t="shared" si="149"/>
        <v>-3.4226659660185808E-2</v>
      </c>
    </row>
    <row r="1816" spans="1:20" hidden="1" x14ac:dyDescent="0.25">
      <c r="A1816" s="4" t="s">
        <v>1711</v>
      </c>
      <c r="B1816" s="5" t="s">
        <v>16</v>
      </c>
      <c r="C1816" s="5" t="s">
        <v>1823</v>
      </c>
      <c r="D1816" s="5">
        <v>56.45</v>
      </c>
      <c r="E1816" s="5">
        <v>58.5</v>
      </c>
      <c r="F1816" s="5">
        <v>58.5</v>
      </c>
      <c r="G1816" s="5">
        <v>54.1</v>
      </c>
      <c r="H1816" s="5">
        <v>54.95</v>
      </c>
      <c r="I1816" s="5">
        <v>55.15</v>
      </c>
      <c r="J1816" s="5">
        <v>56.38</v>
      </c>
      <c r="K1816" s="5">
        <v>96975</v>
      </c>
      <c r="L1816" s="5">
        <v>54.67</v>
      </c>
      <c r="M1816" s="5">
        <v>1022</v>
      </c>
      <c r="N1816" s="5">
        <v>83904</v>
      </c>
      <c r="O1816" s="5">
        <v>86.52</v>
      </c>
      <c r="P1816" s="5">
        <f t="shared" si="145"/>
        <v>-1.3000000000000043</v>
      </c>
      <c r="Q1816" s="6">
        <f t="shared" si="146"/>
        <v>-2.3029229406554549E-2</v>
      </c>
      <c r="R1816" s="5">
        <f t="shared" si="147"/>
        <v>4.3999999999999986</v>
      </c>
      <c r="S1816" s="6">
        <f t="shared" si="148"/>
        <v>7.7945084145261259E-2</v>
      </c>
      <c r="T1816" s="6">
        <f t="shared" si="149"/>
        <v>-2.174585635359123E-2</v>
      </c>
    </row>
    <row r="1817" spans="1:20" hidden="1" x14ac:dyDescent="0.25">
      <c r="A1817" s="4" t="s">
        <v>1712</v>
      </c>
      <c r="B1817" s="5" t="s">
        <v>16</v>
      </c>
      <c r="C1817" s="5" t="s">
        <v>1823</v>
      </c>
      <c r="D1817" s="5">
        <v>0.6</v>
      </c>
      <c r="E1817" s="5">
        <v>0.6</v>
      </c>
      <c r="F1817" s="5">
        <v>0.65</v>
      </c>
      <c r="G1817" s="5">
        <v>0.55000000000000004</v>
      </c>
      <c r="H1817" s="5">
        <v>0.6</v>
      </c>
      <c r="I1817" s="5">
        <v>0.6</v>
      </c>
      <c r="J1817" s="5">
        <v>0.6</v>
      </c>
      <c r="K1817" s="5">
        <v>9768787</v>
      </c>
      <c r="L1817" s="5">
        <v>58.63</v>
      </c>
      <c r="M1817" s="5">
        <v>1325</v>
      </c>
      <c r="N1817" s="5">
        <v>7888016</v>
      </c>
      <c r="O1817" s="5">
        <v>80.75</v>
      </c>
      <c r="P1817" s="5">
        <f t="shared" si="145"/>
        <v>0</v>
      </c>
      <c r="Q1817" s="6">
        <f t="shared" si="146"/>
        <v>0</v>
      </c>
      <c r="R1817" s="5">
        <f t="shared" si="147"/>
        <v>9.9999999999999978E-2</v>
      </c>
      <c r="S1817" s="6">
        <f t="shared" si="148"/>
        <v>0.16666666666666663</v>
      </c>
      <c r="T1817" s="6">
        <f t="shared" si="149"/>
        <v>0</v>
      </c>
    </row>
    <row r="1818" spans="1:20" hidden="1" x14ac:dyDescent="0.25">
      <c r="A1818" s="4" t="s">
        <v>1713</v>
      </c>
      <c r="B1818" s="5" t="s">
        <v>16</v>
      </c>
      <c r="C1818" s="5" t="s">
        <v>1823</v>
      </c>
      <c r="D1818" s="5">
        <v>9.4</v>
      </c>
      <c r="E1818" s="5">
        <v>9.3000000000000007</v>
      </c>
      <c r="F1818" s="5">
        <v>9.35</v>
      </c>
      <c r="G1818" s="5">
        <v>9</v>
      </c>
      <c r="H1818" s="5">
        <v>9.15</v>
      </c>
      <c r="I1818" s="5">
        <v>9.1</v>
      </c>
      <c r="J1818" s="5">
        <v>9.14</v>
      </c>
      <c r="K1818" s="5">
        <v>641588</v>
      </c>
      <c r="L1818" s="5">
        <v>58.64</v>
      </c>
      <c r="M1818" s="5">
        <v>960</v>
      </c>
      <c r="N1818" s="5">
        <v>300792</v>
      </c>
      <c r="O1818" s="5">
        <v>46.88</v>
      </c>
      <c r="P1818" s="5">
        <f t="shared" si="145"/>
        <v>-0.30000000000000071</v>
      </c>
      <c r="Q1818" s="6">
        <f t="shared" si="146"/>
        <v>-3.191489361702135E-2</v>
      </c>
      <c r="R1818" s="5">
        <f t="shared" si="147"/>
        <v>0.34999999999999964</v>
      </c>
      <c r="S1818" s="6">
        <f t="shared" si="148"/>
        <v>3.7234042553191453E-2</v>
      </c>
      <c r="T1818" s="6">
        <f t="shared" si="149"/>
        <v>-4.3537414965987399E-3</v>
      </c>
    </row>
    <row r="1819" spans="1:20" hidden="1" x14ac:dyDescent="0.25">
      <c r="A1819" s="4" t="s">
        <v>1714</v>
      </c>
      <c r="B1819" s="5" t="s">
        <v>16</v>
      </c>
      <c r="C1819" s="5" t="s">
        <v>1823</v>
      </c>
      <c r="D1819" s="5">
        <v>260</v>
      </c>
      <c r="E1819" s="5">
        <v>260</v>
      </c>
      <c r="F1819" s="5">
        <v>267.5</v>
      </c>
      <c r="G1819" s="5">
        <v>254.9</v>
      </c>
      <c r="H1819" s="5">
        <v>258.39999999999998</v>
      </c>
      <c r="I1819" s="5">
        <v>258.39999999999998</v>
      </c>
      <c r="J1819" s="5">
        <v>259.83</v>
      </c>
      <c r="K1819" s="5">
        <v>135</v>
      </c>
      <c r="L1819" s="5">
        <v>0.35</v>
      </c>
      <c r="M1819" s="5">
        <v>8</v>
      </c>
      <c r="N1819" s="5">
        <v>119</v>
      </c>
      <c r="O1819" s="5">
        <v>88.15</v>
      </c>
      <c r="P1819" s="5">
        <f t="shared" si="145"/>
        <v>-1.6000000000000227</v>
      </c>
      <c r="Q1819" s="6">
        <f t="shared" si="146"/>
        <v>-6.1538461538462414E-3</v>
      </c>
      <c r="R1819" s="5">
        <f t="shared" si="147"/>
        <v>12.599999999999994</v>
      </c>
      <c r="S1819" s="6">
        <f t="shared" si="148"/>
        <v>4.8461538461538438E-2</v>
      </c>
      <c r="T1819" s="6">
        <f t="shared" si="149"/>
        <v>-5.4957724827056379E-3</v>
      </c>
    </row>
    <row r="1820" spans="1:20" hidden="1" x14ac:dyDescent="0.25">
      <c r="A1820" s="4" t="s">
        <v>1715</v>
      </c>
      <c r="B1820" s="5" t="s">
        <v>24</v>
      </c>
      <c r="C1820" s="5" t="s">
        <v>1823</v>
      </c>
      <c r="D1820" s="5">
        <v>0.4</v>
      </c>
      <c r="E1820" s="5">
        <v>0.35</v>
      </c>
      <c r="F1820" s="5">
        <v>0.35</v>
      </c>
      <c r="G1820" s="5">
        <v>0.35</v>
      </c>
      <c r="H1820" s="5">
        <v>0.35</v>
      </c>
      <c r="I1820" s="5">
        <v>0.35</v>
      </c>
      <c r="J1820" s="5">
        <v>0.35</v>
      </c>
      <c r="K1820" s="5">
        <v>3000</v>
      </c>
      <c r="L1820" s="5">
        <v>0.01</v>
      </c>
      <c r="M1820" s="5">
        <v>6</v>
      </c>
      <c r="N1820" s="5" t="s">
        <v>25</v>
      </c>
      <c r="O1820" s="5" t="s">
        <v>25</v>
      </c>
      <c r="P1820" s="5">
        <f t="shared" si="145"/>
        <v>-5.0000000000000044E-2</v>
      </c>
      <c r="Q1820" s="6">
        <f t="shared" si="146"/>
        <v>-0.12500000000000011</v>
      </c>
      <c r="R1820" s="5">
        <f t="shared" si="147"/>
        <v>0</v>
      </c>
      <c r="S1820" s="6">
        <f t="shared" si="148"/>
        <v>0</v>
      </c>
      <c r="T1820" s="6">
        <f t="shared" si="149"/>
        <v>0</v>
      </c>
    </row>
    <row r="1821" spans="1:20" hidden="1" x14ac:dyDescent="0.25">
      <c r="A1821" s="4" t="s">
        <v>1716</v>
      </c>
      <c r="B1821" s="5" t="s">
        <v>16</v>
      </c>
      <c r="C1821" s="5" t="s">
        <v>1823</v>
      </c>
      <c r="D1821" s="5">
        <v>179.1</v>
      </c>
      <c r="E1821" s="5">
        <v>177.05</v>
      </c>
      <c r="F1821" s="5">
        <v>180</v>
      </c>
      <c r="G1821" s="5">
        <v>173.05</v>
      </c>
      <c r="H1821" s="5">
        <v>174</v>
      </c>
      <c r="I1821" s="5">
        <v>174.35</v>
      </c>
      <c r="J1821" s="5">
        <v>176.48</v>
      </c>
      <c r="K1821" s="5">
        <v>11738</v>
      </c>
      <c r="L1821" s="5">
        <v>20.72</v>
      </c>
      <c r="M1821" s="5">
        <v>449</v>
      </c>
      <c r="N1821" s="5">
        <v>7186</v>
      </c>
      <c r="O1821" s="5">
        <v>61.22</v>
      </c>
      <c r="P1821" s="5">
        <f t="shared" si="145"/>
        <v>-4.75</v>
      </c>
      <c r="Q1821" s="6">
        <f t="shared" si="146"/>
        <v>-2.6521496370742602E-2</v>
      </c>
      <c r="R1821" s="5">
        <f t="shared" si="147"/>
        <v>6.9499999999999886</v>
      </c>
      <c r="S1821" s="6">
        <f t="shared" si="148"/>
        <v>3.880513679508648E-2</v>
      </c>
      <c r="T1821" s="6">
        <f t="shared" si="149"/>
        <v>-1.2094541841152646E-2</v>
      </c>
    </row>
    <row r="1822" spans="1:20" hidden="1" x14ac:dyDescent="0.25">
      <c r="A1822" s="4" t="s">
        <v>1717</v>
      </c>
      <c r="B1822" s="5" t="s">
        <v>16</v>
      </c>
      <c r="C1822" s="5" t="s">
        <v>1823</v>
      </c>
      <c r="D1822" s="5">
        <v>579.4</v>
      </c>
      <c r="E1822" s="5">
        <v>575.29999999999995</v>
      </c>
      <c r="F1822" s="5">
        <v>578.9</v>
      </c>
      <c r="G1822" s="5">
        <v>572</v>
      </c>
      <c r="H1822" s="5">
        <v>576.4</v>
      </c>
      <c r="I1822" s="5">
        <v>576.75</v>
      </c>
      <c r="J1822" s="5">
        <v>575.79</v>
      </c>
      <c r="K1822" s="5">
        <v>1911916</v>
      </c>
      <c r="L1822" s="5">
        <v>11008.7</v>
      </c>
      <c r="M1822" s="5">
        <v>38756</v>
      </c>
      <c r="N1822" s="5">
        <v>861248</v>
      </c>
      <c r="O1822" s="5">
        <v>45.05</v>
      </c>
      <c r="P1822" s="5">
        <f t="shared" si="145"/>
        <v>-2.6499999999999773</v>
      </c>
      <c r="Q1822" s="6">
        <f t="shared" si="146"/>
        <v>-4.5736969278563641E-3</v>
      </c>
      <c r="R1822" s="5">
        <f t="shared" si="147"/>
        <v>6.8999999999999773</v>
      </c>
      <c r="S1822" s="6">
        <f t="shared" si="148"/>
        <v>1.1908871246116634E-2</v>
      </c>
      <c r="T1822" s="6">
        <f t="shared" si="149"/>
        <v>1.6674265615841185E-3</v>
      </c>
    </row>
    <row r="1823" spans="1:20" hidden="1" x14ac:dyDescent="0.25">
      <c r="A1823" s="4" t="s">
        <v>1718</v>
      </c>
      <c r="B1823" s="5" t="s">
        <v>16</v>
      </c>
      <c r="C1823" s="5" t="s">
        <v>1823</v>
      </c>
      <c r="D1823" s="5">
        <v>1.7</v>
      </c>
      <c r="E1823" s="5">
        <v>1.7</v>
      </c>
      <c r="F1823" s="5">
        <v>1.7</v>
      </c>
      <c r="G1823" s="5">
        <v>1.65</v>
      </c>
      <c r="H1823" s="5">
        <v>1.65</v>
      </c>
      <c r="I1823" s="5">
        <v>1.65</v>
      </c>
      <c r="J1823" s="5">
        <v>1.65</v>
      </c>
      <c r="K1823" s="5">
        <v>1361952</v>
      </c>
      <c r="L1823" s="5">
        <v>22.51</v>
      </c>
      <c r="M1823" s="5">
        <v>10399</v>
      </c>
      <c r="N1823" s="5">
        <v>590042</v>
      </c>
      <c r="O1823" s="5">
        <v>43.32</v>
      </c>
      <c r="P1823" s="5">
        <f t="shared" si="145"/>
        <v>-5.0000000000000044E-2</v>
      </c>
      <c r="Q1823" s="6">
        <f t="shared" si="146"/>
        <v>-2.941176470588238E-2</v>
      </c>
      <c r="R1823" s="5">
        <f t="shared" si="147"/>
        <v>5.0000000000000044E-2</v>
      </c>
      <c r="S1823" s="6">
        <f t="shared" si="148"/>
        <v>2.941176470588238E-2</v>
      </c>
      <c r="T1823" s="6">
        <f t="shared" si="149"/>
        <v>0</v>
      </c>
    </row>
    <row r="1824" spans="1:20" x14ac:dyDescent="0.25">
      <c r="A1824" s="4" t="s">
        <v>1508</v>
      </c>
      <c r="B1824" s="5" t="s">
        <v>16</v>
      </c>
      <c r="C1824" s="5" t="s">
        <v>1823</v>
      </c>
      <c r="D1824" s="5">
        <v>411.05</v>
      </c>
      <c r="E1824" s="5">
        <v>412</v>
      </c>
      <c r="F1824" s="5">
        <v>412</v>
      </c>
      <c r="G1824" s="5">
        <v>386.15</v>
      </c>
      <c r="H1824" s="5">
        <v>401</v>
      </c>
      <c r="I1824" s="5">
        <v>401.35</v>
      </c>
      <c r="J1824" s="5">
        <v>399.57</v>
      </c>
      <c r="K1824" s="5">
        <v>109859</v>
      </c>
      <c r="L1824" s="5">
        <v>438.96</v>
      </c>
      <c r="M1824" s="5">
        <v>6454</v>
      </c>
      <c r="N1824" s="5">
        <v>98414</v>
      </c>
      <c r="O1824" s="5">
        <v>89.58</v>
      </c>
      <c r="P1824" s="5">
        <f t="shared" si="145"/>
        <v>-9.6999999999999886</v>
      </c>
      <c r="Q1824" s="6">
        <f t="shared" si="146"/>
        <v>-2.3598102420630065E-2</v>
      </c>
      <c r="R1824" s="5">
        <f t="shared" si="147"/>
        <v>25.850000000000023</v>
      </c>
      <c r="S1824" s="6">
        <f t="shared" si="148"/>
        <v>6.2887726553947268E-2</v>
      </c>
      <c r="T1824" s="6">
        <f t="shared" si="149"/>
        <v>4.4182438721688602E-3</v>
      </c>
    </row>
    <row r="1825" spans="1:20" hidden="1" x14ac:dyDescent="0.25">
      <c r="A1825" s="4" t="s">
        <v>1720</v>
      </c>
      <c r="B1825" s="5" t="s">
        <v>42</v>
      </c>
      <c r="C1825" s="5" t="s">
        <v>1823</v>
      </c>
      <c r="D1825" s="5">
        <v>8.4499999999999993</v>
      </c>
      <c r="E1825" s="5">
        <v>8.4499999999999993</v>
      </c>
      <c r="F1825" s="5">
        <v>8.4499999999999993</v>
      </c>
      <c r="G1825" s="5">
        <v>8.4499999999999993</v>
      </c>
      <c r="H1825" s="5">
        <v>8.4499999999999993</v>
      </c>
      <c r="I1825" s="5">
        <v>8.4499999999999993</v>
      </c>
      <c r="J1825" s="5">
        <v>8.4499999999999993</v>
      </c>
      <c r="K1825" s="5">
        <v>500</v>
      </c>
      <c r="L1825" s="5">
        <v>0.04</v>
      </c>
      <c r="M1825" s="5">
        <v>1</v>
      </c>
      <c r="N1825" s="5">
        <v>500</v>
      </c>
      <c r="O1825" s="5">
        <v>100</v>
      </c>
      <c r="P1825" s="5">
        <f t="shared" si="145"/>
        <v>0</v>
      </c>
      <c r="Q1825" s="6">
        <f t="shared" si="146"/>
        <v>0</v>
      </c>
      <c r="R1825" s="5">
        <f t="shared" si="147"/>
        <v>0</v>
      </c>
      <c r="S1825" s="6">
        <f t="shared" si="148"/>
        <v>0</v>
      </c>
      <c r="T1825" s="6">
        <f t="shared" si="149"/>
        <v>0</v>
      </c>
    </row>
    <row r="1826" spans="1:20" hidden="1" x14ac:dyDescent="0.25">
      <c r="A1826" s="4" t="s">
        <v>1721</v>
      </c>
      <c r="B1826" s="5" t="s">
        <v>16</v>
      </c>
      <c r="C1826" s="5" t="s">
        <v>1823</v>
      </c>
      <c r="D1826" s="5">
        <v>283.99</v>
      </c>
      <c r="E1826" s="5">
        <v>288</v>
      </c>
      <c r="F1826" s="5">
        <v>289.89999999999998</v>
      </c>
      <c r="G1826" s="5">
        <v>278</v>
      </c>
      <c r="H1826" s="5">
        <v>280</v>
      </c>
      <c r="I1826" s="5">
        <v>280</v>
      </c>
      <c r="J1826" s="5">
        <v>281.8</v>
      </c>
      <c r="K1826" s="5">
        <v>1129</v>
      </c>
      <c r="L1826" s="5">
        <v>3.18</v>
      </c>
      <c r="M1826" s="5">
        <v>99</v>
      </c>
      <c r="N1826" s="5">
        <v>869</v>
      </c>
      <c r="O1826" s="5">
        <v>76.97</v>
      </c>
      <c r="P1826" s="5">
        <f t="shared" si="145"/>
        <v>-3.9900000000000091</v>
      </c>
      <c r="Q1826" s="6">
        <f t="shared" si="146"/>
        <v>-1.4049790485580509E-2</v>
      </c>
      <c r="R1826" s="5">
        <f t="shared" si="147"/>
        <v>11.899999999999977</v>
      </c>
      <c r="S1826" s="6">
        <f t="shared" si="148"/>
        <v>4.1902883904362746E-2</v>
      </c>
      <c r="T1826" s="6">
        <f t="shared" si="149"/>
        <v>-6.3385861431464428E-3</v>
      </c>
    </row>
    <row r="1827" spans="1:20" hidden="1" x14ac:dyDescent="0.25">
      <c r="A1827" s="4" t="s">
        <v>1722</v>
      </c>
      <c r="B1827" s="5" t="s">
        <v>16</v>
      </c>
      <c r="C1827" s="5" t="s">
        <v>1823</v>
      </c>
      <c r="D1827" s="5">
        <v>1224.5</v>
      </c>
      <c r="E1827" s="5">
        <v>1218.7</v>
      </c>
      <c r="F1827" s="5">
        <v>1223</v>
      </c>
      <c r="G1827" s="5">
        <v>1207.1500000000001</v>
      </c>
      <c r="H1827" s="5">
        <v>1207.1500000000001</v>
      </c>
      <c r="I1827" s="5">
        <v>1207.1500000000001</v>
      </c>
      <c r="J1827" s="5">
        <v>1218.78</v>
      </c>
      <c r="K1827" s="5">
        <v>882</v>
      </c>
      <c r="L1827" s="5">
        <v>10.75</v>
      </c>
      <c r="M1827" s="5">
        <v>18</v>
      </c>
      <c r="N1827" s="5">
        <v>846</v>
      </c>
      <c r="O1827" s="5">
        <v>95.92</v>
      </c>
      <c r="P1827" s="5">
        <f t="shared" si="145"/>
        <v>-17.349999999999909</v>
      </c>
      <c r="Q1827" s="6">
        <f t="shared" si="146"/>
        <v>-1.4169048591261665E-2</v>
      </c>
      <c r="R1827" s="5">
        <f t="shared" si="147"/>
        <v>15.849999999999909</v>
      </c>
      <c r="S1827" s="6">
        <f t="shared" si="148"/>
        <v>1.294405879950993E-2</v>
      </c>
      <c r="T1827" s="6">
        <f t="shared" si="149"/>
        <v>-9.5799011532124237E-3</v>
      </c>
    </row>
    <row r="1828" spans="1:20" hidden="1" x14ac:dyDescent="0.25">
      <c r="A1828" s="4" t="s">
        <v>1723</v>
      </c>
      <c r="B1828" s="5" t="s">
        <v>16</v>
      </c>
      <c r="C1828" s="5" t="s">
        <v>1823</v>
      </c>
      <c r="D1828" s="5">
        <v>409</v>
      </c>
      <c r="E1828" s="5">
        <v>409</v>
      </c>
      <c r="F1828" s="5">
        <v>409</v>
      </c>
      <c r="G1828" s="5">
        <v>404.7</v>
      </c>
      <c r="H1828" s="5">
        <v>409</v>
      </c>
      <c r="I1828" s="5">
        <v>408.99</v>
      </c>
      <c r="J1828" s="5">
        <v>406.23</v>
      </c>
      <c r="K1828" s="5">
        <v>399</v>
      </c>
      <c r="L1828" s="5">
        <v>1.62</v>
      </c>
      <c r="M1828" s="5">
        <v>64</v>
      </c>
      <c r="N1828" s="5">
        <v>311</v>
      </c>
      <c r="O1828" s="5">
        <v>77.94</v>
      </c>
      <c r="P1828" s="5">
        <f t="shared" si="145"/>
        <v>-9.9999999999909051E-3</v>
      </c>
      <c r="Q1828" s="6">
        <f t="shared" si="146"/>
        <v>-2.4449877750589008E-5</v>
      </c>
      <c r="R1828" s="5">
        <f t="shared" si="147"/>
        <v>4.3000000000000114</v>
      </c>
      <c r="S1828" s="6">
        <f t="shared" si="148"/>
        <v>1.0513447432762864E-2</v>
      </c>
      <c r="T1828" s="6">
        <f t="shared" si="149"/>
        <v>6.7659910889935979E-3</v>
      </c>
    </row>
    <row r="1829" spans="1:20" hidden="1" x14ac:dyDescent="0.25">
      <c r="A1829" s="4" t="s">
        <v>1724</v>
      </c>
      <c r="B1829" s="5" t="s">
        <v>16</v>
      </c>
      <c r="C1829" s="5" t="s">
        <v>1823</v>
      </c>
      <c r="D1829" s="5">
        <v>7.95</v>
      </c>
      <c r="E1829" s="5">
        <v>7.9</v>
      </c>
      <c r="F1829" s="5">
        <v>8</v>
      </c>
      <c r="G1829" s="5">
        <v>7.45</v>
      </c>
      <c r="H1829" s="5">
        <v>7.45</v>
      </c>
      <c r="I1829" s="5">
        <v>7.5</v>
      </c>
      <c r="J1829" s="5">
        <v>7.65</v>
      </c>
      <c r="K1829" s="5">
        <v>67049</v>
      </c>
      <c r="L1829" s="5">
        <v>5.13</v>
      </c>
      <c r="M1829" s="5">
        <v>250</v>
      </c>
      <c r="N1829" s="5">
        <v>34052</v>
      </c>
      <c r="O1829" s="5">
        <v>50.79</v>
      </c>
      <c r="P1829" s="5">
        <f t="shared" si="145"/>
        <v>-0.45000000000000018</v>
      </c>
      <c r="Q1829" s="6">
        <f t="shared" si="146"/>
        <v>-5.6603773584905683E-2</v>
      </c>
      <c r="R1829" s="5">
        <f t="shared" si="147"/>
        <v>0.54999999999999982</v>
      </c>
      <c r="S1829" s="6">
        <f t="shared" si="148"/>
        <v>6.9182389937106889E-2</v>
      </c>
      <c r="T1829" s="6">
        <f t="shared" si="149"/>
        <v>-1.9448946515397129E-2</v>
      </c>
    </row>
    <row r="1830" spans="1:20" x14ac:dyDescent="0.25">
      <c r="A1830" s="4" t="s">
        <v>1210</v>
      </c>
      <c r="B1830" s="5" t="s">
        <v>16</v>
      </c>
      <c r="C1830" s="5" t="s">
        <v>1823</v>
      </c>
      <c r="D1830" s="5">
        <v>165.45</v>
      </c>
      <c r="E1830" s="5">
        <v>165.4</v>
      </c>
      <c r="F1830" s="5">
        <v>165.4</v>
      </c>
      <c r="G1830" s="5">
        <v>160.05000000000001</v>
      </c>
      <c r="H1830" s="5">
        <v>160.80000000000001</v>
      </c>
      <c r="I1830" s="5">
        <v>160.75</v>
      </c>
      <c r="J1830" s="5">
        <v>162.04</v>
      </c>
      <c r="K1830" s="5">
        <v>318891</v>
      </c>
      <c r="L1830" s="5">
        <v>516.75</v>
      </c>
      <c r="M1830" s="5">
        <v>6001</v>
      </c>
      <c r="N1830" s="5">
        <v>285966</v>
      </c>
      <c r="O1830" s="5">
        <v>89.68</v>
      </c>
      <c r="P1830" s="5">
        <f t="shared" si="145"/>
        <v>-4.6999999999999886</v>
      </c>
      <c r="Q1830" s="6">
        <f t="shared" si="146"/>
        <v>-2.8407373828951279E-2</v>
      </c>
      <c r="R1830" s="5">
        <f t="shared" si="147"/>
        <v>5.3499999999999943</v>
      </c>
      <c r="S1830" s="6">
        <f t="shared" si="148"/>
        <v>3.2336053188274372E-2</v>
      </c>
      <c r="T1830" s="6">
        <f t="shared" si="149"/>
        <v>-7.9189686924493064E-3</v>
      </c>
    </row>
    <row r="1831" spans="1:20" hidden="1" x14ac:dyDescent="0.25">
      <c r="A1831" s="4" t="s">
        <v>1726</v>
      </c>
      <c r="B1831" s="5" t="s">
        <v>16</v>
      </c>
      <c r="C1831" s="5" t="s">
        <v>1823</v>
      </c>
      <c r="D1831" s="5">
        <v>0.1</v>
      </c>
      <c r="E1831" s="5">
        <v>0.05</v>
      </c>
      <c r="F1831" s="5">
        <v>0.1</v>
      </c>
      <c r="G1831" s="5">
        <v>0.05</v>
      </c>
      <c r="H1831" s="5">
        <v>0.1</v>
      </c>
      <c r="I1831" s="5">
        <v>0.1</v>
      </c>
      <c r="J1831" s="5">
        <v>7.0000000000000007E-2</v>
      </c>
      <c r="K1831" s="5">
        <v>3982518</v>
      </c>
      <c r="L1831" s="5">
        <v>2.69</v>
      </c>
      <c r="M1831" s="5">
        <v>339</v>
      </c>
      <c r="N1831" s="5">
        <v>3906206</v>
      </c>
      <c r="O1831" s="5">
        <v>98.08</v>
      </c>
      <c r="P1831" s="5">
        <f t="shared" si="145"/>
        <v>0</v>
      </c>
      <c r="Q1831" s="6">
        <f t="shared" si="146"/>
        <v>0</v>
      </c>
      <c r="R1831" s="5">
        <f t="shared" si="147"/>
        <v>0.05</v>
      </c>
      <c r="S1831" s="6">
        <f t="shared" si="148"/>
        <v>0.5</v>
      </c>
      <c r="T1831" s="6">
        <f t="shared" si="149"/>
        <v>0.39999999999999991</v>
      </c>
    </row>
    <row r="1832" spans="1:20" hidden="1" x14ac:dyDescent="0.25">
      <c r="A1832" s="4" t="s">
        <v>1870</v>
      </c>
      <c r="B1832" s="5" t="s">
        <v>28</v>
      </c>
      <c r="C1832" s="5" t="s">
        <v>1823</v>
      </c>
      <c r="D1832" s="5">
        <v>25.4</v>
      </c>
      <c r="E1832" s="5">
        <v>24.6</v>
      </c>
      <c r="F1832" s="5">
        <v>24.6</v>
      </c>
      <c r="G1832" s="5">
        <v>24.6</v>
      </c>
      <c r="H1832" s="5">
        <v>24.6</v>
      </c>
      <c r="I1832" s="5">
        <v>24.6</v>
      </c>
      <c r="J1832" s="5">
        <v>24.6</v>
      </c>
      <c r="K1832" s="5">
        <v>8000</v>
      </c>
      <c r="L1832" s="5">
        <v>1.97</v>
      </c>
      <c r="M1832" s="5">
        <v>2</v>
      </c>
      <c r="N1832" s="5">
        <v>8000</v>
      </c>
      <c r="O1832" s="5">
        <v>100</v>
      </c>
      <c r="P1832" s="5">
        <f t="shared" si="145"/>
        <v>-0.79999999999999716</v>
      </c>
      <c r="Q1832" s="6">
        <f t="shared" si="146"/>
        <v>-3.1496062992125873E-2</v>
      </c>
      <c r="R1832" s="5">
        <f t="shared" si="147"/>
        <v>0</v>
      </c>
      <c r="S1832" s="6">
        <f t="shared" si="148"/>
        <v>0</v>
      </c>
      <c r="T1832" s="6">
        <f t="shared" si="149"/>
        <v>0</v>
      </c>
    </row>
    <row r="1833" spans="1:20" x14ac:dyDescent="0.25">
      <c r="A1833" s="4" t="s">
        <v>1111</v>
      </c>
      <c r="B1833" s="5" t="s">
        <v>16</v>
      </c>
      <c r="C1833" s="5" t="s">
        <v>1823</v>
      </c>
      <c r="D1833" s="5">
        <v>39.85</v>
      </c>
      <c r="E1833" s="5">
        <v>40</v>
      </c>
      <c r="F1833" s="5">
        <v>40.6</v>
      </c>
      <c r="G1833" s="5">
        <v>37.5</v>
      </c>
      <c r="H1833" s="5">
        <v>38</v>
      </c>
      <c r="I1833" s="5">
        <v>38.35</v>
      </c>
      <c r="J1833" s="5">
        <v>38.76</v>
      </c>
      <c r="K1833" s="5">
        <v>771947</v>
      </c>
      <c r="L1833" s="5">
        <v>299.2</v>
      </c>
      <c r="M1833" s="5">
        <v>4155</v>
      </c>
      <c r="N1833" s="5">
        <v>693144</v>
      </c>
      <c r="O1833" s="5">
        <v>89.79</v>
      </c>
      <c r="P1833" s="5">
        <f t="shared" si="145"/>
        <v>-1.5</v>
      </c>
      <c r="Q1833" s="6">
        <f t="shared" si="146"/>
        <v>-3.7641154328732745E-2</v>
      </c>
      <c r="R1833" s="5">
        <f t="shared" si="147"/>
        <v>3.1000000000000014</v>
      </c>
      <c r="S1833" s="6">
        <f t="shared" si="148"/>
        <v>7.7791718946047708E-2</v>
      </c>
      <c r="T1833" s="6">
        <f t="shared" si="149"/>
        <v>-1.0482582294662745E-2</v>
      </c>
    </row>
    <row r="1834" spans="1:20" hidden="1" x14ac:dyDescent="0.25">
      <c r="A1834" s="4" t="s">
        <v>1728</v>
      </c>
      <c r="B1834" s="5" t="s">
        <v>16</v>
      </c>
      <c r="C1834" s="5" t="s">
        <v>1823</v>
      </c>
      <c r="D1834" s="5">
        <v>803</v>
      </c>
      <c r="E1834" s="5">
        <v>798</v>
      </c>
      <c r="F1834" s="5">
        <v>833.8</v>
      </c>
      <c r="G1834" s="5">
        <v>795.05</v>
      </c>
      <c r="H1834" s="5">
        <v>815</v>
      </c>
      <c r="I1834" s="5">
        <v>817.3</v>
      </c>
      <c r="J1834" s="5">
        <v>821</v>
      </c>
      <c r="K1834" s="5">
        <v>76535</v>
      </c>
      <c r="L1834" s="5">
        <v>628.35</v>
      </c>
      <c r="M1834" s="5">
        <v>3924</v>
      </c>
      <c r="N1834" s="5">
        <v>23708</v>
      </c>
      <c r="O1834" s="5">
        <v>30.98</v>
      </c>
      <c r="P1834" s="5">
        <f t="shared" si="145"/>
        <v>14.299999999999955</v>
      </c>
      <c r="Q1834" s="6">
        <f t="shared" si="146"/>
        <v>1.7808219178082136E-2</v>
      </c>
      <c r="R1834" s="5">
        <f t="shared" si="147"/>
        <v>38.75</v>
      </c>
      <c r="S1834" s="6">
        <f t="shared" si="148"/>
        <v>4.8256537982565378E-2</v>
      </c>
      <c r="T1834" s="6">
        <f t="shared" si="149"/>
        <v>-4.5620578579905931E-3</v>
      </c>
    </row>
    <row r="1835" spans="1:20" hidden="1" x14ac:dyDescent="0.25">
      <c r="A1835" s="4" t="s">
        <v>1729</v>
      </c>
      <c r="B1835" s="5" t="s">
        <v>16</v>
      </c>
      <c r="C1835" s="5" t="s">
        <v>1823</v>
      </c>
      <c r="D1835" s="5">
        <v>850.7</v>
      </c>
      <c r="E1835" s="5">
        <v>840</v>
      </c>
      <c r="F1835" s="5">
        <v>858.95</v>
      </c>
      <c r="G1835" s="5">
        <v>837.05</v>
      </c>
      <c r="H1835" s="5">
        <v>853</v>
      </c>
      <c r="I1835" s="5">
        <v>854.4</v>
      </c>
      <c r="J1835" s="5">
        <v>854.12</v>
      </c>
      <c r="K1835" s="5">
        <v>15298</v>
      </c>
      <c r="L1835" s="5">
        <v>130.66</v>
      </c>
      <c r="M1835" s="5">
        <v>574</v>
      </c>
      <c r="N1835" s="5">
        <v>11695</v>
      </c>
      <c r="O1835" s="5">
        <v>76.45</v>
      </c>
      <c r="P1835" s="5">
        <f t="shared" si="145"/>
        <v>3.6999999999999318</v>
      </c>
      <c r="Q1835" s="6">
        <f t="shared" si="146"/>
        <v>4.3493593511225248E-3</v>
      </c>
      <c r="R1835" s="5">
        <f t="shared" si="147"/>
        <v>21.900000000000091</v>
      </c>
      <c r="S1835" s="6">
        <f t="shared" si="148"/>
        <v>2.5743505348536606E-2</v>
      </c>
      <c r="T1835" s="6">
        <f t="shared" si="149"/>
        <v>3.3034450212361102E-4</v>
      </c>
    </row>
    <row r="1836" spans="1:20" x14ac:dyDescent="0.25">
      <c r="A1836" s="4" t="s">
        <v>341</v>
      </c>
      <c r="B1836" s="5" t="s">
        <v>16</v>
      </c>
      <c r="C1836" s="5" t="s">
        <v>1823</v>
      </c>
      <c r="D1836" s="5">
        <v>33.299999999999997</v>
      </c>
      <c r="E1836" s="5">
        <v>33.950000000000003</v>
      </c>
      <c r="F1836" s="5">
        <v>33.950000000000003</v>
      </c>
      <c r="G1836" s="5">
        <v>31.55</v>
      </c>
      <c r="H1836" s="5">
        <v>31.85</v>
      </c>
      <c r="I1836" s="5">
        <v>31.65</v>
      </c>
      <c r="J1836" s="5">
        <v>31.92</v>
      </c>
      <c r="K1836" s="5">
        <v>164405</v>
      </c>
      <c r="L1836" s="5">
        <v>52.48</v>
      </c>
      <c r="M1836" s="5">
        <v>475</v>
      </c>
      <c r="N1836" s="5">
        <v>148162</v>
      </c>
      <c r="O1836" s="5">
        <v>90.12</v>
      </c>
      <c r="P1836" s="5">
        <f t="shared" si="145"/>
        <v>-1.6499999999999986</v>
      </c>
      <c r="Q1836" s="6">
        <f t="shared" si="146"/>
        <v>-4.9549549549549508E-2</v>
      </c>
      <c r="R1836" s="5">
        <f t="shared" si="147"/>
        <v>2.4000000000000021</v>
      </c>
      <c r="S1836" s="6">
        <f t="shared" si="148"/>
        <v>7.2072072072072141E-2</v>
      </c>
      <c r="T1836" s="6">
        <f t="shared" si="149"/>
        <v>-8.2379862700229789E-3</v>
      </c>
    </row>
    <row r="1837" spans="1:20" hidden="1" x14ac:dyDescent="0.25">
      <c r="A1837" s="4" t="s">
        <v>1731</v>
      </c>
      <c r="B1837" s="5" t="s">
        <v>16</v>
      </c>
      <c r="C1837" s="5" t="s">
        <v>1823</v>
      </c>
      <c r="D1837" s="5">
        <v>36.1</v>
      </c>
      <c r="E1837" s="5">
        <v>37</v>
      </c>
      <c r="F1837" s="5">
        <v>37</v>
      </c>
      <c r="G1837" s="5">
        <v>36.049999999999997</v>
      </c>
      <c r="H1837" s="5">
        <v>36.25</v>
      </c>
      <c r="I1837" s="5">
        <v>36.25</v>
      </c>
      <c r="J1837" s="5">
        <v>36.25</v>
      </c>
      <c r="K1837" s="5">
        <v>15624</v>
      </c>
      <c r="L1837" s="5">
        <v>5.66</v>
      </c>
      <c r="M1837" s="5">
        <v>78</v>
      </c>
      <c r="N1837" s="5">
        <v>14951</v>
      </c>
      <c r="O1837" s="5">
        <v>95.69</v>
      </c>
      <c r="P1837" s="5">
        <f t="shared" si="145"/>
        <v>0.14999999999999858</v>
      </c>
      <c r="Q1837" s="6">
        <f t="shared" si="146"/>
        <v>4.1551246537395725E-3</v>
      </c>
      <c r="R1837" s="5">
        <f t="shared" si="147"/>
        <v>0.95000000000000284</v>
      </c>
      <c r="S1837" s="6">
        <f t="shared" si="148"/>
        <v>2.6315789473684289E-2</v>
      </c>
      <c r="T1837" s="6">
        <f t="shared" si="149"/>
        <v>0</v>
      </c>
    </row>
    <row r="1838" spans="1:20" hidden="1" x14ac:dyDescent="0.25">
      <c r="A1838" s="4" t="s">
        <v>1732</v>
      </c>
      <c r="B1838" s="5" t="s">
        <v>39</v>
      </c>
      <c r="C1838" s="5" t="s">
        <v>1823</v>
      </c>
      <c r="D1838" s="5">
        <v>2.85</v>
      </c>
      <c r="E1838" s="5">
        <v>2.85</v>
      </c>
      <c r="F1838" s="5">
        <v>2.85</v>
      </c>
      <c r="G1838" s="5">
        <v>2.75</v>
      </c>
      <c r="H1838" s="5">
        <v>2.75</v>
      </c>
      <c r="I1838" s="5">
        <v>2.85</v>
      </c>
      <c r="J1838" s="5">
        <v>2.85</v>
      </c>
      <c r="K1838" s="5">
        <v>1281</v>
      </c>
      <c r="L1838" s="5">
        <v>0.04</v>
      </c>
      <c r="M1838" s="5">
        <v>11</v>
      </c>
      <c r="N1838" s="5" t="s">
        <v>25</v>
      </c>
      <c r="O1838" s="5" t="s">
        <v>25</v>
      </c>
      <c r="P1838" s="5">
        <f t="shared" si="145"/>
        <v>0</v>
      </c>
      <c r="Q1838" s="6">
        <f t="shared" si="146"/>
        <v>0</v>
      </c>
      <c r="R1838" s="5">
        <f t="shared" si="147"/>
        <v>0.10000000000000009</v>
      </c>
      <c r="S1838" s="6">
        <f t="shared" si="148"/>
        <v>3.5087719298245647E-2</v>
      </c>
      <c r="T1838" s="6">
        <f t="shared" si="149"/>
        <v>0</v>
      </c>
    </row>
    <row r="1839" spans="1:20" hidden="1" x14ac:dyDescent="0.25">
      <c r="A1839" s="4" t="s">
        <v>1733</v>
      </c>
      <c r="B1839" s="5" t="s">
        <v>16</v>
      </c>
      <c r="C1839" s="5" t="s">
        <v>1823</v>
      </c>
      <c r="D1839" s="5">
        <v>470.95</v>
      </c>
      <c r="E1839" s="5">
        <v>468</v>
      </c>
      <c r="F1839" s="5">
        <v>468.9</v>
      </c>
      <c r="G1839" s="5">
        <v>450</v>
      </c>
      <c r="H1839" s="5">
        <v>451</v>
      </c>
      <c r="I1839" s="5">
        <v>453.95</v>
      </c>
      <c r="J1839" s="5">
        <v>458.49</v>
      </c>
      <c r="K1839" s="5">
        <v>12047</v>
      </c>
      <c r="L1839" s="5">
        <v>55.23</v>
      </c>
      <c r="M1839" s="5">
        <v>998</v>
      </c>
      <c r="N1839" s="5">
        <v>7803</v>
      </c>
      <c r="O1839" s="5">
        <v>64.77</v>
      </c>
      <c r="P1839" s="5">
        <f t="shared" si="145"/>
        <v>-17</v>
      </c>
      <c r="Q1839" s="6">
        <f t="shared" si="146"/>
        <v>-3.6097250238878865E-2</v>
      </c>
      <c r="R1839" s="5">
        <f t="shared" si="147"/>
        <v>18.899999999999977</v>
      </c>
      <c r="S1839" s="6">
        <f t="shared" si="148"/>
        <v>4.0131648794988803E-2</v>
      </c>
      <c r="T1839" s="6">
        <f t="shared" si="149"/>
        <v>-9.8650080126029167E-3</v>
      </c>
    </row>
    <row r="1840" spans="1:20" x14ac:dyDescent="0.25">
      <c r="A1840" s="4" t="s">
        <v>726</v>
      </c>
      <c r="B1840" s="5" t="s">
        <v>16</v>
      </c>
      <c r="C1840" s="5" t="s">
        <v>1823</v>
      </c>
      <c r="D1840" s="5">
        <v>131.15</v>
      </c>
      <c r="E1840" s="5">
        <v>132.69999999999999</v>
      </c>
      <c r="F1840" s="5">
        <v>132.69999999999999</v>
      </c>
      <c r="G1840" s="5">
        <v>125.6</v>
      </c>
      <c r="H1840" s="5">
        <v>125.6</v>
      </c>
      <c r="I1840" s="5">
        <v>127.25</v>
      </c>
      <c r="J1840" s="5">
        <v>128.44999999999999</v>
      </c>
      <c r="K1840" s="5">
        <v>238004</v>
      </c>
      <c r="L1840" s="5">
        <v>305.70999999999998</v>
      </c>
      <c r="M1840" s="5">
        <v>3267</v>
      </c>
      <c r="N1840" s="5">
        <v>214822</v>
      </c>
      <c r="O1840" s="5">
        <v>90.26</v>
      </c>
      <c r="P1840" s="5">
        <f t="shared" si="145"/>
        <v>-3.9000000000000057</v>
      </c>
      <c r="Q1840" s="6">
        <f t="shared" si="146"/>
        <v>-2.9736942432329435E-2</v>
      </c>
      <c r="R1840" s="5">
        <f t="shared" si="147"/>
        <v>7.0999999999999943</v>
      </c>
      <c r="S1840" s="6">
        <f t="shared" si="148"/>
        <v>5.4136484940907309E-2</v>
      </c>
      <c r="T1840" s="6">
        <f t="shared" si="149"/>
        <v>-9.2619392185237914E-3</v>
      </c>
    </row>
    <row r="1841" spans="1:20" hidden="1" x14ac:dyDescent="0.25">
      <c r="A1841" s="4" t="s">
        <v>1735</v>
      </c>
      <c r="B1841" s="5" t="s">
        <v>16</v>
      </c>
      <c r="C1841" s="5" t="s">
        <v>1823</v>
      </c>
      <c r="D1841" s="5">
        <v>6.85</v>
      </c>
      <c r="E1841" s="5">
        <v>7.25</v>
      </c>
      <c r="F1841" s="5">
        <v>7.25</v>
      </c>
      <c r="G1841" s="5">
        <v>6.6</v>
      </c>
      <c r="H1841" s="5">
        <v>6.6</v>
      </c>
      <c r="I1841" s="5">
        <v>6.65</v>
      </c>
      <c r="J1841" s="5">
        <v>6.65</v>
      </c>
      <c r="K1841" s="5">
        <v>3543</v>
      </c>
      <c r="L1841" s="5">
        <v>0.24</v>
      </c>
      <c r="M1841" s="5">
        <v>25</v>
      </c>
      <c r="N1841" s="5">
        <v>3283</v>
      </c>
      <c r="O1841" s="5">
        <v>92.66</v>
      </c>
      <c r="P1841" s="5">
        <f t="shared" si="145"/>
        <v>-0.19999999999999929</v>
      </c>
      <c r="Q1841" s="6">
        <f t="shared" si="146"/>
        <v>-2.9197080291970701E-2</v>
      </c>
      <c r="R1841" s="5">
        <f t="shared" si="147"/>
        <v>0.65000000000000036</v>
      </c>
      <c r="S1841" s="6">
        <f t="shared" si="148"/>
        <v>9.489051094890516E-2</v>
      </c>
      <c r="T1841" s="6">
        <f t="shared" si="149"/>
        <v>0</v>
      </c>
    </row>
    <row r="1842" spans="1:20" x14ac:dyDescent="0.25">
      <c r="A1842" s="4" t="s">
        <v>310</v>
      </c>
      <c r="B1842" s="5" t="s">
        <v>16</v>
      </c>
      <c r="C1842" s="5" t="s">
        <v>1823</v>
      </c>
      <c r="D1842" s="5">
        <v>24</v>
      </c>
      <c r="E1842" s="5">
        <v>24.65</v>
      </c>
      <c r="F1842" s="5">
        <v>24.65</v>
      </c>
      <c r="G1842" s="5">
        <v>23.75</v>
      </c>
      <c r="H1842" s="5">
        <v>23.75</v>
      </c>
      <c r="I1842" s="5">
        <v>23.95</v>
      </c>
      <c r="J1842" s="5">
        <v>23.95</v>
      </c>
      <c r="K1842" s="5">
        <v>166469</v>
      </c>
      <c r="L1842" s="5">
        <v>39.869999999999997</v>
      </c>
      <c r="M1842" s="5">
        <v>343</v>
      </c>
      <c r="N1842" s="5">
        <v>150445</v>
      </c>
      <c r="O1842" s="5">
        <v>90.37</v>
      </c>
      <c r="P1842" s="5">
        <f t="shared" si="145"/>
        <v>-5.0000000000000711E-2</v>
      </c>
      <c r="Q1842" s="6">
        <f t="shared" si="146"/>
        <v>-2.0833333333333628E-3</v>
      </c>
      <c r="R1842" s="5">
        <f t="shared" si="147"/>
        <v>0.89999999999999858</v>
      </c>
      <c r="S1842" s="6">
        <f t="shared" si="148"/>
        <v>3.7499999999999943E-2</v>
      </c>
      <c r="T1842" s="6">
        <f t="shared" si="149"/>
        <v>0</v>
      </c>
    </row>
    <row r="1843" spans="1:20" x14ac:dyDescent="0.25">
      <c r="A1843" s="4" t="s">
        <v>1598</v>
      </c>
      <c r="B1843" s="5" t="s">
        <v>16</v>
      </c>
      <c r="C1843" s="5" t="s">
        <v>1823</v>
      </c>
      <c r="D1843" s="5">
        <v>620.65</v>
      </c>
      <c r="E1843" s="5">
        <v>620.65</v>
      </c>
      <c r="F1843" s="5">
        <v>634.79999999999995</v>
      </c>
      <c r="G1843" s="5">
        <v>601.29999999999995</v>
      </c>
      <c r="H1843" s="5">
        <v>605.79999999999995</v>
      </c>
      <c r="I1843" s="5">
        <v>612.25</v>
      </c>
      <c r="J1843" s="5">
        <v>628.35</v>
      </c>
      <c r="K1843" s="5">
        <v>343065</v>
      </c>
      <c r="L1843" s="5">
        <v>2155.65</v>
      </c>
      <c r="M1843" s="5">
        <v>2881</v>
      </c>
      <c r="N1843" s="5">
        <v>313467</v>
      </c>
      <c r="O1843" s="5">
        <v>91.37</v>
      </c>
      <c r="P1843" s="5">
        <f t="shared" si="145"/>
        <v>-8.3999999999999773</v>
      </c>
      <c r="Q1843" s="6">
        <f t="shared" si="146"/>
        <v>-1.3534198018206683E-2</v>
      </c>
      <c r="R1843" s="5">
        <f t="shared" si="147"/>
        <v>33.5</v>
      </c>
      <c r="S1843" s="6">
        <f t="shared" si="148"/>
        <v>5.3975670667848225E-2</v>
      </c>
      <c r="T1843" s="6">
        <f t="shared" si="149"/>
        <v>-2.6083434588902426E-2</v>
      </c>
    </row>
    <row r="1844" spans="1:20" x14ac:dyDescent="0.25">
      <c r="A1844" s="4" t="s">
        <v>838</v>
      </c>
      <c r="B1844" s="5" t="s">
        <v>16</v>
      </c>
      <c r="C1844" s="5" t="s">
        <v>1823</v>
      </c>
      <c r="D1844" s="5">
        <v>1138.8</v>
      </c>
      <c r="E1844" s="5">
        <v>1148</v>
      </c>
      <c r="F1844" s="5">
        <v>1148</v>
      </c>
      <c r="G1844" s="5">
        <v>1055.0999999999999</v>
      </c>
      <c r="H1844" s="5">
        <v>1061</v>
      </c>
      <c r="I1844" s="5">
        <v>1070.2</v>
      </c>
      <c r="J1844" s="5">
        <v>1115.02</v>
      </c>
      <c r="K1844" s="5">
        <v>201613</v>
      </c>
      <c r="L1844" s="5">
        <v>2248.02</v>
      </c>
      <c r="M1844" s="5">
        <v>4635</v>
      </c>
      <c r="N1844" s="5">
        <v>188474</v>
      </c>
      <c r="O1844" s="5">
        <v>93.48</v>
      </c>
      <c r="P1844" s="5">
        <f t="shared" si="145"/>
        <v>-68.599999999999909</v>
      </c>
      <c r="Q1844" s="6">
        <f t="shared" si="146"/>
        <v>-6.023884791008071E-2</v>
      </c>
      <c r="R1844" s="5">
        <f t="shared" si="147"/>
        <v>92.900000000000091</v>
      </c>
      <c r="S1844" s="6">
        <f t="shared" si="148"/>
        <v>8.1577098700386458E-2</v>
      </c>
      <c r="T1844" s="6">
        <f t="shared" si="149"/>
        <v>-4.0549159749394915E-2</v>
      </c>
    </row>
    <row r="1845" spans="1:20" hidden="1" x14ac:dyDescent="0.25">
      <c r="A1845" s="4" t="s">
        <v>1739</v>
      </c>
      <c r="B1845" s="5" t="s">
        <v>16</v>
      </c>
      <c r="C1845" s="5" t="s">
        <v>1823</v>
      </c>
      <c r="D1845" s="5">
        <v>23.05</v>
      </c>
      <c r="E1845" s="5">
        <v>23.45</v>
      </c>
      <c r="F1845" s="5">
        <v>23.5</v>
      </c>
      <c r="G1845" s="5">
        <v>22.5</v>
      </c>
      <c r="H1845" s="5">
        <v>23.2</v>
      </c>
      <c r="I1845" s="5">
        <v>22.9</v>
      </c>
      <c r="J1845" s="5">
        <v>23.14</v>
      </c>
      <c r="K1845" s="5">
        <v>16178</v>
      </c>
      <c r="L1845" s="5">
        <v>3.74</v>
      </c>
      <c r="M1845" s="5">
        <v>140</v>
      </c>
      <c r="N1845" s="5">
        <v>6330</v>
      </c>
      <c r="O1845" s="5">
        <v>39.130000000000003</v>
      </c>
      <c r="P1845" s="5">
        <f t="shared" si="145"/>
        <v>-0.15000000000000213</v>
      </c>
      <c r="Q1845" s="6">
        <f t="shared" si="146"/>
        <v>-6.5075921908894635E-3</v>
      </c>
      <c r="R1845" s="5">
        <f t="shared" si="147"/>
        <v>1</v>
      </c>
      <c r="S1845" s="6">
        <f t="shared" si="148"/>
        <v>4.3383947939262472E-2</v>
      </c>
      <c r="T1845" s="6">
        <f t="shared" si="149"/>
        <v>-1.039523551705477E-2</v>
      </c>
    </row>
    <row r="1846" spans="1:20" hidden="1" x14ac:dyDescent="0.25">
      <c r="A1846" s="4" t="s">
        <v>1740</v>
      </c>
      <c r="B1846" s="5" t="s">
        <v>28</v>
      </c>
      <c r="C1846" s="5" t="s">
        <v>1823</v>
      </c>
      <c r="D1846" s="5">
        <v>166.75</v>
      </c>
      <c r="E1846" s="5">
        <v>173</v>
      </c>
      <c r="F1846" s="5">
        <v>173</v>
      </c>
      <c r="G1846" s="5">
        <v>160.19999999999999</v>
      </c>
      <c r="H1846" s="5">
        <v>160.19999999999999</v>
      </c>
      <c r="I1846" s="5">
        <v>160.19999999999999</v>
      </c>
      <c r="J1846" s="5">
        <v>164.91</v>
      </c>
      <c r="K1846" s="5">
        <v>13200</v>
      </c>
      <c r="L1846" s="5">
        <v>21.77</v>
      </c>
      <c r="M1846" s="5">
        <v>11</v>
      </c>
      <c r="N1846" s="5">
        <v>8400</v>
      </c>
      <c r="O1846" s="5">
        <v>63.64</v>
      </c>
      <c r="P1846" s="5">
        <f t="shared" si="145"/>
        <v>-6.5500000000000114</v>
      </c>
      <c r="Q1846" s="6">
        <f t="shared" si="146"/>
        <v>-3.9280359820090024E-2</v>
      </c>
      <c r="R1846" s="5">
        <f t="shared" si="147"/>
        <v>12.800000000000011</v>
      </c>
      <c r="S1846" s="6">
        <f t="shared" si="148"/>
        <v>7.6761619190404862E-2</v>
      </c>
      <c r="T1846" s="6">
        <f t="shared" si="149"/>
        <v>-2.8271308523409412E-2</v>
      </c>
    </row>
    <row r="1847" spans="1:20" hidden="1" x14ac:dyDescent="0.25">
      <c r="A1847" s="4" t="s">
        <v>1741</v>
      </c>
      <c r="B1847" s="5" t="s">
        <v>16</v>
      </c>
      <c r="C1847" s="5" t="s">
        <v>1823</v>
      </c>
      <c r="D1847" s="5">
        <v>1105.5</v>
      </c>
      <c r="E1847" s="5">
        <v>1083.3499999999999</v>
      </c>
      <c r="F1847" s="5">
        <v>1125</v>
      </c>
      <c r="G1847" s="5">
        <v>1035</v>
      </c>
      <c r="H1847" s="5">
        <v>1099</v>
      </c>
      <c r="I1847" s="5">
        <v>1100.0999999999999</v>
      </c>
      <c r="J1847" s="5">
        <v>1093.3900000000001</v>
      </c>
      <c r="K1847" s="5">
        <v>15730</v>
      </c>
      <c r="L1847" s="5">
        <v>171.99</v>
      </c>
      <c r="M1847" s="5">
        <v>2092</v>
      </c>
      <c r="N1847" s="5">
        <v>11304</v>
      </c>
      <c r="O1847" s="5">
        <v>71.86</v>
      </c>
      <c r="P1847" s="5">
        <f t="shared" si="145"/>
        <v>-5.4000000000000909</v>
      </c>
      <c r="Q1847" s="6">
        <f t="shared" si="146"/>
        <v>-4.8846675712348178E-3</v>
      </c>
      <c r="R1847" s="5">
        <f t="shared" si="147"/>
        <v>90</v>
      </c>
      <c r="S1847" s="6">
        <f t="shared" si="148"/>
        <v>8.1411126187245594E-2</v>
      </c>
      <c r="T1847" s="6">
        <f t="shared" si="149"/>
        <v>6.1794195858129453E-3</v>
      </c>
    </row>
    <row r="1848" spans="1:20" hidden="1" x14ac:dyDescent="0.25">
      <c r="A1848" s="4" t="s">
        <v>1742</v>
      </c>
      <c r="B1848" s="5" t="s">
        <v>16</v>
      </c>
      <c r="C1848" s="5" t="s">
        <v>1823</v>
      </c>
      <c r="D1848" s="5">
        <v>58.35</v>
      </c>
      <c r="E1848" s="5">
        <v>58.1</v>
      </c>
      <c r="F1848" s="5">
        <v>58.1</v>
      </c>
      <c r="G1848" s="5">
        <v>54.65</v>
      </c>
      <c r="H1848" s="5">
        <v>55</v>
      </c>
      <c r="I1848" s="5">
        <v>56.35</v>
      </c>
      <c r="J1848" s="5">
        <v>56.7</v>
      </c>
      <c r="K1848" s="5">
        <v>5190</v>
      </c>
      <c r="L1848" s="5">
        <v>2.94</v>
      </c>
      <c r="M1848" s="5">
        <v>365</v>
      </c>
      <c r="N1848" s="5">
        <v>3321</v>
      </c>
      <c r="O1848" s="5">
        <v>63.99</v>
      </c>
      <c r="P1848" s="5">
        <f t="shared" si="145"/>
        <v>-2</v>
      </c>
      <c r="Q1848" s="6">
        <f t="shared" si="146"/>
        <v>-3.4275921165381321E-2</v>
      </c>
      <c r="R1848" s="5">
        <f t="shared" si="147"/>
        <v>3.4500000000000028</v>
      </c>
      <c r="S1848" s="6">
        <f t="shared" si="148"/>
        <v>5.9125964010282826E-2</v>
      </c>
      <c r="T1848" s="6">
        <f t="shared" si="149"/>
        <v>-6.1619718309859411E-3</v>
      </c>
    </row>
    <row r="1849" spans="1:20" hidden="1" x14ac:dyDescent="0.25">
      <c r="A1849" s="4" t="s">
        <v>1743</v>
      </c>
      <c r="B1849" s="5" t="s">
        <v>16</v>
      </c>
      <c r="C1849" s="5" t="s">
        <v>1823</v>
      </c>
      <c r="D1849" s="5">
        <v>223.85</v>
      </c>
      <c r="E1849" s="5">
        <v>224.6</v>
      </c>
      <c r="F1849" s="5">
        <v>224.75</v>
      </c>
      <c r="G1849" s="5">
        <v>220.9</v>
      </c>
      <c r="H1849" s="5">
        <v>222.55</v>
      </c>
      <c r="I1849" s="5">
        <v>222.75</v>
      </c>
      <c r="J1849" s="5">
        <v>222.63</v>
      </c>
      <c r="K1849" s="5">
        <v>158438</v>
      </c>
      <c r="L1849" s="5">
        <v>352.73</v>
      </c>
      <c r="M1849" s="5">
        <v>2857</v>
      </c>
      <c r="N1849" s="5">
        <v>88256</v>
      </c>
      <c r="O1849" s="5">
        <v>55.7</v>
      </c>
      <c r="P1849" s="5">
        <f t="shared" si="145"/>
        <v>-1.0999999999999943</v>
      </c>
      <c r="Q1849" s="6">
        <f t="shared" si="146"/>
        <v>-4.9140049140048887E-3</v>
      </c>
      <c r="R1849" s="5">
        <f t="shared" si="147"/>
        <v>3.8499999999999943</v>
      </c>
      <c r="S1849" s="6">
        <f t="shared" si="148"/>
        <v>1.7199017199017175E-2</v>
      </c>
      <c r="T1849" s="6">
        <f t="shared" si="149"/>
        <v>5.3751399776037876E-4</v>
      </c>
    </row>
    <row r="1850" spans="1:20" hidden="1" x14ac:dyDescent="0.25">
      <c r="A1850" s="4" t="s">
        <v>1744</v>
      </c>
      <c r="B1850" s="5" t="s">
        <v>16</v>
      </c>
      <c r="C1850" s="5" t="s">
        <v>1823</v>
      </c>
      <c r="D1850" s="5">
        <v>1586.05</v>
      </c>
      <c r="E1850" s="5">
        <v>1647.9</v>
      </c>
      <c r="F1850" s="5">
        <v>1648</v>
      </c>
      <c r="G1850" s="5">
        <v>1562</v>
      </c>
      <c r="H1850" s="5">
        <v>1572.25</v>
      </c>
      <c r="I1850" s="5">
        <v>1585.75</v>
      </c>
      <c r="J1850" s="5">
        <v>1583.73</v>
      </c>
      <c r="K1850" s="5">
        <v>220</v>
      </c>
      <c r="L1850" s="5">
        <v>3.48</v>
      </c>
      <c r="M1850" s="5">
        <v>87</v>
      </c>
      <c r="N1850" s="5">
        <v>122</v>
      </c>
      <c r="O1850" s="5">
        <v>55.45</v>
      </c>
      <c r="P1850" s="5">
        <f t="shared" si="145"/>
        <v>-0.29999999999995453</v>
      </c>
      <c r="Q1850" s="6">
        <f t="shared" si="146"/>
        <v>-1.8914914410009427E-4</v>
      </c>
      <c r="R1850" s="5">
        <f t="shared" si="147"/>
        <v>86</v>
      </c>
      <c r="S1850" s="6">
        <f t="shared" si="148"/>
        <v>5.4222754642035249E-2</v>
      </c>
      <c r="T1850" s="6">
        <f t="shared" si="149"/>
        <v>1.2539476849301138E-3</v>
      </c>
    </row>
    <row r="1851" spans="1:20" hidden="1" x14ac:dyDescent="0.25">
      <c r="A1851" s="4" t="s">
        <v>1745</v>
      </c>
      <c r="B1851" s="5" t="s">
        <v>39</v>
      </c>
      <c r="C1851" s="5" t="s">
        <v>1823</v>
      </c>
      <c r="D1851" s="5">
        <v>1.3</v>
      </c>
      <c r="E1851" s="5">
        <v>1.25</v>
      </c>
      <c r="F1851" s="5">
        <v>1.35</v>
      </c>
      <c r="G1851" s="5">
        <v>1.25</v>
      </c>
      <c r="H1851" s="5">
        <v>1.35</v>
      </c>
      <c r="I1851" s="5">
        <v>1.35</v>
      </c>
      <c r="J1851" s="5">
        <v>1.33</v>
      </c>
      <c r="K1851" s="5">
        <v>37321</v>
      </c>
      <c r="L1851" s="5">
        <v>0.5</v>
      </c>
      <c r="M1851" s="5">
        <v>59</v>
      </c>
      <c r="N1851" s="5" t="s">
        <v>25</v>
      </c>
      <c r="O1851" s="5" t="s">
        <v>25</v>
      </c>
      <c r="P1851" s="5">
        <f t="shared" si="145"/>
        <v>5.0000000000000044E-2</v>
      </c>
      <c r="Q1851" s="6">
        <f t="shared" si="146"/>
        <v>3.8461538461538491E-2</v>
      </c>
      <c r="R1851" s="5">
        <f t="shared" si="147"/>
        <v>0.10000000000000009</v>
      </c>
      <c r="S1851" s="6">
        <f t="shared" si="148"/>
        <v>7.6923076923076983E-2</v>
      </c>
      <c r="T1851" s="6">
        <f t="shared" si="149"/>
        <v>1.5384615384615398E-2</v>
      </c>
    </row>
    <row r="1852" spans="1:20" hidden="1" x14ac:dyDescent="0.25">
      <c r="A1852" s="4" t="s">
        <v>1746</v>
      </c>
      <c r="B1852" s="5" t="s">
        <v>24</v>
      </c>
      <c r="C1852" s="5" t="s">
        <v>1823</v>
      </c>
      <c r="D1852" s="5">
        <v>1.55</v>
      </c>
      <c r="E1852" s="5">
        <v>1.55</v>
      </c>
      <c r="F1852" s="5">
        <v>1.6</v>
      </c>
      <c r="G1852" s="5">
        <v>1.5</v>
      </c>
      <c r="H1852" s="5">
        <v>1.55</v>
      </c>
      <c r="I1852" s="5">
        <v>1.5</v>
      </c>
      <c r="J1852" s="5">
        <v>1.54</v>
      </c>
      <c r="K1852" s="5">
        <v>62901</v>
      </c>
      <c r="L1852" s="5">
        <v>0.97</v>
      </c>
      <c r="M1852" s="5">
        <v>85</v>
      </c>
      <c r="N1852" s="5" t="s">
        <v>25</v>
      </c>
      <c r="O1852" s="5" t="s">
        <v>25</v>
      </c>
      <c r="P1852" s="5">
        <f t="shared" si="145"/>
        <v>-5.0000000000000044E-2</v>
      </c>
      <c r="Q1852" s="6">
        <f t="shared" si="146"/>
        <v>-3.2258064516129059E-2</v>
      </c>
      <c r="R1852" s="5">
        <f t="shared" si="147"/>
        <v>0.10000000000000009</v>
      </c>
      <c r="S1852" s="6">
        <f t="shared" si="148"/>
        <v>6.4516129032258118E-2</v>
      </c>
      <c r="T1852" s="6">
        <f t="shared" si="149"/>
        <v>-2.6016260162601647E-2</v>
      </c>
    </row>
    <row r="1853" spans="1:20" hidden="1" x14ac:dyDescent="0.25">
      <c r="A1853" s="4" t="s">
        <v>1747</v>
      </c>
      <c r="B1853" s="5" t="s">
        <v>16</v>
      </c>
      <c r="C1853" s="5" t="s">
        <v>1823</v>
      </c>
      <c r="D1853" s="5">
        <v>63.4</v>
      </c>
      <c r="E1853" s="5">
        <v>63.95</v>
      </c>
      <c r="F1853" s="5">
        <v>63.95</v>
      </c>
      <c r="G1853" s="5">
        <v>62.1</v>
      </c>
      <c r="H1853" s="5">
        <v>62.7</v>
      </c>
      <c r="I1853" s="5">
        <v>63.1</v>
      </c>
      <c r="J1853" s="5">
        <v>62.69</v>
      </c>
      <c r="K1853" s="5">
        <v>9742</v>
      </c>
      <c r="L1853" s="5">
        <v>6.11</v>
      </c>
      <c r="M1853" s="5">
        <v>154</v>
      </c>
      <c r="N1853" s="5">
        <v>7192</v>
      </c>
      <c r="O1853" s="5">
        <v>73.819999999999993</v>
      </c>
      <c r="P1853" s="5">
        <f t="shared" si="145"/>
        <v>-0.29999999999999716</v>
      </c>
      <c r="Q1853" s="6">
        <f t="shared" si="146"/>
        <v>-4.7318611987381253E-3</v>
      </c>
      <c r="R1853" s="5">
        <f t="shared" si="147"/>
        <v>1.8500000000000014</v>
      </c>
      <c r="S1853" s="6">
        <f t="shared" si="148"/>
        <v>2.9179810725552074E-2</v>
      </c>
      <c r="T1853" s="6">
        <f t="shared" si="149"/>
        <v>6.4796523113394497E-3</v>
      </c>
    </row>
    <row r="1854" spans="1:20" hidden="1" x14ac:dyDescent="0.25">
      <c r="A1854" s="4" t="s">
        <v>1748</v>
      </c>
      <c r="B1854" s="5" t="s">
        <v>16</v>
      </c>
      <c r="C1854" s="5" t="s">
        <v>1823</v>
      </c>
      <c r="D1854" s="5">
        <v>0.5</v>
      </c>
      <c r="E1854" s="5">
        <v>0.45</v>
      </c>
      <c r="F1854" s="5">
        <v>0.5</v>
      </c>
      <c r="G1854" s="5">
        <v>0.45</v>
      </c>
      <c r="H1854" s="5">
        <v>0.5</v>
      </c>
      <c r="I1854" s="5">
        <v>0.5</v>
      </c>
      <c r="J1854" s="5">
        <v>0.45</v>
      </c>
      <c r="K1854" s="5">
        <v>85242</v>
      </c>
      <c r="L1854" s="5">
        <v>0.39</v>
      </c>
      <c r="M1854" s="5">
        <v>20</v>
      </c>
      <c r="N1854" s="5">
        <v>75380</v>
      </c>
      <c r="O1854" s="5">
        <v>88.43</v>
      </c>
      <c r="P1854" s="5">
        <f t="shared" si="145"/>
        <v>0</v>
      </c>
      <c r="Q1854" s="6">
        <f t="shared" si="146"/>
        <v>0</v>
      </c>
      <c r="R1854" s="5">
        <f t="shared" si="147"/>
        <v>4.9999999999999989E-2</v>
      </c>
      <c r="S1854" s="6">
        <f t="shared" si="148"/>
        <v>9.9999999999999978E-2</v>
      </c>
      <c r="T1854" s="6">
        <f t="shared" si="149"/>
        <v>0.10526315789473682</v>
      </c>
    </row>
    <row r="1855" spans="1:20" hidden="1" x14ac:dyDescent="0.25">
      <c r="A1855" s="4" t="s">
        <v>1749</v>
      </c>
      <c r="B1855" s="5" t="s">
        <v>16</v>
      </c>
      <c r="C1855" s="5" t="s">
        <v>1823</v>
      </c>
      <c r="D1855" s="5">
        <v>4.2</v>
      </c>
      <c r="E1855" s="5">
        <v>4.0999999999999996</v>
      </c>
      <c r="F1855" s="5">
        <v>4.3499999999999996</v>
      </c>
      <c r="G1855" s="5">
        <v>4.05</v>
      </c>
      <c r="H1855" s="5">
        <v>4.05</v>
      </c>
      <c r="I1855" s="5">
        <v>4.0999999999999996</v>
      </c>
      <c r="J1855" s="5">
        <v>4.16</v>
      </c>
      <c r="K1855" s="5">
        <v>329538</v>
      </c>
      <c r="L1855" s="5">
        <v>13.71</v>
      </c>
      <c r="M1855" s="5">
        <v>321</v>
      </c>
      <c r="N1855" s="5">
        <v>153292</v>
      </c>
      <c r="O1855" s="5">
        <v>46.52</v>
      </c>
      <c r="P1855" s="5">
        <f t="shared" si="145"/>
        <v>-0.10000000000000053</v>
      </c>
      <c r="Q1855" s="6">
        <f t="shared" si="146"/>
        <v>-2.3809523809523937E-2</v>
      </c>
      <c r="R1855" s="5">
        <f t="shared" si="147"/>
        <v>0.29999999999999982</v>
      </c>
      <c r="S1855" s="6">
        <f t="shared" si="148"/>
        <v>7.1428571428571383E-2</v>
      </c>
      <c r="T1855" s="6">
        <f t="shared" si="149"/>
        <v>-1.4457831325301323E-2</v>
      </c>
    </row>
    <row r="1856" spans="1:20" hidden="1" x14ac:dyDescent="0.25">
      <c r="A1856" s="4" t="s">
        <v>1750</v>
      </c>
      <c r="B1856" s="5" t="s">
        <v>16</v>
      </c>
      <c r="C1856" s="5" t="s">
        <v>1823</v>
      </c>
      <c r="D1856" s="5">
        <v>3.65</v>
      </c>
      <c r="E1856" s="5">
        <v>3.5</v>
      </c>
      <c r="F1856" s="5">
        <v>3.8</v>
      </c>
      <c r="G1856" s="5">
        <v>3.4</v>
      </c>
      <c r="H1856" s="5">
        <v>3.65</v>
      </c>
      <c r="I1856" s="5">
        <v>3.75</v>
      </c>
      <c r="J1856" s="5">
        <v>3.67</v>
      </c>
      <c r="K1856" s="5">
        <v>1563767</v>
      </c>
      <c r="L1856" s="5">
        <v>57.41</v>
      </c>
      <c r="M1856" s="5">
        <v>571</v>
      </c>
      <c r="N1856" s="5">
        <v>1036715</v>
      </c>
      <c r="O1856" s="5">
        <v>66.3</v>
      </c>
      <c r="P1856" s="5">
        <f t="shared" si="145"/>
        <v>0.10000000000000009</v>
      </c>
      <c r="Q1856" s="6">
        <f t="shared" si="146"/>
        <v>2.7397260273972629E-2</v>
      </c>
      <c r="R1856" s="5">
        <f t="shared" si="147"/>
        <v>0.39999999999999991</v>
      </c>
      <c r="S1856" s="6">
        <f t="shared" si="148"/>
        <v>0.10958904109589039</v>
      </c>
      <c r="T1856" s="6">
        <f t="shared" si="149"/>
        <v>2.2145328719723203E-2</v>
      </c>
    </row>
    <row r="1857" spans="1:20" hidden="1" x14ac:dyDescent="0.25">
      <c r="A1857" s="4" t="s">
        <v>1751</v>
      </c>
      <c r="B1857" s="5" t="s">
        <v>39</v>
      </c>
      <c r="C1857" s="5" t="s">
        <v>1823</v>
      </c>
      <c r="D1857" s="5">
        <v>3.3</v>
      </c>
      <c r="E1857" s="5">
        <v>3.25</v>
      </c>
      <c r="F1857" s="5">
        <v>3.25</v>
      </c>
      <c r="G1857" s="5">
        <v>3.25</v>
      </c>
      <c r="H1857" s="5">
        <v>3.25</v>
      </c>
      <c r="I1857" s="5">
        <v>3.25</v>
      </c>
      <c r="J1857" s="5">
        <v>3.25</v>
      </c>
      <c r="K1857" s="5">
        <v>9712</v>
      </c>
      <c r="L1857" s="5">
        <v>0.32</v>
      </c>
      <c r="M1857" s="5">
        <v>32</v>
      </c>
      <c r="N1857" s="5" t="s">
        <v>25</v>
      </c>
      <c r="O1857" s="5" t="s">
        <v>25</v>
      </c>
      <c r="P1857" s="5">
        <f t="shared" si="145"/>
        <v>-4.9999999999999822E-2</v>
      </c>
      <c r="Q1857" s="6">
        <f t="shared" si="146"/>
        <v>-1.5151515151515098E-2</v>
      </c>
      <c r="R1857" s="5">
        <f t="shared" si="147"/>
        <v>0</v>
      </c>
      <c r="S1857" s="6">
        <f t="shared" si="148"/>
        <v>0</v>
      </c>
      <c r="T1857" s="6">
        <f t="shared" si="149"/>
        <v>0</v>
      </c>
    </row>
    <row r="1858" spans="1:20" x14ac:dyDescent="0.25">
      <c r="A1858" s="4" t="s">
        <v>817</v>
      </c>
      <c r="B1858" s="5" t="s">
        <v>16</v>
      </c>
      <c r="C1858" s="5" t="s">
        <v>1823</v>
      </c>
      <c r="D1858" s="5">
        <v>176.3</v>
      </c>
      <c r="E1858" s="5">
        <v>167.95</v>
      </c>
      <c r="F1858" s="5">
        <v>172</v>
      </c>
      <c r="G1858" s="5">
        <v>156.05000000000001</v>
      </c>
      <c r="H1858" s="5">
        <v>160</v>
      </c>
      <c r="I1858" s="5">
        <v>159.9</v>
      </c>
      <c r="J1858" s="5">
        <v>165.85</v>
      </c>
      <c r="K1858" s="5">
        <v>283120</v>
      </c>
      <c r="L1858" s="5">
        <v>469.56</v>
      </c>
      <c r="M1858" s="5">
        <v>961</v>
      </c>
      <c r="N1858" s="5">
        <v>270404</v>
      </c>
      <c r="O1858" s="5">
        <v>95.51</v>
      </c>
      <c r="P1858" s="5">
        <f t="shared" si="145"/>
        <v>-16.400000000000006</v>
      </c>
      <c r="Q1858" s="6">
        <f t="shared" si="146"/>
        <v>-9.3023255813953515E-2</v>
      </c>
      <c r="R1858" s="5">
        <f t="shared" si="147"/>
        <v>15.949999999999989</v>
      </c>
      <c r="S1858" s="6">
        <f t="shared" si="148"/>
        <v>9.0470788428814453E-2</v>
      </c>
      <c r="T1858" s="6">
        <f t="shared" si="149"/>
        <v>-3.6286019210245393E-2</v>
      </c>
    </row>
    <row r="1859" spans="1:20" hidden="1" x14ac:dyDescent="0.25">
      <c r="A1859" s="4" t="s">
        <v>1753</v>
      </c>
      <c r="B1859" s="5" t="s">
        <v>16</v>
      </c>
      <c r="C1859" s="5" t="s">
        <v>1823</v>
      </c>
      <c r="D1859" s="5">
        <v>104.95</v>
      </c>
      <c r="E1859" s="5">
        <v>105.5</v>
      </c>
      <c r="F1859" s="5">
        <v>106.3</v>
      </c>
      <c r="G1859" s="5">
        <v>103.25</v>
      </c>
      <c r="H1859" s="5">
        <v>103.45</v>
      </c>
      <c r="I1859" s="5">
        <v>104.15</v>
      </c>
      <c r="J1859" s="5">
        <v>104.92</v>
      </c>
      <c r="K1859" s="5">
        <v>9818</v>
      </c>
      <c r="L1859" s="5">
        <v>10.3</v>
      </c>
      <c r="M1859" s="5">
        <v>433</v>
      </c>
      <c r="N1859" s="5">
        <v>4864</v>
      </c>
      <c r="O1859" s="5">
        <v>49.54</v>
      </c>
      <c r="P1859" s="5">
        <f t="shared" si="145"/>
        <v>-0.79999999999999716</v>
      </c>
      <c r="Q1859" s="6">
        <f t="shared" si="146"/>
        <v>-7.6226774654597155E-3</v>
      </c>
      <c r="R1859" s="5">
        <f t="shared" si="147"/>
        <v>3.0499999999999972</v>
      </c>
      <c r="S1859" s="6">
        <f t="shared" si="148"/>
        <v>2.9061457837065242E-2</v>
      </c>
      <c r="T1859" s="6">
        <f t="shared" si="149"/>
        <v>-7.3473282442747707E-3</v>
      </c>
    </row>
    <row r="1860" spans="1:20" hidden="1" x14ac:dyDescent="0.25">
      <c r="A1860" s="4" t="s">
        <v>1754</v>
      </c>
      <c r="B1860" s="5" t="s">
        <v>16</v>
      </c>
      <c r="C1860" s="5" t="s">
        <v>1823</v>
      </c>
      <c r="D1860" s="5">
        <v>2266.5500000000002</v>
      </c>
      <c r="E1860" s="5">
        <v>2266.5500000000002</v>
      </c>
      <c r="F1860" s="5">
        <v>2284.9499999999998</v>
      </c>
      <c r="G1860" s="5">
        <v>2242.5</v>
      </c>
      <c r="H1860" s="5">
        <v>2253</v>
      </c>
      <c r="I1860" s="5">
        <v>2261</v>
      </c>
      <c r="J1860" s="5">
        <v>2268.63</v>
      </c>
      <c r="K1860" s="5">
        <v>13852</v>
      </c>
      <c r="L1860" s="5">
        <v>314.25</v>
      </c>
      <c r="M1860" s="5">
        <v>1879</v>
      </c>
      <c r="N1860" s="5">
        <v>6844</v>
      </c>
      <c r="O1860" s="5">
        <v>49.41</v>
      </c>
      <c r="P1860" s="5">
        <f t="shared" si="145"/>
        <v>-5.5500000000001819</v>
      </c>
      <c r="Q1860" s="6">
        <f t="shared" si="146"/>
        <v>-2.4486554455009513E-3</v>
      </c>
      <c r="R1860" s="5">
        <f t="shared" si="147"/>
        <v>42.449999999999818</v>
      </c>
      <c r="S1860" s="6">
        <f t="shared" si="148"/>
        <v>1.8728905164236313E-2</v>
      </c>
      <c r="T1860" s="6">
        <f t="shared" si="149"/>
        <v>-3.3705135284373758E-3</v>
      </c>
    </row>
    <row r="1861" spans="1:20" hidden="1" x14ac:dyDescent="0.25">
      <c r="A1861" s="4" t="s">
        <v>1755</v>
      </c>
      <c r="B1861" s="5" t="s">
        <v>16</v>
      </c>
      <c r="C1861" s="5" t="s">
        <v>1823</v>
      </c>
      <c r="D1861" s="5">
        <v>1077</v>
      </c>
      <c r="E1861" s="5">
        <v>1076.95</v>
      </c>
      <c r="F1861" s="5">
        <v>1099.8</v>
      </c>
      <c r="G1861" s="5">
        <v>1055</v>
      </c>
      <c r="H1861" s="5">
        <v>1061.25</v>
      </c>
      <c r="I1861" s="5">
        <v>1063.95</v>
      </c>
      <c r="J1861" s="5">
        <v>1070.56</v>
      </c>
      <c r="K1861" s="5">
        <v>2643</v>
      </c>
      <c r="L1861" s="5">
        <v>28.29</v>
      </c>
      <c r="M1861" s="5">
        <v>464</v>
      </c>
      <c r="N1861" s="5">
        <v>1751</v>
      </c>
      <c r="O1861" s="5">
        <v>66.25</v>
      </c>
      <c r="P1861" s="5">
        <f t="shared" si="145"/>
        <v>-13.049999999999955</v>
      </c>
      <c r="Q1861" s="6">
        <f t="shared" si="146"/>
        <v>-1.2116991643453997E-2</v>
      </c>
      <c r="R1861" s="5">
        <f t="shared" si="147"/>
        <v>44.799999999999955</v>
      </c>
      <c r="S1861" s="6">
        <f t="shared" si="148"/>
        <v>4.1597028783658264E-2</v>
      </c>
      <c r="T1861" s="6">
        <f t="shared" si="149"/>
        <v>-6.1549922015037362E-3</v>
      </c>
    </row>
    <row r="1862" spans="1:20" hidden="1" x14ac:dyDescent="0.25">
      <c r="A1862" s="4" t="s">
        <v>1756</v>
      </c>
      <c r="B1862" s="5" t="s">
        <v>16</v>
      </c>
      <c r="C1862" s="5" t="s">
        <v>1823</v>
      </c>
      <c r="D1862" s="5">
        <v>66.45</v>
      </c>
      <c r="E1862" s="5">
        <v>66.2</v>
      </c>
      <c r="F1862" s="5">
        <v>67.5</v>
      </c>
      <c r="G1862" s="5">
        <v>65.150000000000006</v>
      </c>
      <c r="H1862" s="5">
        <v>66.349999999999994</v>
      </c>
      <c r="I1862" s="5">
        <v>66.099999999999994</v>
      </c>
      <c r="J1862" s="5">
        <v>66.28</v>
      </c>
      <c r="K1862" s="5">
        <v>7790</v>
      </c>
      <c r="L1862" s="5">
        <v>5.16</v>
      </c>
      <c r="M1862" s="5">
        <v>185</v>
      </c>
      <c r="N1862" s="5">
        <v>5082</v>
      </c>
      <c r="O1862" s="5">
        <v>65.239999999999995</v>
      </c>
      <c r="P1862" s="5">
        <f t="shared" si="145"/>
        <v>-0.35000000000000853</v>
      </c>
      <c r="Q1862" s="6">
        <f t="shared" si="146"/>
        <v>-5.2671181339354178E-3</v>
      </c>
      <c r="R1862" s="5">
        <f t="shared" si="147"/>
        <v>2.3499999999999943</v>
      </c>
      <c r="S1862" s="6">
        <f t="shared" si="148"/>
        <v>3.5364936042136856E-2</v>
      </c>
      <c r="T1862" s="6">
        <f t="shared" si="149"/>
        <v>-2.7174938667674179E-3</v>
      </c>
    </row>
    <row r="1863" spans="1:20" hidden="1" x14ac:dyDescent="0.25">
      <c r="A1863" s="4" t="s">
        <v>1757</v>
      </c>
      <c r="B1863" s="5" t="s">
        <v>16</v>
      </c>
      <c r="C1863" s="5" t="s">
        <v>1823</v>
      </c>
      <c r="D1863" s="5">
        <v>11.1</v>
      </c>
      <c r="E1863" s="5">
        <v>11.3</v>
      </c>
      <c r="F1863" s="5">
        <v>11.3</v>
      </c>
      <c r="G1863" s="5">
        <v>10.85</v>
      </c>
      <c r="H1863" s="5">
        <v>10.9</v>
      </c>
      <c r="I1863" s="5">
        <v>10.9</v>
      </c>
      <c r="J1863" s="5">
        <v>10.97</v>
      </c>
      <c r="K1863" s="5">
        <v>59398</v>
      </c>
      <c r="L1863" s="5">
        <v>6.52</v>
      </c>
      <c r="M1863" s="5">
        <v>202</v>
      </c>
      <c r="N1863" s="5">
        <v>45643</v>
      </c>
      <c r="O1863" s="5">
        <v>76.84</v>
      </c>
      <c r="P1863" s="5">
        <f t="shared" si="145"/>
        <v>-0.19999999999999929</v>
      </c>
      <c r="Q1863" s="6">
        <f t="shared" si="146"/>
        <v>-1.8018018018017955E-2</v>
      </c>
      <c r="R1863" s="5">
        <f t="shared" si="147"/>
        <v>0.45000000000000107</v>
      </c>
      <c r="S1863" s="6">
        <f t="shared" si="148"/>
        <v>4.054054054054064E-2</v>
      </c>
      <c r="T1863" s="6">
        <f t="shared" si="149"/>
        <v>-6.3134160090191913E-3</v>
      </c>
    </row>
    <row r="1864" spans="1:20" x14ac:dyDescent="0.25">
      <c r="A1864" s="4" t="s">
        <v>683</v>
      </c>
      <c r="B1864" s="5" t="s">
        <v>16</v>
      </c>
      <c r="C1864" s="5" t="s">
        <v>1823</v>
      </c>
      <c r="D1864" s="5">
        <v>46.1</v>
      </c>
      <c r="E1864" s="5">
        <v>46.35</v>
      </c>
      <c r="F1864" s="5">
        <v>46.8</v>
      </c>
      <c r="G1864" s="5">
        <v>44.5</v>
      </c>
      <c r="H1864" s="5">
        <v>44.75</v>
      </c>
      <c r="I1864" s="5">
        <v>44.75</v>
      </c>
      <c r="J1864" s="5">
        <v>44.93</v>
      </c>
      <c r="K1864" s="5">
        <v>326377</v>
      </c>
      <c r="L1864" s="5">
        <v>146.63</v>
      </c>
      <c r="M1864" s="5">
        <v>648</v>
      </c>
      <c r="N1864" s="5">
        <v>313751</v>
      </c>
      <c r="O1864" s="5">
        <v>96.13</v>
      </c>
      <c r="P1864" s="5">
        <f t="shared" si="145"/>
        <v>-1.3500000000000014</v>
      </c>
      <c r="Q1864" s="6">
        <f t="shared" si="146"/>
        <v>-2.9284164859002201E-2</v>
      </c>
      <c r="R1864" s="5">
        <f t="shared" si="147"/>
        <v>2.2999999999999972</v>
      </c>
      <c r="S1864" s="6">
        <f t="shared" si="148"/>
        <v>4.9891540130151783E-2</v>
      </c>
      <c r="T1864" s="6">
        <f t="shared" si="149"/>
        <v>-3.9473684210526256E-3</v>
      </c>
    </row>
    <row r="1865" spans="1:20" hidden="1" x14ac:dyDescent="0.25">
      <c r="A1865" s="4" t="s">
        <v>1759</v>
      </c>
      <c r="B1865" s="5" t="s">
        <v>16</v>
      </c>
      <c r="C1865" s="5" t="s">
        <v>1823</v>
      </c>
      <c r="D1865" s="5">
        <v>33.6</v>
      </c>
      <c r="E1865" s="5">
        <v>33.75</v>
      </c>
      <c r="F1865" s="5">
        <v>34.25</v>
      </c>
      <c r="G1865" s="5">
        <v>33.25</v>
      </c>
      <c r="H1865" s="5">
        <v>33.9</v>
      </c>
      <c r="I1865" s="5">
        <v>33.75</v>
      </c>
      <c r="J1865" s="5">
        <v>33.799999999999997</v>
      </c>
      <c r="K1865" s="5">
        <v>141446</v>
      </c>
      <c r="L1865" s="5">
        <v>47.8</v>
      </c>
      <c r="M1865" s="5">
        <v>274</v>
      </c>
      <c r="N1865" s="5">
        <v>30371</v>
      </c>
      <c r="O1865" s="5">
        <v>21.47</v>
      </c>
      <c r="P1865" s="5">
        <f t="shared" si="145"/>
        <v>0.14999999999999858</v>
      </c>
      <c r="Q1865" s="6">
        <f t="shared" si="146"/>
        <v>4.4642857142856715E-3</v>
      </c>
      <c r="R1865" s="5">
        <f t="shared" si="147"/>
        <v>1</v>
      </c>
      <c r="S1865" s="6">
        <f t="shared" si="148"/>
        <v>2.976190476190476E-2</v>
      </c>
      <c r="T1865" s="6">
        <f t="shared" si="149"/>
        <v>-1.4814814814813973E-3</v>
      </c>
    </row>
    <row r="1866" spans="1:20" x14ac:dyDescent="0.25">
      <c r="A1866" s="4" t="s">
        <v>1459</v>
      </c>
      <c r="B1866" s="5" t="s">
        <v>16</v>
      </c>
      <c r="C1866" s="5" t="s">
        <v>1823</v>
      </c>
      <c r="D1866" s="5">
        <v>319.2</v>
      </c>
      <c r="E1866" s="5">
        <v>324</v>
      </c>
      <c r="F1866" s="5">
        <v>324</v>
      </c>
      <c r="G1866" s="5">
        <v>307.25</v>
      </c>
      <c r="H1866" s="5">
        <v>314</v>
      </c>
      <c r="I1866" s="5">
        <v>313.89999999999998</v>
      </c>
      <c r="J1866" s="5">
        <v>311.13</v>
      </c>
      <c r="K1866" s="5">
        <v>107800</v>
      </c>
      <c r="L1866" s="5">
        <v>335.4</v>
      </c>
      <c r="M1866" s="5">
        <v>618</v>
      </c>
      <c r="N1866" s="5">
        <v>103713</v>
      </c>
      <c r="O1866" s="5">
        <v>96.21</v>
      </c>
      <c r="P1866" s="5">
        <f t="shared" si="145"/>
        <v>-5.3000000000000114</v>
      </c>
      <c r="Q1866" s="6">
        <f t="shared" si="146"/>
        <v>-1.6604010025062694E-2</v>
      </c>
      <c r="R1866" s="5">
        <f t="shared" si="147"/>
        <v>16.75</v>
      </c>
      <c r="S1866" s="6">
        <f t="shared" si="148"/>
        <v>5.2474937343358397E-2</v>
      </c>
      <c r="T1866" s="6">
        <f t="shared" si="149"/>
        <v>8.7302525312216266E-3</v>
      </c>
    </row>
    <row r="1867" spans="1:20" hidden="1" x14ac:dyDescent="0.25">
      <c r="A1867" s="4" t="s">
        <v>1761</v>
      </c>
      <c r="B1867" s="5" t="s">
        <v>16</v>
      </c>
      <c r="C1867" s="5" t="s">
        <v>1823</v>
      </c>
      <c r="D1867" s="5">
        <v>5</v>
      </c>
      <c r="E1867" s="5">
        <v>4.8</v>
      </c>
      <c r="F1867" s="5">
        <v>5</v>
      </c>
      <c r="G1867" s="5">
        <v>4.8</v>
      </c>
      <c r="H1867" s="5">
        <v>4.95</v>
      </c>
      <c r="I1867" s="5">
        <v>4.95</v>
      </c>
      <c r="J1867" s="5">
        <v>4.95</v>
      </c>
      <c r="K1867" s="5">
        <v>11112</v>
      </c>
      <c r="L1867" s="5">
        <v>0.55000000000000004</v>
      </c>
      <c r="M1867" s="5">
        <v>33</v>
      </c>
      <c r="N1867" s="5">
        <v>10682</v>
      </c>
      <c r="O1867" s="5">
        <v>96.13</v>
      </c>
      <c r="P1867" s="5">
        <f t="shared" si="145"/>
        <v>-4.9999999999999822E-2</v>
      </c>
      <c r="Q1867" s="6">
        <f t="shared" si="146"/>
        <v>-9.9999999999999638E-3</v>
      </c>
      <c r="R1867" s="5">
        <f t="shared" si="147"/>
        <v>0.20000000000000018</v>
      </c>
      <c r="S1867" s="6">
        <f t="shared" si="148"/>
        <v>4.0000000000000036E-2</v>
      </c>
      <c r="T1867" s="6">
        <f t="shared" si="149"/>
        <v>0</v>
      </c>
    </row>
    <row r="1868" spans="1:20" hidden="1" x14ac:dyDescent="0.25">
      <c r="A1868" s="4" t="s">
        <v>1762</v>
      </c>
      <c r="B1868" s="5" t="s">
        <v>39</v>
      </c>
      <c r="C1868" s="5" t="s">
        <v>1823</v>
      </c>
      <c r="D1868" s="5">
        <v>0.1</v>
      </c>
      <c r="E1868" s="5">
        <v>0.05</v>
      </c>
      <c r="F1868" s="5">
        <v>0.1</v>
      </c>
      <c r="G1868" s="5">
        <v>0.05</v>
      </c>
      <c r="H1868" s="5">
        <v>0.1</v>
      </c>
      <c r="I1868" s="5">
        <v>0.1</v>
      </c>
      <c r="J1868" s="5">
        <v>0.08</v>
      </c>
      <c r="K1868" s="5">
        <v>717501</v>
      </c>
      <c r="L1868" s="5">
        <v>0.55000000000000004</v>
      </c>
      <c r="M1868" s="5">
        <v>102</v>
      </c>
      <c r="N1868" s="5" t="s">
        <v>25</v>
      </c>
      <c r="O1868" s="5" t="s">
        <v>25</v>
      </c>
      <c r="P1868" s="5">
        <f t="shared" ref="P1868:P1924" si="150">I1868-D1868</f>
        <v>0</v>
      </c>
      <c r="Q1868" s="6">
        <f t="shared" ref="Q1868:Q1924" si="151">P1868/D1868</f>
        <v>0</v>
      </c>
      <c r="R1868" s="5">
        <f t="shared" ref="R1868:R1924" si="152">ABS(F1868-G1868)</f>
        <v>0.05</v>
      </c>
      <c r="S1868" s="6">
        <f t="shared" ref="S1868:S1924" si="153">R1868/D1868</f>
        <v>0.5</v>
      </c>
      <c r="T1868" s="6">
        <f t="shared" ref="T1868:T1924" si="154">(I1868-J1868)/AVERAGE(E1868:G1868,I1868)</f>
        <v>0.26666666666666666</v>
      </c>
    </row>
    <row r="1869" spans="1:20" hidden="1" x14ac:dyDescent="0.25">
      <c r="A1869" s="4" t="s">
        <v>1763</v>
      </c>
      <c r="B1869" s="5" t="s">
        <v>16</v>
      </c>
      <c r="C1869" s="5" t="s">
        <v>1823</v>
      </c>
      <c r="D1869" s="5">
        <v>124.7</v>
      </c>
      <c r="E1869" s="5">
        <v>127.3</v>
      </c>
      <c r="F1869" s="5">
        <v>127.35</v>
      </c>
      <c r="G1869" s="5">
        <v>121.4</v>
      </c>
      <c r="H1869" s="5">
        <v>124.85</v>
      </c>
      <c r="I1869" s="5">
        <v>124.35</v>
      </c>
      <c r="J1869" s="5">
        <v>123.33</v>
      </c>
      <c r="K1869" s="5">
        <v>3018</v>
      </c>
      <c r="L1869" s="5">
        <v>3.72</v>
      </c>
      <c r="M1869" s="5">
        <v>171</v>
      </c>
      <c r="N1869" s="5">
        <v>1966</v>
      </c>
      <c r="O1869" s="5">
        <v>65.14</v>
      </c>
      <c r="P1869" s="5">
        <f t="shared" si="150"/>
        <v>-0.35000000000000853</v>
      </c>
      <c r="Q1869" s="6">
        <f t="shared" si="151"/>
        <v>-2.8067361668003893E-3</v>
      </c>
      <c r="R1869" s="5">
        <f t="shared" si="152"/>
        <v>5.9499999999999886</v>
      </c>
      <c r="S1869" s="6">
        <f t="shared" si="153"/>
        <v>4.7714514835605362E-2</v>
      </c>
      <c r="T1869" s="6">
        <f t="shared" si="154"/>
        <v>8.1534772182253884E-3</v>
      </c>
    </row>
    <row r="1870" spans="1:20" hidden="1" x14ac:dyDescent="0.25">
      <c r="A1870" s="4" t="s">
        <v>1764</v>
      </c>
      <c r="B1870" s="5" t="s">
        <v>16</v>
      </c>
      <c r="C1870" s="5" t="s">
        <v>1823</v>
      </c>
      <c r="D1870" s="5">
        <v>0.2</v>
      </c>
      <c r="E1870" s="5">
        <v>0.25</v>
      </c>
      <c r="F1870" s="5">
        <v>0.25</v>
      </c>
      <c r="G1870" s="5">
        <v>0.2</v>
      </c>
      <c r="H1870" s="5">
        <v>0.25</v>
      </c>
      <c r="I1870" s="5">
        <v>0.2</v>
      </c>
      <c r="J1870" s="5">
        <v>0.22</v>
      </c>
      <c r="K1870" s="5">
        <v>67926</v>
      </c>
      <c r="L1870" s="5">
        <v>0.15</v>
      </c>
      <c r="M1870" s="5">
        <v>43</v>
      </c>
      <c r="N1870" s="5">
        <v>62321</v>
      </c>
      <c r="O1870" s="5">
        <v>91.75</v>
      </c>
      <c r="P1870" s="5">
        <f t="shared" si="150"/>
        <v>0</v>
      </c>
      <c r="Q1870" s="6">
        <f t="shared" si="151"/>
        <v>0</v>
      </c>
      <c r="R1870" s="5">
        <f t="shared" si="152"/>
        <v>4.9999999999999989E-2</v>
      </c>
      <c r="S1870" s="6">
        <f t="shared" si="153"/>
        <v>0.24999999999999994</v>
      </c>
      <c r="T1870" s="6">
        <f t="shared" si="154"/>
        <v>-8.8888888888888851E-2</v>
      </c>
    </row>
    <row r="1871" spans="1:20" hidden="1" x14ac:dyDescent="0.25">
      <c r="A1871" s="4" t="s">
        <v>1765</v>
      </c>
      <c r="B1871" s="5" t="s">
        <v>16</v>
      </c>
      <c r="C1871" s="5" t="s">
        <v>1823</v>
      </c>
      <c r="D1871" s="5">
        <v>17.45</v>
      </c>
      <c r="E1871" s="5">
        <v>17.600000000000001</v>
      </c>
      <c r="F1871" s="5">
        <v>17.600000000000001</v>
      </c>
      <c r="G1871" s="5">
        <v>16.100000000000001</v>
      </c>
      <c r="H1871" s="5">
        <v>16.45</v>
      </c>
      <c r="I1871" s="5">
        <v>16.600000000000001</v>
      </c>
      <c r="J1871" s="5">
        <v>16.8</v>
      </c>
      <c r="K1871" s="5">
        <v>59372</v>
      </c>
      <c r="L1871" s="5">
        <v>9.98</v>
      </c>
      <c r="M1871" s="5">
        <v>354</v>
      </c>
      <c r="N1871" s="5">
        <v>41035</v>
      </c>
      <c r="O1871" s="5">
        <v>69.12</v>
      </c>
      <c r="P1871" s="5">
        <f t="shared" si="150"/>
        <v>-0.84999999999999787</v>
      </c>
      <c r="Q1871" s="6">
        <f t="shared" si="151"/>
        <v>-4.871060171919759E-2</v>
      </c>
      <c r="R1871" s="5">
        <f t="shared" si="152"/>
        <v>1.5</v>
      </c>
      <c r="S1871" s="6">
        <f t="shared" si="153"/>
        <v>8.5959885386819493E-2</v>
      </c>
      <c r="T1871" s="6">
        <f t="shared" si="154"/>
        <v>-1.1782032400589058E-2</v>
      </c>
    </row>
    <row r="1872" spans="1:20" hidden="1" x14ac:dyDescent="0.25">
      <c r="A1872" s="4" t="s">
        <v>1766</v>
      </c>
      <c r="B1872" s="5" t="s">
        <v>16</v>
      </c>
      <c r="C1872" s="5" t="s">
        <v>1823</v>
      </c>
      <c r="D1872" s="5">
        <v>56.45</v>
      </c>
      <c r="E1872" s="5">
        <v>57.05</v>
      </c>
      <c r="F1872" s="5">
        <v>59</v>
      </c>
      <c r="G1872" s="5">
        <v>56.2</v>
      </c>
      <c r="H1872" s="5">
        <v>58.65</v>
      </c>
      <c r="I1872" s="5">
        <v>58</v>
      </c>
      <c r="J1872" s="5">
        <v>57.99</v>
      </c>
      <c r="K1872" s="5">
        <v>58119</v>
      </c>
      <c r="L1872" s="5">
        <v>33.71</v>
      </c>
      <c r="M1872" s="5">
        <v>687</v>
      </c>
      <c r="N1872" s="5">
        <v>28851</v>
      </c>
      <c r="O1872" s="5">
        <v>49.64</v>
      </c>
      <c r="P1872" s="5">
        <f t="shared" si="150"/>
        <v>1.5499999999999972</v>
      </c>
      <c r="Q1872" s="6">
        <f t="shared" si="151"/>
        <v>2.7457927369353357E-2</v>
      </c>
      <c r="R1872" s="5">
        <f t="shared" si="152"/>
        <v>2.7999999999999972</v>
      </c>
      <c r="S1872" s="6">
        <f t="shared" si="153"/>
        <v>4.960141718334804E-2</v>
      </c>
      <c r="T1872" s="6">
        <f t="shared" si="154"/>
        <v>1.7372421281212612E-4</v>
      </c>
    </row>
    <row r="1873" spans="1:20" hidden="1" x14ac:dyDescent="0.25">
      <c r="A1873" s="4" t="s">
        <v>1767</v>
      </c>
      <c r="B1873" s="5" t="s">
        <v>16</v>
      </c>
      <c r="C1873" s="5" t="s">
        <v>1823</v>
      </c>
      <c r="D1873" s="5">
        <v>2178.3000000000002</v>
      </c>
      <c r="E1873" s="5">
        <v>2125.1999999999998</v>
      </c>
      <c r="F1873" s="5">
        <v>2185</v>
      </c>
      <c r="G1873" s="5">
        <v>2100</v>
      </c>
      <c r="H1873" s="5">
        <v>2127.35</v>
      </c>
      <c r="I1873" s="5">
        <v>2149.25</v>
      </c>
      <c r="J1873" s="5">
        <v>2110.66</v>
      </c>
      <c r="K1873" s="5">
        <v>49888</v>
      </c>
      <c r="L1873" s="5">
        <v>1052.96</v>
      </c>
      <c r="M1873" s="5">
        <v>2335</v>
      </c>
      <c r="N1873" s="5">
        <v>46054</v>
      </c>
      <c r="O1873" s="5">
        <v>92.31</v>
      </c>
      <c r="P1873" s="5">
        <f t="shared" si="150"/>
        <v>-29.050000000000182</v>
      </c>
      <c r="Q1873" s="6">
        <f t="shared" si="151"/>
        <v>-1.3336087774870393E-2</v>
      </c>
      <c r="R1873" s="5">
        <f t="shared" si="152"/>
        <v>85</v>
      </c>
      <c r="S1873" s="6">
        <f t="shared" si="153"/>
        <v>3.9021255107193682E-2</v>
      </c>
      <c r="T1873" s="6">
        <f t="shared" si="154"/>
        <v>1.8033868998592266E-2</v>
      </c>
    </row>
    <row r="1874" spans="1:20" hidden="1" x14ac:dyDescent="0.25">
      <c r="A1874" s="4" t="s">
        <v>1768</v>
      </c>
      <c r="B1874" s="5" t="s">
        <v>16</v>
      </c>
      <c r="C1874" s="5" t="s">
        <v>1823</v>
      </c>
      <c r="D1874" s="5">
        <v>1211.0999999999999</v>
      </c>
      <c r="E1874" s="5">
        <v>1246.75</v>
      </c>
      <c r="F1874" s="5">
        <v>1249</v>
      </c>
      <c r="G1874" s="5">
        <v>1188.05</v>
      </c>
      <c r="H1874" s="5">
        <v>1215</v>
      </c>
      <c r="I1874" s="5">
        <v>1206.5999999999999</v>
      </c>
      <c r="J1874" s="5">
        <v>1213.95</v>
      </c>
      <c r="K1874" s="5">
        <v>21117</v>
      </c>
      <c r="L1874" s="5">
        <v>256.35000000000002</v>
      </c>
      <c r="M1874" s="5">
        <v>3231</v>
      </c>
      <c r="N1874" s="5">
        <v>9366</v>
      </c>
      <c r="O1874" s="5">
        <v>44.35</v>
      </c>
      <c r="P1874" s="5">
        <f t="shared" si="150"/>
        <v>-4.5</v>
      </c>
      <c r="Q1874" s="6">
        <f t="shared" si="151"/>
        <v>-3.7156304186276943E-3</v>
      </c>
      <c r="R1874" s="5">
        <f t="shared" si="152"/>
        <v>60.950000000000045</v>
      </c>
      <c r="S1874" s="6">
        <f t="shared" si="153"/>
        <v>5.0326149781190696E-2</v>
      </c>
      <c r="T1874" s="6">
        <f t="shared" si="154"/>
        <v>-6.0117781776542921E-3</v>
      </c>
    </row>
    <row r="1875" spans="1:20" hidden="1" x14ac:dyDescent="0.25">
      <c r="A1875" s="4" t="s">
        <v>1769</v>
      </c>
      <c r="B1875" s="5" t="s">
        <v>16</v>
      </c>
      <c r="C1875" s="5" t="s">
        <v>1823</v>
      </c>
      <c r="D1875" s="5">
        <v>665.55</v>
      </c>
      <c r="E1875" s="5">
        <v>663</v>
      </c>
      <c r="F1875" s="5">
        <v>679</v>
      </c>
      <c r="G1875" s="5">
        <v>661</v>
      </c>
      <c r="H1875" s="5">
        <v>667.45</v>
      </c>
      <c r="I1875" s="5">
        <v>668.75</v>
      </c>
      <c r="J1875" s="5">
        <v>670.94</v>
      </c>
      <c r="K1875" s="5">
        <v>1509527</v>
      </c>
      <c r="L1875" s="5">
        <v>10127.969999999999</v>
      </c>
      <c r="M1875" s="5">
        <v>30856</v>
      </c>
      <c r="N1875" s="5">
        <v>504694</v>
      </c>
      <c r="O1875" s="5">
        <v>33.43</v>
      </c>
      <c r="P1875" s="5">
        <f t="shared" si="150"/>
        <v>3.2000000000000455</v>
      </c>
      <c r="Q1875" s="6">
        <f t="shared" si="151"/>
        <v>4.8080534895951401E-3</v>
      </c>
      <c r="R1875" s="5">
        <f t="shared" si="152"/>
        <v>18</v>
      </c>
      <c r="S1875" s="6">
        <f t="shared" si="153"/>
        <v>2.7045300878972282E-2</v>
      </c>
      <c r="T1875" s="6">
        <f t="shared" si="154"/>
        <v>-3.2787498830355454E-3</v>
      </c>
    </row>
    <row r="1876" spans="1:20" x14ac:dyDescent="0.25">
      <c r="A1876" s="4" t="s">
        <v>998</v>
      </c>
      <c r="B1876" s="5" t="s">
        <v>16</v>
      </c>
      <c r="C1876" s="5" t="s">
        <v>1823</v>
      </c>
      <c r="D1876" s="5">
        <v>414.05</v>
      </c>
      <c r="E1876" s="5">
        <v>409.15</v>
      </c>
      <c r="F1876" s="5">
        <v>415.05</v>
      </c>
      <c r="G1876" s="5">
        <v>394.25</v>
      </c>
      <c r="H1876" s="5">
        <v>394.25</v>
      </c>
      <c r="I1876" s="5">
        <v>397.05</v>
      </c>
      <c r="J1876" s="5">
        <v>398.29</v>
      </c>
      <c r="K1876" s="5">
        <v>112166</v>
      </c>
      <c r="L1876" s="5">
        <v>446.74</v>
      </c>
      <c r="M1876" s="5">
        <v>1060</v>
      </c>
      <c r="N1876" s="5">
        <v>108235</v>
      </c>
      <c r="O1876" s="5">
        <v>96.5</v>
      </c>
      <c r="P1876" s="5">
        <f t="shared" si="150"/>
        <v>-17</v>
      </c>
      <c r="Q1876" s="6">
        <f t="shared" si="151"/>
        <v>-4.1057843255645453E-2</v>
      </c>
      <c r="R1876" s="5">
        <f t="shared" si="152"/>
        <v>20.800000000000011</v>
      </c>
      <c r="S1876" s="6">
        <f t="shared" si="153"/>
        <v>5.0235478806907402E-2</v>
      </c>
      <c r="T1876" s="6">
        <f t="shared" si="154"/>
        <v>-3.0702568864128979E-3</v>
      </c>
    </row>
    <row r="1877" spans="1:20" hidden="1" x14ac:dyDescent="0.25">
      <c r="A1877" s="4" t="s">
        <v>1871</v>
      </c>
      <c r="B1877" s="5" t="s">
        <v>28</v>
      </c>
      <c r="C1877" s="5" t="s">
        <v>1823</v>
      </c>
      <c r="D1877" s="5">
        <v>18.100000000000001</v>
      </c>
      <c r="E1877" s="5">
        <v>17.3</v>
      </c>
      <c r="F1877" s="5">
        <v>17.3</v>
      </c>
      <c r="G1877" s="5">
        <v>17.3</v>
      </c>
      <c r="H1877" s="5">
        <v>17.3</v>
      </c>
      <c r="I1877" s="5">
        <v>17.3</v>
      </c>
      <c r="J1877" s="5">
        <v>17.3</v>
      </c>
      <c r="K1877" s="5">
        <v>3000</v>
      </c>
      <c r="L1877" s="5">
        <v>0.52</v>
      </c>
      <c r="M1877" s="5">
        <v>1</v>
      </c>
      <c r="N1877" s="5">
        <v>3000</v>
      </c>
      <c r="O1877" s="5">
        <v>100</v>
      </c>
      <c r="P1877" s="5">
        <f t="shared" si="150"/>
        <v>-0.80000000000000071</v>
      </c>
      <c r="Q1877" s="6">
        <f t="shared" si="151"/>
        <v>-4.4198895027624342E-2</v>
      </c>
      <c r="R1877" s="5">
        <f t="shared" si="152"/>
        <v>0</v>
      </c>
      <c r="S1877" s="6">
        <f t="shared" si="153"/>
        <v>0</v>
      </c>
      <c r="T1877" s="6">
        <f t="shared" si="154"/>
        <v>0</v>
      </c>
    </row>
    <row r="1878" spans="1:20" hidden="1" x14ac:dyDescent="0.25">
      <c r="A1878" s="4" t="s">
        <v>1771</v>
      </c>
      <c r="B1878" s="5" t="s">
        <v>16</v>
      </c>
      <c r="C1878" s="5" t="s">
        <v>1823</v>
      </c>
      <c r="D1878" s="5">
        <v>76.599999999999994</v>
      </c>
      <c r="E1878" s="5">
        <v>76.05</v>
      </c>
      <c r="F1878" s="5">
        <v>77.45</v>
      </c>
      <c r="G1878" s="5">
        <v>76</v>
      </c>
      <c r="H1878" s="5">
        <v>77</v>
      </c>
      <c r="I1878" s="5">
        <v>76.849999999999994</v>
      </c>
      <c r="J1878" s="5">
        <v>76.260000000000005</v>
      </c>
      <c r="K1878" s="5">
        <v>880</v>
      </c>
      <c r="L1878" s="5">
        <v>0.67</v>
      </c>
      <c r="M1878" s="5">
        <v>27</v>
      </c>
      <c r="N1878" s="5">
        <v>866</v>
      </c>
      <c r="O1878" s="5">
        <v>98.41</v>
      </c>
      <c r="P1878" s="5">
        <f t="shared" si="150"/>
        <v>0.25</v>
      </c>
      <c r="Q1878" s="6">
        <f t="shared" si="151"/>
        <v>3.2637075718015668E-3</v>
      </c>
      <c r="R1878" s="5">
        <f t="shared" si="152"/>
        <v>1.4500000000000028</v>
      </c>
      <c r="S1878" s="6">
        <f t="shared" si="153"/>
        <v>1.8929503916449125E-2</v>
      </c>
      <c r="T1878" s="6">
        <f t="shared" si="154"/>
        <v>7.7036069854739897E-3</v>
      </c>
    </row>
    <row r="1879" spans="1:20" hidden="1" x14ac:dyDescent="0.25">
      <c r="A1879" s="4" t="s">
        <v>1772</v>
      </c>
      <c r="B1879" s="5" t="s">
        <v>16</v>
      </c>
      <c r="C1879" s="5" t="s">
        <v>1823</v>
      </c>
      <c r="D1879" s="5">
        <v>3688.9</v>
      </c>
      <c r="E1879" s="5">
        <v>3739</v>
      </c>
      <c r="F1879" s="5">
        <v>3751</v>
      </c>
      <c r="G1879" s="5">
        <v>3688.85</v>
      </c>
      <c r="H1879" s="5">
        <v>3750</v>
      </c>
      <c r="I1879" s="5">
        <v>3740.1</v>
      </c>
      <c r="J1879" s="5">
        <v>3732.77</v>
      </c>
      <c r="K1879" s="5">
        <v>3916</v>
      </c>
      <c r="L1879" s="5">
        <v>146.18</v>
      </c>
      <c r="M1879" s="5">
        <v>1014</v>
      </c>
      <c r="N1879" s="5">
        <v>3607</v>
      </c>
      <c r="O1879" s="5">
        <v>92.11</v>
      </c>
      <c r="P1879" s="5">
        <f t="shared" si="150"/>
        <v>51.199999999999818</v>
      </c>
      <c r="Q1879" s="6">
        <f t="shared" si="151"/>
        <v>1.3879476266637701E-2</v>
      </c>
      <c r="R1879" s="5">
        <f t="shared" si="152"/>
        <v>62.150000000000091</v>
      </c>
      <c r="S1879" s="6">
        <f t="shared" si="153"/>
        <v>1.6847840819756592E-2</v>
      </c>
      <c r="T1879" s="6">
        <f t="shared" si="154"/>
        <v>1.9652857607271091E-3</v>
      </c>
    </row>
    <row r="1880" spans="1:20" hidden="1" x14ac:dyDescent="0.25">
      <c r="A1880" s="4" t="s">
        <v>1773</v>
      </c>
      <c r="B1880" s="5" t="s">
        <v>16</v>
      </c>
      <c r="C1880" s="5" t="s">
        <v>1823</v>
      </c>
      <c r="D1880" s="5">
        <v>1177.8499999999999</v>
      </c>
      <c r="E1880" s="5">
        <v>1198.8</v>
      </c>
      <c r="F1880" s="5">
        <v>1198.8499999999999</v>
      </c>
      <c r="G1880" s="5">
        <v>1154.25</v>
      </c>
      <c r="H1880" s="5">
        <v>1175</v>
      </c>
      <c r="I1880" s="5">
        <v>1173.75</v>
      </c>
      <c r="J1880" s="5">
        <v>1169.0899999999999</v>
      </c>
      <c r="K1880" s="5">
        <v>8148</v>
      </c>
      <c r="L1880" s="5">
        <v>95.26</v>
      </c>
      <c r="M1880" s="5">
        <v>602</v>
      </c>
      <c r="N1880" s="5">
        <v>5602</v>
      </c>
      <c r="O1880" s="5">
        <v>68.75</v>
      </c>
      <c r="P1880" s="5">
        <f t="shared" si="150"/>
        <v>-4.0999999999999091</v>
      </c>
      <c r="Q1880" s="6">
        <f t="shared" si="151"/>
        <v>-3.4809186229145558E-3</v>
      </c>
      <c r="R1880" s="5">
        <f t="shared" si="152"/>
        <v>44.599999999999909</v>
      </c>
      <c r="S1880" s="6">
        <f t="shared" si="153"/>
        <v>3.7865602580973733E-2</v>
      </c>
      <c r="T1880" s="6">
        <f t="shared" si="154"/>
        <v>3.9444309248463866E-3</v>
      </c>
    </row>
    <row r="1881" spans="1:20" hidden="1" x14ac:dyDescent="0.25">
      <c r="A1881" s="4" t="s">
        <v>1774</v>
      </c>
      <c r="B1881" s="5" t="s">
        <v>16</v>
      </c>
      <c r="C1881" s="5" t="s">
        <v>1823</v>
      </c>
      <c r="D1881" s="5">
        <v>954.15</v>
      </c>
      <c r="E1881" s="5">
        <v>946.4</v>
      </c>
      <c r="F1881" s="5">
        <v>967.45</v>
      </c>
      <c r="G1881" s="5">
        <v>942.3</v>
      </c>
      <c r="H1881" s="5">
        <v>958.5</v>
      </c>
      <c r="I1881" s="5">
        <v>958.1</v>
      </c>
      <c r="J1881" s="5">
        <v>955.9</v>
      </c>
      <c r="K1881" s="5">
        <v>14193</v>
      </c>
      <c r="L1881" s="5">
        <v>135.66999999999999</v>
      </c>
      <c r="M1881" s="5">
        <v>2393</v>
      </c>
      <c r="N1881" s="5">
        <v>11398</v>
      </c>
      <c r="O1881" s="5">
        <v>80.31</v>
      </c>
      <c r="P1881" s="5">
        <f t="shared" si="150"/>
        <v>3.9500000000000455</v>
      </c>
      <c r="Q1881" s="6">
        <f t="shared" si="151"/>
        <v>4.1398103023634076E-3</v>
      </c>
      <c r="R1881" s="5">
        <f t="shared" si="152"/>
        <v>25.150000000000091</v>
      </c>
      <c r="S1881" s="6">
        <f t="shared" si="153"/>
        <v>2.6358539013781997E-2</v>
      </c>
      <c r="T1881" s="6">
        <f t="shared" si="154"/>
        <v>2.3071377072819512E-3</v>
      </c>
    </row>
    <row r="1882" spans="1:20" hidden="1" x14ac:dyDescent="0.25">
      <c r="A1882" s="4" t="s">
        <v>1775</v>
      </c>
      <c r="B1882" s="5" t="s">
        <v>16</v>
      </c>
      <c r="C1882" s="5" t="s">
        <v>1823</v>
      </c>
      <c r="D1882" s="5">
        <v>280.60000000000002</v>
      </c>
      <c r="E1882" s="5">
        <v>283.95</v>
      </c>
      <c r="F1882" s="5">
        <v>283.95</v>
      </c>
      <c r="G1882" s="5">
        <v>277</v>
      </c>
      <c r="H1882" s="5">
        <v>277</v>
      </c>
      <c r="I1882" s="5">
        <v>278.05</v>
      </c>
      <c r="J1882" s="5">
        <v>278.97000000000003</v>
      </c>
      <c r="K1882" s="5">
        <v>33489</v>
      </c>
      <c r="L1882" s="5">
        <v>93.43</v>
      </c>
      <c r="M1882" s="5">
        <v>1994</v>
      </c>
      <c r="N1882" s="5">
        <v>14561</v>
      </c>
      <c r="O1882" s="5">
        <v>43.48</v>
      </c>
      <c r="P1882" s="5">
        <f t="shared" si="150"/>
        <v>-2.5500000000000114</v>
      </c>
      <c r="Q1882" s="6">
        <f t="shared" si="151"/>
        <v>-9.0876692801140808E-3</v>
      </c>
      <c r="R1882" s="5">
        <f t="shared" si="152"/>
        <v>6.9499999999999886</v>
      </c>
      <c r="S1882" s="6">
        <f t="shared" si="153"/>
        <v>2.4768353528153913E-2</v>
      </c>
      <c r="T1882" s="6">
        <f t="shared" si="154"/>
        <v>-3.2770826840020158E-3</v>
      </c>
    </row>
    <row r="1883" spans="1:20" hidden="1" x14ac:dyDescent="0.25">
      <c r="A1883" s="4" t="s">
        <v>1776</v>
      </c>
      <c r="B1883" s="5" t="s">
        <v>16</v>
      </c>
      <c r="C1883" s="5" t="s">
        <v>1823</v>
      </c>
      <c r="D1883" s="5">
        <v>6184.85</v>
      </c>
      <c r="E1883" s="5">
        <v>6206</v>
      </c>
      <c r="F1883" s="5">
        <v>6332</v>
      </c>
      <c r="G1883" s="5">
        <v>6146.05</v>
      </c>
      <c r="H1883" s="5">
        <v>6263</v>
      </c>
      <c r="I1883" s="5">
        <v>6290.6</v>
      </c>
      <c r="J1883" s="5">
        <v>6252.71</v>
      </c>
      <c r="K1883" s="5">
        <v>6677</v>
      </c>
      <c r="L1883" s="5">
        <v>417.49</v>
      </c>
      <c r="M1883" s="5">
        <v>1329</v>
      </c>
      <c r="N1883" s="5">
        <v>3943</v>
      </c>
      <c r="O1883" s="5">
        <v>59.05</v>
      </c>
      <c r="P1883" s="5">
        <f t="shared" si="150"/>
        <v>105.75</v>
      </c>
      <c r="Q1883" s="6">
        <f t="shared" si="151"/>
        <v>1.709823197005586E-2</v>
      </c>
      <c r="R1883" s="5">
        <f t="shared" si="152"/>
        <v>185.94999999999982</v>
      </c>
      <c r="S1883" s="6">
        <f t="shared" si="153"/>
        <v>3.0065401747819236E-2</v>
      </c>
      <c r="T1883" s="6">
        <f t="shared" si="154"/>
        <v>6.0685535132625002E-3</v>
      </c>
    </row>
    <row r="1884" spans="1:20" hidden="1" x14ac:dyDescent="0.25">
      <c r="A1884" s="4" t="s">
        <v>1777</v>
      </c>
      <c r="B1884" s="5" t="s">
        <v>16</v>
      </c>
      <c r="C1884" s="5" t="s">
        <v>1823</v>
      </c>
      <c r="D1884" s="5">
        <v>69.2</v>
      </c>
      <c r="E1884" s="5">
        <v>68.8</v>
      </c>
      <c r="F1884" s="5">
        <v>69.05</v>
      </c>
      <c r="G1884" s="5">
        <v>66.099999999999994</v>
      </c>
      <c r="H1884" s="5">
        <v>66.3</v>
      </c>
      <c r="I1884" s="5">
        <v>66.650000000000006</v>
      </c>
      <c r="J1884" s="5">
        <v>67.56</v>
      </c>
      <c r="K1884" s="5">
        <v>99553</v>
      </c>
      <c r="L1884" s="5">
        <v>67.25</v>
      </c>
      <c r="M1884" s="5">
        <v>1471</v>
      </c>
      <c r="N1884" s="5">
        <v>55655</v>
      </c>
      <c r="O1884" s="5">
        <v>55.9</v>
      </c>
      <c r="P1884" s="5">
        <f t="shared" si="150"/>
        <v>-2.5499999999999972</v>
      </c>
      <c r="Q1884" s="6">
        <f t="shared" si="151"/>
        <v>-3.684971098265892E-2</v>
      </c>
      <c r="R1884" s="5">
        <f t="shared" si="152"/>
        <v>2.9500000000000028</v>
      </c>
      <c r="S1884" s="6">
        <f t="shared" si="153"/>
        <v>4.2630057803468249E-2</v>
      </c>
      <c r="T1884" s="6">
        <f t="shared" si="154"/>
        <v>-1.3451589061345108E-2</v>
      </c>
    </row>
    <row r="1885" spans="1:20" hidden="1" x14ac:dyDescent="0.25">
      <c r="A1885" s="4" t="s">
        <v>1778</v>
      </c>
      <c r="B1885" s="5" t="s">
        <v>39</v>
      </c>
      <c r="C1885" s="5" t="s">
        <v>1823</v>
      </c>
      <c r="D1885" s="5">
        <v>12.3</v>
      </c>
      <c r="E1885" s="5">
        <v>12.3</v>
      </c>
      <c r="F1885" s="5">
        <v>12.8</v>
      </c>
      <c r="G1885" s="5">
        <v>11.7</v>
      </c>
      <c r="H1885" s="5">
        <v>11.75</v>
      </c>
      <c r="I1885" s="5">
        <v>11.7</v>
      </c>
      <c r="J1885" s="5">
        <v>11.76</v>
      </c>
      <c r="K1885" s="5">
        <v>1200</v>
      </c>
      <c r="L1885" s="5">
        <v>0.14000000000000001</v>
      </c>
      <c r="M1885" s="5">
        <v>13</v>
      </c>
      <c r="N1885" s="5" t="s">
        <v>25</v>
      </c>
      <c r="O1885" s="5" t="s">
        <v>25</v>
      </c>
      <c r="P1885" s="5">
        <f t="shared" si="150"/>
        <v>-0.60000000000000142</v>
      </c>
      <c r="Q1885" s="6">
        <f t="shared" si="151"/>
        <v>-4.8780487804878161E-2</v>
      </c>
      <c r="R1885" s="5">
        <f t="shared" si="152"/>
        <v>1.1000000000000014</v>
      </c>
      <c r="S1885" s="6">
        <f t="shared" si="153"/>
        <v>8.9430894308943201E-2</v>
      </c>
      <c r="T1885" s="6">
        <f t="shared" si="154"/>
        <v>-4.9484536082474639E-3</v>
      </c>
    </row>
    <row r="1886" spans="1:20" hidden="1" x14ac:dyDescent="0.25">
      <c r="A1886" s="4" t="s">
        <v>1779</v>
      </c>
      <c r="B1886" s="5" t="s">
        <v>16</v>
      </c>
      <c r="C1886" s="5" t="s">
        <v>1823</v>
      </c>
      <c r="D1886" s="5">
        <v>124.45</v>
      </c>
      <c r="E1886" s="5">
        <v>125.45</v>
      </c>
      <c r="F1886" s="5">
        <v>125.45</v>
      </c>
      <c r="G1886" s="5">
        <v>116.6</v>
      </c>
      <c r="H1886" s="5">
        <v>118</v>
      </c>
      <c r="I1886" s="5">
        <v>118.45</v>
      </c>
      <c r="J1886" s="5">
        <v>120.6</v>
      </c>
      <c r="K1886" s="5">
        <v>53561</v>
      </c>
      <c r="L1886" s="5">
        <v>64.59</v>
      </c>
      <c r="M1886" s="5">
        <v>1449</v>
      </c>
      <c r="N1886" s="5">
        <v>30107</v>
      </c>
      <c r="O1886" s="5">
        <v>56.21</v>
      </c>
      <c r="P1886" s="5">
        <f t="shared" si="150"/>
        <v>-6</v>
      </c>
      <c r="Q1886" s="6">
        <f t="shared" si="151"/>
        <v>-4.8212133386902369E-2</v>
      </c>
      <c r="R1886" s="5">
        <f t="shared" si="152"/>
        <v>8.8500000000000085</v>
      </c>
      <c r="S1886" s="6">
        <f t="shared" si="153"/>
        <v>7.1112896745681067E-2</v>
      </c>
      <c r="T1886" s="6">
        <f t="shared" si="154"/>
        <v>-1.7697293960283911E-2</v>
      </c>
    </row>
    <row r="1887" spans="1:20" hidden="1" x14ac:dyDescent="0.25">
      <c r="A1887" s="4" t="s">
        <v>1780</v>
      </c>
      <c r="B1887" s="5" t="s">
        <v>16</v>
      </c>
      <c r="C1887" s="5" t="s">
        <v>1823</v>
      </c>
      <c r="D1887" s="5">
        <v>20.2</v>
      </c>
      <c r="E1887" s="5">
        <v>20.100000000000001</v>
      </c>
      <c r="F1887" s="5">
        <v>20.350000000000001</v>
      </c>
      <c r="G1887" s="5">
        <v>19.399999999999999</v>
      </c>
      <c r="H1887" s="5">
        <v>19.899999999999999</v>
      </c>
      <c r="I1887" s="5">
        <v>19.7</v>
      </c>
      <c r="J1887" s="5">
        <v>19.79</v>
      </c>
      <c r="K1887" s="5">
        <v>19977</v>
      </c>
      <c r="L1887" s="5">
        <v>3.95</v>
      </c>
      <c r="M1887" s="5">
        <v>203</v>
      </c>
      <c r="N1887" s="5">
        <v>16578</v>
      </c>
      <c r="O1887" s="5">
        <v>82.99</v>
      </c>
      <c r="P1887" s="5">
        <f t="shared" si="150"/>
        <v>-0.5</v>
      </c>
      <c r="Q1887" s="6">
        <f t="shared" si="151"/>
        <v>-2.4752475247524754E-2</v>
      </c>
      <c r="R1887" s="5">
        <f t="shared" si="152"/>
        <v>0.95000000000000284</v>
      </c>
      <c r="S1887" s="6">
        <f t="shared" si="153"/>
        <v>4.7029702970297169E-2</v>
      </c>
      <c r="T1887" s="6">
        <f t="shared" si="154"/>
        <v>-4.5254556882463786E-3</v>
      </c>
    </row>
    <row r="1888" spans="1:20" hidden="1" x14ac:dyDescent="0.25">
      <c r="A1888" s="4" t="s">
        <v>1781</v>
      </c>
      <c r="B1888" s="5" t="s">
        <v>16</v>
      </c>
      <c r="C1888" s="5" t="s">
        <v>1823</v>
      </c>
      <c r="D1888" s="5">
        <v>303.14999999999998</v>
      </c>
      <c r="E1888" s="5">
        <v>300.05</v>
      </c>
      <c r="F1888" s="5">
        <v>313.14999999999998</v>
      </c>
      <c r="G1888" s="5">
        <v>300</v>
      </c>
      <c r="H1888" s="5">
        <v>300.25</v>
      </c>
      <c r="I1888" s="5">
        <v>301.14999999999998</v>
      </c>
      <c r="J1888" s="5">
        <v>301.62</v>
      </c>
      <c r="K1888" s="5">
        <v>187</v>
      </c>
      <c r="L1888" s="5">
        <v>0.56000000000000005</v>
      </c>
      <c r="M1888" s="5">
        <v>22</v>
      </c>
      <c r="N1888" s="5">
        <v>142</v>
      </c>
      <c r="O1888" s="5">
        <v>75.94</v>
      </c>
      <c r="P1888" s="5">
        <f t="shared" si="150"/>
        <v>-2</v>
      </c>
      <c r="Q1888" s="6">
        <f t="shared" si="151"/>
        <v>-6.5973940293584041E-3</v>
      </c>
      <c r="R1888" s="5">
        <f t="shared" si="152"/>
        <v>13.149999999999977</v>
      </c>
      <c r="S1888" s="6">
        <f t="shared" si="153"/>
        <v>4.337786574303143E-2</v>
      </c>
      <c r="T1888" s="6">
        <f t="shared" si="154"/>
        <v>-1.5481533330589281E-3</v>
      </c>
    </row>
    <row r="1889" spans="1:20" hidden="1" x14ac:dyDescent="0.25">
      <c r="A1889" s="4" t="s">
        <v>1782</v>
      </c>
      <c r="B1889" s="5" t="s">
        <v>16</v>
      </c>
      <c r="C1889" s="5" t="s">
        <v>1823</v>
      </c>
      <c r="D1889" s="5">
        <v>27.4</v>
      </c>
      <c r="E1889" s="5">
        <v>27.75</v>
      </c>
      <c r="F1889" s="5">
        <v>27.75</v>
      </c>
      <c r="G1889" s="5">
        <v>25.5</v>
      </c>
      <c r="H1889" s="5">
        <v>26</v>
      </c>
      <c r="I1889" s="5">
        <v>25.9</v>
      </c>
      <c r="J1889" s="5">
        <v>26.43</v>
      </c>
      <c r="K1889" s="5">
        <v>2307</v>
      </c>
      <c r="L1889" s="5">
        <v>0.61</v>
      </c>
      <c r="M1889" s="5">
        <v>31</v>
      </c>
      <c r="N1889" s="5">
        <v>1979</v>
      </c>
      <c r="O1889" s="5">
        <v>85.78</v>
      </c>
      <c r="P1889" s="5">
        <f t="shared" si="150"/>
        <v>-1.5</v>
      </c>
      <c r="Q1889" s="6">
        <f t="shared" si="151"/>
        <v>-5.4744525547445258E-2</v>
      </c>
      <c r="R1889" s="5">
        <f t="shared" si="152"/>
        <v>2.25</v>
      </c>
      <c r="S1889" s="6">
        <f t="shared" si="153"/>
        <v>8.2116788321167894E-2</v>
      </c>
      <c r="T1889" s="6">
        <f t="shared" si="154"/>
        <v>-1.9831618334892463E-2</v>
      </c>
    </row>
    <row r="1890" spans="1:20" x14ac:dyDescent="0.25">
      <c r="A1890" s="4" t="s">
        <v>594</v>
      </c>
      <c r="B1890" s="5" t="s">
        <v>16</v>
      </c>
      <c r="C1890" s="5" t="s">
        <v>1823</v>
      </c>
      <c r="D1890" s="5">
        <v>160.69999999999999</v>
      </c>
      <c r="E1890" s="5">
        <v>156.44999999999999</v>
      </c>
      <c r="F1890" s="5">
        <v>164</v>
      </c>
      <c r="G1890" s="5">
        <v>156.44999999999999</v>
      </c>
      <c r="H1890" s="5">
        <v>162.69999999999999</v>
      </c>
      <c r="I1890" s="5">
        <v>162.05000000000001</v>
      </c>
      <c r="J1890" s="5">
        <v>161.03</v>
      </c>
      <c r="K1890" s="5">
        <v>636027</v>
      </c>
      <c r="L1890" s="5">
        <v>1024.19</v>
      </c>
      <c r="M1890" s="5">
        <v>1457</v>
      </c>
      <c r="N1890" s="5">
        <v>616885</v>
      </c>
      <c r="O1890" s="5">
        <v>96.99</v>
      </c>
      <c r="P1890" s="5">
        <f t="shared" si="150"/>
        <v>1.3500000000000227</v>
      </c>
      <c r="Q1890" s="6">
        <f t="shared" si="151"/>
        <v>8.40074673304308E-3</v>
      </c>
      <c r="R1890" s="5">
        <f t="shared" si="152"/>
        <v>7.5500000000000114</v>
      </c>
      <c r="S1890" s="6">
        <f t="shared" si="153"/>
        <v>4.698195395146243E-2</v>
      </c>
      <c r="T1890" s="6">
        <f t="shared" si="154"/>
        <v>6.3854761718444963E-3</v>
      </c>
    </row>
    <row r="1891" spans="1:20" x14ac:dyDescent="0.25">
      <c r="A1891" s="4" t="s">
        <v>113</v>
      </c>
      <c r="B1891" s="5" t="s">
        <v>16</v>
      </c>
      <c r="C1891" s="5" t="s">
        <v>1823</v>
      </c>
      <c r="D1891" s="5">
        <v>425.3</v>
      </c>
      <c r="E1891" s="5">
        <v>412.55</v>
      </c>
      <c r="F1891" s="5">
        <v>425</v>
      </c>
      <c r="G1891" s="5">
        <v>407.85</v>
      </c>
      <c r="H1891" s="5">
        <v>418.5</v>
      </c>
      <c r="I1891" s="5">
        <v>410.1</v>
      </c>
      <c r="J1891" s="5">
        <v>410.56</v>
      </c>
      <c r="K1891" s="5">
        <v>118764</v>
      </c>
      <c r="L1891" s="5">
        <v>487.59</v>
      </c>
      <c r="M1891" s="5">
        <v>610</v>
      </c>
      <c r="N1891" s="5">
        <v>115464</v>
      </c>
      <c r="O1891" s="5">
        <v>97.22</v>
      </c>
      <c r="P1891" s="5">
        <f t="shared" si="150"/>
        <v>-15.199999999999989</v>
      </c>
      <c r="Q1891" s="6">
        <f t="shared" si="151"/>
        <v>-3.5739478015518432E-2</v>
      </c>
      <c r="R1891" s="5">
        <f t="shared" si="152"/>
        <v>17.149999999999977</v>
      </c>
      <c r="S1891" s="6">
        <f t="shared" si="153"/>
        <v>4.0324476839877679E-2</v>
      </c>
      <c r="T1891" s="6">
        <f t="shared" si="154"/>
        <v>-1.1114466928419922E-3</v>
      </c>
    </row>
    <row r="1892" spans="1:20" hidden="1" x14ac:dyDescent="0.25">
      <c r="A1892" s="4" t="s">
        <v>1785</v>
      </c>
      <c r="B1892" s="5" t="s">
        <v>16</v>
      </c>
      <c r="C1892" s="5" t="s">
        <v>1823</v>
      </c>
      <c r="D1892" s="5">
        <v>151.19999999999999</v>
      </c>
      <c r="E1892" s="5">
        <v>157.1</v>
      </c>
      <c r="F1892" s="5">
        <v>157.1</v>
      </c>
      <c r="G1892" s="5">
        <v>157.1</v>
      </c>
      <c r="H1892" s="5">
        <v>157.1</v>
      </c>
      <c r="I1892" s="5">
        <v>157.1</v>
      </c>
      <c r="J1892" s="5">
        <v>157.1</v>
      </c>
      <c r="K1892" s="5">
        <v>5</v>
      </c>
      <c r="L1892" s="5">
        <v>0.01</v>
      </c>
      <c r="M1892" s="5">
        <v>1</v>
      </c>
      <c r="N1892" s="5">
        <v>5</v>
      </c>
      <c r="O1892" s="5">
        <v>100</v>
      </c>
      <c r="P1892" s="5">
        <f t="shared" si="150"/>
        <v>5.9000000000000057</v>
      </c>
      <c r="Q1892" s="6">
        <f t="shared" si="151"/>
        <v>3.9021164021164061E-2</v>
      </c>
      <c r="R1892" s="5">
        <f t="shared" si="152"/>
        <v>0</v>
      </c>
      <c r="S1892" s="6">
        <f t="shared" si="153"/>
        <v>0</v>
      </c>
      <c r="T1892" s="6">
        <f t="shared" si="154"/>
        <v>0</v>
      </c>
    </row>
    <row r="1893" spans="1:20" x14ac:dyDescent="0.25">
      <c r="A1893" s="4" t="s">
        <v>1391</v>
      </c>
      <c r="B1893" s="5" t="s">
        <v>16</v>
      </c>
      <c r="C1893" s="5" t="s">
        <v>1823</v>
      </c>
      <c r="D1893" s="5">
        <v>262.75</v>
      </c>
      <c r="E1893" s="5">
        <v>260</v>
      </c>
      <c r="F1893" s="5">
        <v>263</v>
      </c>
      <c r="G1893" s="5">
        <v>250.85</v>
      </c>
      <c r="H1893" s="5">
        <v>260.25</v>
      </c>
      <c r="I1893" s="5">
        <v>258.14999999999998</v>
      </c>
      <c r="J1893" s="5">
        <v>256.52</v>
      </c>
      <c r="K1893" s="5">
        <v>204211</v>
      </c>
      <c r="L1893" s="5">
        <v>523.83000000000004</v>
      </c>
      <c r="M1893" s="5">
        <v>637</v>
      </c>
      <c r="N1893" s="5">
        <v>200771</v>
      </c>
      <c r="O1893" s="5">
        <v>98.32</v>
      </c>
      <c r="P1893" s="5">
        <f t="shared" si="150"/>
        <v>-4.6000000000000227</v>
      </c>
      <c r="Q1893" s="6">
        <f t="shared" si="151"/>
        <v>-1.7507136060894473E-2</v>
      </c>
      <c r="R1893" s="5">
        <f t="shared" si="152"/>
        <v>12.150000000000006</v>
      </c>
      <c r="S1893" s="6">
        <f t="shared" si="153"/>
        <v>4.6241674595623235E-2</v>
      </c>
      <c r="T1893" s="6">
        <f t="shared" si="154"/>
        <v>6.3178294573643231E-3</v>
      </c>
    </row>
    <row r="1894" spans="1:20" hidden="1" x14ac:dyDescent="0.25">
      <c r="A1894" s="4" t="s">
        <v>1787</v>
      </c>
      <c r="B1894" s="5" t="s">
        <v>16</v>
      </c>
      <c r="C1894" s="5" t="s">
        <v>1823</v>
      </c>
      <c r="D1894" s="5">
        <v>2541.35</v>
      </c>
      <c r="E1894" s="5">
        <v>2508.6999999999998</v>
      </c>
      <c r="F1894" s="5">
        <v>2525</v>
      </c>
      <c r="G1894" s="5">
        <v>2415</v>
      </c>
      <c r="H1894" s="5">
        <v>2415</v>
      </c>
      <c r="I1894" s="5">
        <v>2426.65</v>
      </c>
      <c r="J1894" s="5">
        <v>2474.79</v>
      </c>
      <c r="K1894" s="5">
        <v>271</v>
      </c>
      <c r="L1894" s="5">
        <v>6.71</v>
      </c>
      <c r="M1894" s="5">
        <v>186</v>
      </c>
      <c r="N1894" s="5">
        <v>152</v>
      </c>
      <c r="O1894" s="5">
        <v>56.09</v>
      </c>
      <c r="P1894" s="5">
        <f t="shared" si="150"/>
        <v>-114.69999999999982</v>
      </c>
      <c r="Q1894" s="6">
        <f t="shared" si="151"/>
        <v>-4.5133492041631348E-2</v>
      </c>
      <c r="R1894" s="5">
        <f t="shared" si="152"/>
        <v>110</v>
      </c>
      <c r="S1894" s="6">
        <f t="shared" si="153"/>
        <v>4.3284081295374505E-2</v>
      </c>
      <c r="T1894" s="6">
        <f t="shared" si="154"/>
        <v>-1.9499055729670287E-2</v>
      </c>
    </row>
    <row r="1895" spans="1:20" hidden="1" x14ac:dyDescent="0.25">
      <c r="A1895" s="4" t="s">
        <v>1788</v>
      </c>
      <c r="B1895" s="5" t="s">
        <v>16</v>
      </c>
      <c r="C1895" s="5" t="s">
        <v>1823</v>
      </c>
      <c r="D1895" s="5">
        <v>320.75</v>
      </c>
      <c r="E1895" s="5">
        <v>317.60000000000002</v>
      </c>
      <c r="F1895" s="5">
        <v>321.95</v>
      </c>
      <c r="G1895" s="5">
        <v>311</v>
      </c>
      <c r="H1895" s="5">
        <v>314</v>
      </c>
      <c r="I1895" s="5">
        <v>317.14999999999998</v>
      </c>
      <c r="J1895" s="5">
        <v>318.43</v>
      </c>
      <c r="K1895" s="5">
        <v>15805</v>
      </c>
      <c r="L1895" s="5">
        <v>50.33</v>
      </c>
      <c r="M1895" s="5">
        <v>1087</v>
      </c>
      <c r="N1895" s="5">
        <v>13746</v>
      </c>
      <c r="O1895" s="5">
        <v>86.97</v>
      </c>
      <c r="P1895" s="5">
        <f t="shared" si="150"/>
        <v>-3.6000000000000227</v>
      </c>
      <c r="Q1895" s="6">
        <f t="shared" si="151"/>
        <v>-1.122369446609516E-2</v>
      </c>
      <c r="R1895" s="5">
        <f t="shared" si="152"/>
        <v>10.949999999999989</v>
      </c>
      <c r="S1895" s="6">
        <f t="shared" si="153"/>
        <v>3.4138737334372532E-2</v>
      </c>
      <c r="T1895" s="6">
        <f t="shared" si="154"/>
        <v>-4.0388104441114771E-3</v>
      </c>
    </row>
    <row r="1896" spans="1:20" hidden="1" x14ac:dyDescent="0.25">
      <c r="A1896" s="4" t="s">
        <v>1789</v>
      </c>
      <c r="B1896" s="5" t="s">
        <v>28</v>
      </c>
      <c r="C1896" s="5" t="s">
        <v>1823</v>
      </c>
      <c r="D1896" s="5">
        <v>94.4</v>
      </c>
      <c r="E1896" s="5">
        <v>90</v>
      </c>
      <c r="F1896" s="5">
        <v>90</v>
      </c>
      <c r="G1896" s="5">
        <v>89.7</v>
      </c>
      <c r="H1896" s="5">
        <v>90</v>
      </c>
      <c r="I1896" s="5">
        <v>89.95</v>
      </c>
      <c r="J1896" s="5">
        <v>89.95</v>
      </c>
      <c r="K1896" s="5">
        <v>9600</v>
      </c>
      <c r="L1896" s="5">
        <v>8.64</v>
      </c>
      <c r="M1896" s="5">
        <v>3</v>
      </c>
      <c r="N1896" s="5">
        <v>9600</v>
      </c>
      <c r="O1896" s="5">
        <v>100</v>
      </c>
      <c r="P1896" s="5">
        <f t="shared" si="150"/>
        <v>-4.4500000000000028</v>
      </c>
      <c r="Q1896" s="6">
        <f t="shared" si="151"/>
        <v>-4.7139830508474603E-2</v>
      </c>
      <c r="R1896" s="5">
        <f t="shared" si="152"/>
        <v>0.29999999999999716</v>
      </c>
      <c r="S1896" s="6">
        <f t="shared" si="153"/>
        <v>3.1779661016948851E-3</v>
      </c>
      <c r="T1896" s="6">
        <f t="shared" si="154"/>
        <v>0</v>
      </c>
    </row>
    <row r="1897" spans="1:20" hidden="1" x14ac:dyDescent="0.25">
      <c r="A1897" s="4" t="s">
        <v>1790</v>
      </c>
      <c r="B1897" s="5" t="s">
        <v>16</v>
      </c>
      <c r="C1897" s="5" t="s">
        <v>1823</v>
      </c>
      <c r="D1897" s="5">
        <v>632.45000000000005</v>
      </c>
      <c r="E1897" s="5">
        <v>619</v>
      </c>
      <c r="F1897" s="5">
        <v>634.75</v>
      </c>
      <c r="G1897" s="5">
        <v>610</v>
      </c>
      <c r="H1897" s="5">
        <v>611.1</v>
      </c>
      <c r="I1897" s="5">
        <v>616.9</v>
      </c>
      <c r="J1897" s="5">
        <v>618.30999999999995</v>
      </c>
      <c r="K1897" s="5">
        <v>967</v>
      </c>
      <c r="L1897" s="5">
        <v>5.98</v>
      </c>
      <c r="M1897" s="5">
        <v>163</v>
      </c>
      <c r="N1897" s="5">
        <v>515</v>
      </c>
      <c r="O1897" s="5">
        <v>53.26</v>
      </c>
      <c r="P1897" s="5">
        <f t="shared" si="150"/>
        <v>-15.550000000000068</v>
      </c>
      <c r="Q1897" s="6">
        <f t="shared" si="151"/>
        <v>-2.4586923867499513E-2</v>
      </c>
      <c r="R1897" s="5">
        <f t="shared" si="152"/>
        <v>24.75</v>
      </c>
      <c r="S1897" s="6">
        <f t="shared" si="153"/>
        <v>3.9133528342161432E-2</v>
      </c>
      <c r="T1897" s="6">
        <f t="shared" si="154"/>
        <v>-2.2735976457782729E-3</v>
      </c>
    </row>
    <row r="1898" spans="1:20" hidden="1" x14ac:dyDescent="0.25">
      <c r="A1898" s="4" t="s">
        <v>1791</v>
      </c>
      <c r="B1898" s="5" t="s">
        <v>16</v>
      </c>
      <c r="C1898" s="5" t="s">
        <v>1823</v>
      </c>
      <c r="D1898" s="5">
        <v>1885.4</v>
      </c>
      <c r="E1898" s="5">
        <v>1885.4</v>
      </c>
      <c r="F1898" s="5">
        <v>1890</v>
      </c>
      <c r="G1898" s="5">
        <v>1813</v>
      </c>
      <c r="H1898" s="5">
        <v>1853.45</v>
      </c>
      <c r="I1898" s="5">
        <v>1838.9</v>
      </c>
      <c r="J1898" s="5">
        <v>1848.72</v>
      </c>
      <c r="K1898" s="5">
        <v>69273</v>
      </c>
      <c r="L1898" s="5">
        <v>1280.67</v>
      </c>
      <c r="M1898" s="5">
        <v>6660</v>
      </c>
      <c r="N1898" s="5">
        <v>28659</v>
      </c>
      <c r="O1898" s="5">
        <v>41.37</v>
      </c>
      <c r="P1898" s="5">
        <f t="shared" si="150"/>
        <v>-46.5</v>
      </c>
      <c r="Q1898" s="6">
        <f t="shared" si="151"/>
        <v>-2.4663201442664685E-2</v>
      </c>
      <c r="R1898" s="5">
        <f t="shared" si="152"/>
        <v>77</v>
      </c>
      <c r="S1898" s="6">
        <f t="shared" si="153"/>
        <v>4.0840140023337218E-2</v>
      </c>
      <c r="T1898" s="6">
        <f t="shared" si="154"/>
        <v>-5.288597471490279E-3</v>
      </c>
    </row>
    <row r="1899" spans="1:20" hidden="1" x14ac:dyDescent="0.25">
      <c r="A1899" s="4" t="s">
        <v>1792</v>
      </c>
      <c r="B1899" s="5" t="s">
        <v>16</v>
      </c>
      <c r="C1899" s="5" t="s">
        <v>1823</v>
      </c>
      <c r="D1899" s="5">
        <v>16.95</v>
      </c>
      <c r="E1899" s="5">
        <v>16.95</v>
      </c>
      <c r="F1899" s="5">
        <v>17.649999999999999</v>
      </c>
      <c r="G1899" s="5">
        <v>16.149999999999999</v>
      </c>
      <c r="H1899" s="5">
        <v>16.8</v>
      </c>
      <c r="I1899" s="5">
        <v>16.2</v>
      </c>
      <c r="J1899" s="5">
        <v>16.46</v>
      </c>
      <c r="K1899" s="5">
        <v>7029</v>
      </c>
      <c r="L1899" s="5">
        <v>1.1599999999999999</v>
      </c>
      <c r="M1899" s="5">
        <v>352</v>
      </c>
      <c r="N1899" s="5">
        <v>3639</v>
      </c>
      <c r="O1899" s="5">
        <v>51.77</v>
      </c>
      <c r="P1899" s="5">
        <f t="shared" si="150"/>
        <v>-0.75</v>
      </c>
      <c r="Q1899" s="6">
        <f t="shared" si="151"/>
        <v>-4.4247787610619468E-2</v>
      </c>
      <c r="R1899" s="5">
        <f t="shared" si="152"/>
        <v>1.5</v>
      </c>
      <c r="S1899" s="6">
        <f t="shared" si="153"/>
        <v>8.8495575221238937E-2</v>
      </c>
      <c r="T1899" s="6">
        <f t="shared" si="154"/>
        <v>-1.5533980582524368E-2</v>
      </c>
    </row>
    <row r="1900" spans="1:20" hidden="1" x14ac:dyDescent="0.25">
      <c r="A1900" s="4" t="s">
        <v>1793</v>
      </c>
      <c r="B1900" s="5" t="s">
        <v>16</v>
      </c>
      <c r="C1900" s="5" t="s">
        <v>1823</v>
      </c>
      <c r="D1900" s="5">
        <v>24.15</v>
      </c>
      <c r="E1900" s="5">
        <v>24.45</v>
      </c>
      <c r="F1900" s="5">
        <v>24.45</v>
      </c>
      <c r="G1900" s="5">
        <v>23</v>
      </c>
      <c r="H1900" s="5">
        <v>23</v>
      </c>
      <c r="I1900" s="5">
        <v>23.2</v>
      </c>
      <c r="J1900" s="5">
        <v>23.47</v>
      </c>
      <c r="K1900" s="5">
        <v>6671</v>
      </c>
      <c r="L1900" s="5">
        <v>1.57</v>
      </c>
      <c r="M1900" s="5">
        <v>49</v>
      </c>
      <c r="N1900" s="5">
        <v>6104</v>
      </c>
      <c r="O1900" s="5">
        <v>91.5</v>
      </c>
      <c r="P1900" s="5">
        <f t="shared" si="150"/>
        <v>-0.94999999999999929</v>
      </c>
      <c r="Q1900" s="6">
        <f t="shared" si="151"/>
        <v>-3.9337474120082788E-2</v>
      </c>
      <c r="R1900" s="5">
        <f t="shared" si="152"/>
        <v>1.4499999999999993</v>
      </c>
      <c r="S1900" s="6">
        <f t="shared" si="153"/>
        <v>6.0041407867494796E-2</v>
      </c>
      <c r="T1900" s="6">
        <f t="shared" si="154"/>
        <v>-1.135646687697159E-2</v>
      </c>
    </row>
    <row r="1901" spans="1:20" hidden="1" x14ac:dyDescent="0.25">
      <c r="A1901" s="4" t="s">
        <v>1872</v>
      </c>
      <c r="B1901" s="5" t="s">
        <v>39</v>
      </c>
      <c r="C1901" s="5" t="s">
        <v>1823</v>
      </c>
      <c r="D1901" s="5">
        <v>88</v>
      </c>
      <c r="E1901" s="5">
        <v>86.9</v>
      </c>
      <c r="F1901" s="5">
        <v>86.9</v>
      </c>
      <c r="G1901" s="5">
        <v>86.9</v>
      </c>
      <c r="H1901" s="5">
        <v>86.9</v>
      </c>
      <c r="I1901" s="5">
        <v>86.9</v>
      </c>
      <c r="J1901" s="5">
        <v>86.9</v>
      </c>
      <c r="K1901" s="5">
        <v>10</v>
      </c>
      <c r="L1901" s="5">
        <v>0.01</v>
      </c>
      <c r="M1901" s="5">
        <v>1</v>
      </c>
      <c r="N1901" s="5" t="s">
        <v>25</v>
      </c>
      <c r="O1901" s="5" t="s">
        <v>25</v>
      </c>
      <c r="P1901" s="5">
        <f t="shared" si="150"/>
        <v>-1.0999999999999943</v>
      </c>
      <c r="Q1901" s="6">
        <f t="shared" si="151"/>
        <v>-1.2499999999999935E-2</v>
      </c>
      <c r="R1901" s="5">
        <f t="shared" si="152"/>
        <v>0</v>
      </c>
      <c r="S1901" s="6">
        <f t="shared" si="153"/>
        <v>0</v>
      </c>
      <c r="T1901" s="6">
        <f t="shared" si="154"/>
        <v>0</v>
      </c>
    </row>
    <row r="1902" spans="1:20" hidden="1" x14ac:dyDescent="0.25">
      <c r="A1902" s="4" t="s">
        <v>1794</v>
      </c>
      <c r="B1902" s="5" t="s">
        <v>16</v>
      </c>
      <c r="C1902" s="5" t="s">
        <v>1823</v>
      </c>
      <c r="D1902" s="5">
        <v>240.7</v>
      </c>
      <c r="E1902" s="5">
        <v>240.5</v>
      </c>
      <c r="F1902" s="5">
        <v>241.35</v>
      </c>
      <c r="G1902" s="5">
        <v>238</v>
      </c>
      <c r="H1902" s="5">
        <v>239.2</v>
      </c>
      <c r="I1902" s="5">
        <v>238.8</v>
      </c>
      <c r="J1902" s="5">
        <v>239.57</v>
      </c>
      <c r="K1902" s="5">
        <v>3604998</v>
      </c>
      <c r="L1902" s="5">
        <v>8636.6200000000008</v>
      </c>
      <c r="M1902" s="5">
        <v>52986</v>
      </c>
      <c r="N1902" s="5">
        <v>1889957</v>
      </c>
      <c r="O1902" s="5">
        <v>52.43</v>
      </c>
      <c r="P1902" s="5">
        <f t="shared" si="150"/>
        <v>-1.8999999999999773</v>
      </c>
      <c r="Q1902" s="6">
        <f t="shared" si="151"/>
        <v>-7.8936435396758514E-3</v>
      </c>
      <c r="R1902" s="5">
        <f t="shared" si="152"/>
        <v>3.3499999999999943</v>
      </c>
      <c r="S1902" s="6">
        <f t="shared" si="153"/>
        <v>1.3917739925218092E-2</v>
      </c>
      <c r="T1902" s="6">
        <f t="shared" si="154"/>
        <v>-3.2128514056224138E-3</v>
      </c>
    </row>
    <row r="1903" spans="1:20" x14ac:dyDescent="0.25">
      <c r="A1903" s="4" t="s">
        <v>1828</v>
      </c>
      <c r="B1903" s="5" t="s">
        <v>28</v>
      </c>
      <c r="C1903" s="5" t="s">
        <v>1823</v>
      </c>
      <c r="D1903" s="5">
        <v>53.95</v>
      </c>
      <c r="E1903" s="5">
        <v>53.25</v>
      </c>
      <c r="F1903" s="5">
        <v>53.35</v>
      </c>
      <c r="G1903" s="5">
        <v>51</v>
      </c>
      <c r="H1903" s="5">
        <v>51.7</v>
      </c>
      <c r="I1903" s="5">
        <v>51.7</v>
      </c>
      <c r="J1903" s="5">
        <v>52.7</v>
      </c>
      <c r="K1903" s="5">
        <v>136000</v>
      </c>
      <c r="L1903" s="5">
        <v>71.67</v>
      </c>
      <c r="M1903" s="5">
        <v>30</v>
      </c>
      <c r="N1903" s="5">
        <v>134000</v>
      </c>
      <c r="O1903" s="5">
        <v>98.53</v>
      </c>
      <c r="P1903" s="5">
        <f t="shared" si="150"/>
        <v>-2.25</v>
      </c>
      <c r="Q1903" s="6">
        <f t="shared" si="151"/>
        <v>-4.1705282669138088E-2</v>
      </c>
      <c r="R1903" s="5">
        <f t="shared" si="152"/>
        <v>2.3500000000000014</v>
      </c>
      <c r="S1903" s="6">
        <f t="shared" si="153"/>
        <v>4.3558850787766473E-2</v>
      </c>
      <c r="T1903" s="6">
        <f t="shared" si="154"/>
        <v>-1.9111323459149544E-2</v>
      </c>
    </row>
    <row r="1904" spans="1:20" hidden="1" x14ac:dyDescent="0.25">
      <c r="A1904" s="4" t="s">
        <v>1796</v>
      </c>
      <c r="B1904" s="5" t="s">
        <v>16</v>
      </c>
      <c r="C1904" s="5" t="s">
        <v>1823</v>
      </c>
      <c r="D1904" s="5">
        <v>298.39999999999998</v>
      </c>
      <c r="E1904" s="5">
        <v>298</v>
      </c>
      <c r="F1904" s="5">
        <v>299.8</v>
      </c>
      <c r="G1904" s="5">
        <v>281.10000000000002</v>
      </c>
      <c r="H1904" s="5">
        <v>282</v>
      </c>
      <c r="I1904" s="5">
        <v>283.95</v>
      </c>
      <c r="J1904" s="5">
        <v>287.56</v>
      </c>
      <c r="K1904" s="5">
        <v>15645</v>
      </c>
      <c r="L1904" s="5">
        <v>44.99</v>
      </c>
      <c r="M1904" s="5">
        <v>873</v>
      </c>
      <c r="N1904" s="5">
        <v>7987</v>
      </c>
      <c r="O1904" s="5">
        <v>51.05</v>
      </c>
      <c r="P1904" s="5">
        <f t="shared" si="150"/>
        <v>-14.449999999999989</v>
      </c>
      <c r="Q1904" s="6">
        <f t="shared" si="151"/>
        <v>-4.8424932975871277E-2</v>
      </c>
      <c r="R1904" s="5">
        <f t="shared" si="152"/>
        <v>18.699999999999989</v>
      </c>
      <c r="S1904" s="6">
        <f t="shared" si="153"/>
        <v>6.266756032171579E-2</v>
      </c>
      <c r="T1904" s="6">
        <f t="shared" si="154"/>
        <v>-1.2417766693898659E-2</v>
      </c>
    </row>
    <row r="1905" spans="1:20" hidden="1" x14ac:dyDescent="0.25">
      <c r="A1905" s="4" t="s">
        <v>1797</v>
      </c>
      <c r="B1905" s="5" t="s">
        <v>39</v>
      </c>
      <c r="C1905" s="5" t="s">
        <v>1823</v>
      </c>
      <c r="D1905" s="5">
        <v>0.6</v>
      </c>
      <c r="E1905" s="5">
        <v>0.6</v>
      </c>
      <c r="F1905" s="5">
        <v>0.6</v>
      </c>
      <c r="G1905" s="5">
        <v>0.55000000000000004</v>
      </c>
      <c r="H1905" s="5">
        <v>0.55000000000000004</v>
      </c>
      <c r="I1905" s="5">
        <v>0.55000000000000004</v>
      </c>
      <c r="J1905" s="5">
        <v>0.6</v>
      </c>
      <c r="K1905" s="5">
        <v>11561</v>
      </c>
      <c r="L1905" s="5">
        <v>7.0000000000000007E-2</v>
      </c>
      <c r="M1905" s="5">
        <v>7</v>
      </c>
      <c r="N1905" s="5" t="s">
        <v>25</v>
      </c>
      <c r="O1905" s="5" t="s">
        <v>25</v>
      </c>
      <c r="P1905" s="5">
        <f t="shared" si="150"/>
        <v>-4.9999999999999933E-2</v>
      </c>
      <c r="Q1905" s="6">
        <f t="shared" si="151"/>
        <v>-8.3333333333333232E-2</v>
      </c>
      <c r="R1905" s="5">
        <f t="shared" si="152"/>
        <v>4.9999999999999933E-2</v>
      </c>
      <c r="S1905" s="6">
        <f t="shared" si="153"/>
        <v>8.3333333333333232E-2</v>
      </c>
      <c r="T1905" s="6">
        <f t="shared" si="154"/>
        <v>-8.6956521739130321E-2</v>
      </c>
    </row>
    <row r="1906" spans="1:20" x14ac:dyDescent="0.25">
      <c r="A1906" s="4" t="s">
        <v>1429</v>
      </c>
      <c r="B1906" s="5" t="s">
        <v>16</v>
      </c>
      <c r="C1906" s="5" t="s">
        <v>1823</v>
      </c>
      <c r="D1906" s="5">
        <v>306.36</v>
      </c>
      <c r="E1906" s="5">
        <v>309</v>
      </c>
      <c r="F1906" s="5">
        <v>309</v>
      </c>
      <c r="G1906" s="5">
        <v>299.14999999999998</v>
      </c>
      <c r="H1906" s="5">
        <v>299.89999999999998</v>
      </c>
      <c r="I1906" s="5">
        <v>300.06</v>
      </c>
      <c r="J1906" s="5">
        <v>300.39</v>
      </c>
      <c r="K1906" s="5">
        <v>328913</v>
      </c>
      <c r="L1906" s="5">
        <v>988.03</v>
      </c>
      <c r="M1906" s="5">
        <v>247</v>
      </c>
      <c r="N1906" s="5">
        <v>325667</v>
      </c>
      <c r="O1906" s="5">
        <v>99.01</v>
      </c>
      <c r="P1906" s="5">
        <f t="shared" si="150"/>
        <v>-6.3000000000000114</v>
      </c>
      <c r="Q1906" s="6">
        <f t="shared" si="151"/>
        <v>-2.0564042303172773E-2</v>
      </c>
      <c r="R1906" s="5">
        <f t="shared" si="152"/>
        <v>9.8500000000000227</v>
      </c>
      <c r="S1906" s="6">
        <f t="shared" si="153"/>
        <v>3.2151716934325704E-2</v>
      </c>
      <c r="T1906" s="6">
        <f t="shared" si="154"/>
        <v>-1.0844472194608459E-3</v>
      </c>
    </row>
    <row r="1907" spans="1:20" hidden="1" x14ac:dyDescent="0.25">
      <c r="A1907" s="4" t="s">
        <v>1799</v>
      </c>
      <c r="B1907" s="5" t="s">
        <v>16</v>
      </c>
      <c r="C1907" s="5" t="s">
        <v>1823</v>
      </c>
      <c r="D1907" s="5">
        <v>55.1</v>
      </c>
      <c r="E1907" s="5">
        <v>54.5</v>
      </c>
      <c r="F1907" s="5">
        <v>55.5</v>
      </c>
      <c r="G1907" s="5">
        <v>54.05</v>
      </c>
      <c r="H1907" s="5">
        <v>54.05</v>
      </c>
      <c r="I1907" s="5">
        <v>54.25</v>
      </c>
      <c r="J1907" s="5">
        <v>54.32</v>
      </c>
      <c r="K1907" s="5">
        <v>4392</v>
      </c>
      <c r="L1907" s="5">
        <v>2.39</v>
      </c>
      <c r="M1907" s="5">
        <v>25</v>
      </c>
      <c r="N1907" s="5">
        <v>4237</v>
      </c>
      <c r="O1907" s="5">
        <v>96.47</v>
      </c>
      <c r="P1907" s="5">
        <f t="shared" si="150"/>
        <v>-0.85000000000000142</v>
      </c>
      <c r="Q1907" s="6">
        <f t="shared" si="151"/>
        <v>-1.5426497277676976E-2</v>
      </c>
      <c r="R1907" s="5">
        <f t="shared" si="152"/>
        <v>1.4500000000000028</v>
      </c>
      <c r="S1907" s="6">
        <f t="shared" si="153"/>
        <v>2.6315789473684261E-2</v>
      </c>
      <c r="T1907" s="6">
        <f t="shared" si="154"/>
        <v>-1.282638570774169E-3</v>
      </c>
    </row>
    <row r="1908" spans="1:20" hidden="1" x14ac:dyDescent="0.25">
      <c r="A1908" s="4" t="s">
        <v>1800</v>
      </c>
      <c r="B1908" s="5" t="s">
        <v>16</v>
      </c>
      <c r="C1908" s="5" t="s">
        <v>1823</v>
      </c>
      <c r="D1908" s="5">
        <v>65.25</v>
      </c>
      <c r="E1908" s="5">
        <v>68.3</v>
      </c>
      <c r="F1908" s="5">
        <v>68.3</v>
      </c>
      <c r="G1908" s="5">
        <v>64</v>
      </c>
      <c r="H1908" s="5">
        <v>67.95</v>
      </c>
      <c r="I1908" s="5">
        <v>67.150000000000006</v>
      </c>
      <c r="J1908" s="5">
        <v>67.650000000000006</v>
      </c>
      <c r="K1908" s="5">
        <v>3702</v>
      </c>
      <c r="L1908" s="5">
        <v>2.5</v>
      </c>
      <c r="M1908" s="5">
        <v>316</v>
      </c>
      <c r="N1908" s="5">
        <v>1643</v>
      </c>
      <c r="O1908" s="5">
        <v>44.38</v>
      </c>
      <c r="P1908" s="5">
        <f t="shared" si="150"/>
        <v>1.9000000000000057</v>
      </c>
      <c r="Q1908" s="6">
        <f t="shared" si="151"/>
        <v>2.9118773946360241E-2</v>
      </c>
      <c r="R1908" s="5">
        <f t="shared" si="152"/>
        <v>4.2999999999999972</v>
      </c>
      <c r="S1908" s="6">
        <f t="shared" si="153"/>
        <v>6.5900383141762414E-2</v>
      </c>
      <c r="T1908" s="6">
        <f t="shared" si="154"/>
        <v>-7.4696545284780582E-3</v>
      </c>
    </row>
    <row r="1909" spans="1:20" hidden="1" x14ac:dyDescent="0.25">
      <c r="A1909" s="4" t="s">
        <v>1801</v>
      </c>
      <c r="B1909" s="5" t="s">
        <v>39</v>
      </c>
      <c r="C1909" s="5" t="s">
        <v>1823</v>
      </c>
      <c r="D1909" s="5">
        <v>0.45</v>
      </c>
      <c r="E1909" s="5">
        <v>0.5</v>
      </c>
      <c r="F1909" s="5">
        <v>0.5</v>
      </c>
      <c r="G1909" s="5">
        <v>0.45</v>
      </c>
      <c r="H1909" s="5">
        <v>0.5</v>
      </c>
      <c r="I1909" s="5">
        <v>0.5</v>
      </c>
      <c r="J1909" s="5">
        <v>0.49</v>
      </c>
      <c r="K1909" s="5">
        <v>7545</v>
      </c>
      <c r="L1909" s="5">
        <v>0.04</v>
      </c>
      <c r="M1909" s="5">
        <v>13</v>
      </c>
      <c r="N1909" s="5" t="s">
        <v>25</v>
      </c>
      <c r="O1909" s="5" t="s">
        <v>25</v>
      </c>
      <c r="P1909" s="5">
        <f t="shared" si="150"/>
        <v>4.9999999999999989E-2</v>
      </c>
      <c r="Q1909" s="6">
        <f t="shared" si="151"/>
        <v>0.11111111111111108</v>
      </c>
      <c r="R1909" s="5">
        <f t="shared" si="152"/>
        <v>4.9999999999999989E-2</v>
      </c>
      <c r="S1909" s="6">
        <f t="shared" si="153"/>
        <v>0.11111111111111108</v>
      </c>
      <c r="T1909" s="6">
        <f t="shared" si="154"/>
        <v>2.051282051282053E-2</v>
      </c>
    </row>
    <row r="1910" spans="1:20" hidden="1" x14ac:dyDescent="0.25">
      <c r="A1910" s="4" t="s">
        <v>1802</v>
      </c>
      <c r="B1910" s="5" t="s">
        <v>16</v>
      </c>
      <c r="C1910" s="5" t="s">
        <v>1823</v>
      </c>
      <c r="D1910" s="5">
        <v>27.55</v>
      </c>
      <c r="E1910" s="5">
        <v>27.1</v>
      </c>
      <c r="F1910" s="5">
        <v>28.5</v>
      </c>
      <c r="G1910" s="5">
        <v>25.8</v>
      </c>
      <c r="H1910" s="5">
        <v>26</v>
      </c>
      <c r="I1910" s="5">
        <v>26</v>
      </c>
      <c r="J1910" s="5">
        <v>26.32</v>
      </c>
      <c r="K1910" s="5">
        <v>2315</v>
      </c>
      <c r="L1910" s="5">
        <v>0.61</v>
      </c>
      <c r="M1910" s="5">
        <v>38</v>
      </c>
      <c r="N1910" s="5">
        <v>1894</v>
      </c>
      <c r="O1910" s="5">
        <v>81.81</v>
      </c>
      <c r="P1910" s="5">
        <f t="shared" si="150"/>
        <v>-1.5500000000000007</v>
      </c>
      <c r="Q1910" s="6">
        <f t="shared" si="151"/>
        <v>-5.6261343012704197E-2</v>
      </c>
      <c r="R1910" s="5">
        <f t="shared" si="152"/>
        <v>2.6999999999999993</v>
      </c>
      <c r="S1910" s="6">
        <f t="shared" si="153"/>
        <v>9.8003629764065306E-2</v>
      </c>
      <c r="T1910" s="6">
        <f t="shared" si="154"/>
        <v>-1.1918063314711369E-2</v>
      </c>
    </row>
    <row r="1911" spans="1:20" x14ac:dyDescent="0.25">
      <c r="A1911" s="4" t="s">
        <v>1005</v>
      </c>
      <c r="B1911" s="5" t="s">
        <v>16</v>
      </c>
      <c r="C1911" s="5" t="s">
        <v>1823</v>
      </c>
      <c r="D1911" s="5">
        <v>35.85</v>
      </c>
      <c r="E1911" s="5">
        <v>35.65</v>
      </c>
      <c r="F1911" s="5">
        <v>36.700000000000003</v>
      </c>
      <c r="G1911" s="5">
        <v>35</v>
      </c>
      <c r="H1911" s="5">
        <v>35.049999999999997</v>
      </c>
      <c r="I1911" s="5">
        <v>35</v>
      </c>
      <c r="J1911" s="5">
        <v>35.56</v>
      </c>
      <c r="K1911" s="5">
        <v>207142</v>
      </c>
      <c r="L1911" s="5">
        <v>73.650000000000006</v>
      </c>
      <c r="M1911" s="5">
        <v>183</v>
      </c>
      <c r="N1911" s="5">
        <v>206077</v>
      </c>
      <c r="O1911" s="5">
        <v>99.49</v>
      </c>
      <c r="P1911" s="5">
        <f t="shared" si="150"/>
        <v>-0.85000000000000142</v>
      </c>
      <c r="Q1911" s="6">
        <f t="shared" si="151"/>
        <v>-2.3709902370990275E-2</v>
      </c>
      <c r="R1911" s="5">
        <f t="shared" si="152"/>
        <v>1.7000000000000028</v>
      </c>
      <c r="S1911" s="6">
        <f t="shared" si="153"/>
        <v>4.7419804741980549E-2</v>
      </c>
      <c r="T1911" s="6">
        <f t="shared" si="154"/>
        <v>-1.5735862311204843E-2</v>
      </c>
    </row>
    <row r="1912" spans="1:20" x14ac:dyDescent="0.25">
      <c r="A1912" s="4" t="s">
        <v>1187</v>
      </c>
      <c r="B1912" s="5" t="s">
        <v>16</v>
      </c>
      <c r="C1912" s="5" t="s">
        <v>1823</v>
      </c>
      <c r="D1912" s="5">
        <v>18.75</v>
      </c>
      <c r="E1912" s="5">
        <v>19.3</v>
      </c>
      <c r="F1912" s="5">
        <v>19.3</v>
      </c>
      <c r="G1912" s="5">
        <v>17.5</v>
      </c>
      <c r="H1912" s="5">
        <v>17.95</v>
      </c>
      <c r="I1912" s="5">
        <v>17.600000000000001</v>
      </c>
      <c r="J1912" s="5">
        <v>17.63</v>
      </c>
      <c r="K1912" s="5">
        <v>1714745</v>
      </c>
      <c r="L1912" s="5">
        <v>302.33</v>
      </c>
      <c r="M1912" s="5">
        <v>300</v>
      </c>
      <c r="N1912" s="5">
        <v>1708716</v>
      </c>
      <c r="O1912" s="5">
        <v>99.65</v>
      </c>
      <c r="P1912" s="5">
        <f t="shared" si="150"/>
        <v>-1.1499999999999986</v>
      </c>
      <c r="Q1912" s="6">
        <f t="shared" si="151"/>
        <v>-6.1333333333333261E-2</v>
      </c>
      <c r="R1912" s="5">
        <f t="shared" si="152"/>
        <v>1.8000000000000007</v>
      </c>
      <c r="S1912" s="6">
        <f t="shared" si="153"/>
        <v>9.6000000000000044E-2</v>
      </c>
      <c r="T1912" s="6">
        <f t="shared" si="154"/>
        <v>-1.6282225237447805E-3</v>
      </c>
    </row>
    <row r="1913" spans="1:20" hidden="1" x14ac:dyDescent="0.25">
      <c r="A1913" s="4" t="s">
        <v>1804</v>
      </c>
      <c r="B1913" s="5" t="s">
        <v>857</v>
      </c>
      <c r="C1913" s="5" t="s">
        <v>1823</v>
      </c>
      <c r="D1913" s="5">
        <v>5.35</v>
      </c>
      <c r="E1913" s="5">
        <v>5.45</v>
      </c>
      <c r="F1913" s="5">
        <v>5.45</v>
      </c>
      <c r="G1913" s="5">
        <v>5.3</v>
      </c>
      <c r="H1913" s="5">
        <v>5.35</v>
      </c>
      <c r="I1913" s="5">
        <v>5.35</v>
      </c>
      <c r="J1913" s="5">
        <v>5.38</v>
      </c>
      <c r="K1913" s="5">
        <v>1760527</v>
      </c>
      <c r="L1913" s="5">
        <v>94.76</v>
      </c>
      <c r="M1913" s="5">
        <v>52</v>
      </c>
      <c r="N1913" s="5">
        <v>1716086</v>
      </c>
      <c r="O1913" s="5">
        <v>97.48</v>
      </c>
      <c r="P1913" s="5">
        <f t="shared" si="150"/>
        <v>0</v>
      </c>
      <c r="Q1913" s="6">
        <f t="shared" si="151"/>
        <v>0</v>
      </c>
      <c r="R1913" s="5">
        <f t="shared" si="152"/>
        <v>0.15000000000000036</v>
      </c>
      <c r="S1913" s="6">
        <f t="shared" si="153"/>
        <v>2.8037383177570162E-2</v>
      </c>
      <c r="T1913" s="6">
        <f t="shared" si="154"/>
        <v>-5.5684454756380983E-3</v>
      </c>
    </row>
    <row r="1914" spans="1:20" x14ac:dyDescent="0.25">
      <c r="A1914" s="4" t="s">
        <v>482</v>
      </c>
      <c r="B1914" s="5" t="s">
        <v>39</v>
      </c>
      <c r="C1914" s="5" t="s">
        <v>1823</v>
      </c>
      <c r="D1914" s="5">
        <v>18.649999999999999</v>
      </c>
      <c r="E1914" s="5">
        <v>17.75</v>
      </c>
      <c r="F1914" s="5">
        <v>19.05</v>
      </c>
      <c r="G1914" s="5">
        <v>17.75</v>
      </c>
      <c r="H1914" s="5">
        <v>18.100000000000001</v>
      </c>
      <c r="I1914" s="5">
        <v>18</v>
      </c>
      <c r="J1914" s="5">
        <v>17.97</v>
      </c>
      <c r="K1914" s="5">
        <v>244907</v>
      </c>
      <c r="L1914" s="5">
        <v>44.02</v>
      </c>
      <c r="M1914" s="5">
        <v>778</v>
      </c>
      <c r="N1914" s="5" t="s">
        <v>25</v>
      </c>
      <c r="O1914" s="5" t="s">
        <v>25</v>
      </c>
      <c r="P1914" s="5">
        <f t="shared" si="150"/>
        <v>-0.64999999999999858</v>
      </c>
      <c r="Q1914" s="6">
        <f t="shared" si="151"/>
        <v>-3.4852546916890007E-2</v>
      </c>
      <c r="R1914" s="5">
        <f t="shared" si="152"/>
        <v>1.3000000000000007</v>
      </c>
      <c r="S1914" s="6">
        <f t="shared" si="153"/>
        <v>6.9705093833780207E-2</v>
      </c>
      <c r="T1914" s="6">
        <f t="shared" si="154"/>
        <v>1.6540317022743563E-3</v>
      </c>
    </row>
    <row r="1915" spans="1:20" x14ac:dyDescent="0.25">
      <c r="A1915" s="4" t="s">
        <v>740</v>
      </c>
      <c r="B1915" s="5" t="s">
        <v>39</v>
      </c>
      <c r="C1915" s="5" t="s">
        <v>1823</v>
      </c>
      <c r="D1915" s="5">
        <v>1470.7</v>
      </c>
      <c r="E1915" s="5">
        <v>1544.2</v>
      </c>
      <c r="F1915" s="5">
        <v>1544.2</v>
      </c>
      <c r="G1915" s="5">
        <v>1397.2</v>
      </c>
      <c r="H1915" s="5">
        <v>1397.2</v>
      </c>
      <c r="I1915" s="5">
        <v>1404.95</v>
      </c>
      <c r="J1915" s="5">
        <v>1431.94</v>
      </c>
      <c r="K1915" s="5">
        <v>132645</v>
      </c>
      <c r="L1915" s="5">
        <v>1899.4</v>
      </c>
      <c r="M1915" s="5">
        <v>1167</v>
      </c>
      <c r="N1915" s="5" t="s">
        <v>25</v>
      </c>
      <c r="O1915" s="5" t="s">
        <v>25</v>
      </c>
      <c r="P1915" s="5">
        <f t="shared" si="150"/>
        <v>-65.75</v>
      </c>
      <c r="Q1915" s="6">
        <f t="shared" si="151"/>
        <v>-4.4706602298225331E-2</v>
      </c>
      <c r="R1915" s="5">
        <f t="shared" si="152"/>
        <v>147</v>
      </c>
      <c r="S1915" s="6">
        <f t="shared" si="153"/>
        <v>9.9952403617325075E-2</v>
      </c>
      <c r="T1915" s="6">
        <f t="shared" si="154"/>
        <v>-1.8327660405225325E-2</v>
      </c>
    </row>
    <row r="1916" spans="1:20" hidden="1" x14ac:dyDescent="0.25">
      <c r="A1916" s="4" t="s">
        <v>1807</v>
      </c>
      <c r="B1916" s="5" t="s">
        <v>39</v>
      </c>
      <c r="C1916" s="5" t="s">
        <v>1823</v>
      </c>
      <c r="D1916" s="5">
        <v>0.4</v>
      </c>
      <c r="E1916" s="5">
        <v>0.4</v>
      </c>
      <c r="F1916" s="5">
        <v>0.45</v>
      </c>
      <c r="G1916" s="5">
        <v>0.35</v>
      </c>
      <c r="H1916" s="5">
        <v>0.35</v>
      </c>
      <c r="I1916" s="5">
        <v>0.35</v>
      </c>
      <c r="J1916" s="5">
        <v>0.41</v>
      </c>
      <c r="K1916" s="5">
        <v>68664</v>
      </c>
      <c r="L1916" s="5">
        <v>0.28000000000000003</v>
      </c>
      <c r="M1916" s="5">
        <v>45</v>
      </c>
      <c r="N1916" s="5" t="s">
        <v>25</v>
      </c>
      <c r="O1916" s="5" t="s">
        <v>25</v>
      </c>
      <c r="P1916" s="5">
        <f t="shared" si="150"/>
        <v>-5.0000000000000044E-2</v>
      </c>
      <c r="Q1916" s="6">
        <f t="shared" si="151"/>
        <v>-0.12500000000000011</v>
      </c>
      <c r="R1916" s="5">
        <f t="shared" si="152"/>
        <v>0.10000000000000003</v>
      </c>
      <c r="S1916" s="6">
        <f t="shared" si="153"/>
        <v>0.25000000000000006</v>
      </c>
      <c r="T1916" s="6">
        <f t="shared" si="154"/>
        <v>-0.15483870967741933</v>
      </c>
    </row>
    <row r="1917" spans="1:20" hidden="1" x14ac:dyDescent="0.25">
      <c r="A1917" s="4" t="s">
        <v>1808</v>
      </c>
      <c r="B1917" s="5" t="s">
        <v>16</v>
      </c>
      <c r="C1917" s="5" t="s">
        <v>1823</v>
      </c>
      <c r="D1917" s="5">
        <v>42.45</v>
      </c>
      <c r="E1917" s="5">
        <v>44.6</v>
      </c>
      <c r="F1917" s="5">
        <v>44.6</v>
      </c>
      <c r="G1917" s="5">
        <v>41.05</v>
      </c>
      <c r="H1917" s="5">
        <v>41.05</v>
      </c>
      <c r="I1917" s="5">
        <v>41.85</v>
      </c>
      <c r="J1917" s="5">
        <v>42.64</v>
      </c>
      <c r="K1917" s="5">
        <v>1110</v>
      </c>
      <c r="L1917" s="5">
        <v>0.47</v>
      </c>
      <c r="M1917" s="5">
        <v>44</v>
      </c>
      <c r="N1917" s="5">
        <v>685</v>
      </c>
      <c r="O1917" s="5">
        <v>61.71</v>
      </c>
      <c r="P1917" s="5">
        <f t="shared" si="150"/>
        <v>-0.60000000000000142</v>
      </c>
      <c r="Q1917" s="6">
        <f t="shared" si="151"/>
        <v>-1.4134275618374591E-2</v>
      </c>
      <c r="R1917" s="5">
        <f t="shared" si="152"/>
        <v>3.5500000000000043</v>
      </c>
      <c r="S1917" s="6">
        <f t="shared" si="153"/>
        <v>8.3627797408716231E-2</v>
      </c>
      <c r="T1917" s="6">
        <f t="shared" si="154"/>
        <v>-1.8361417780360236E-2</v>
      </c>
    </row>
    <row r="1918" spans="1:20" hidden="1" x14ac:dyDescent="0.25">
      <c r="A1918" s="4" t="s">
        <v>1809</v>
      </c>
      <c r="B1918" s="5" t="s">
        <v>16</v>
      </c>
      <c r="C1918" s="5" t="s">
        <v>1823</v>
      </c>
      <c r="D1918" s="5">
        <v>210</v>
      </c>
      <c r="E1918" s="5">
        <v>210</v>
      </c>
      <c r="F1918" s="5">
        <v>212.8</v>
      </c>
      <c r="G1918" s="5">
        <v>206.4</v>
      </c>
      <c r="H1918" s="5">
        <v>209.75</v>
      </c>
      <c r="I1918" s="5">
        <v>210.1</v>
      </c>
      <c r="J1918" s="5">
        <v>211.47</v>
      </c>
      <c r="K1918" s="5">
        <v>30973</v>
      </c>
      <c r="L1918" s="5">
        <v>65.5</v>
      </c>
      <c r="M1918" s="5">
        <v>1678</v>
      </c>
      <c r="N1918" s="5">
        <v>22432</v>
      </c>
      <c r="O1918" s="5">
        <v>72.42</v>
      </c>
      <c r="P1918" s="5">
        <f t="shared" si="150"/>
        <v>9.9999999999994316E-2</v>
      </c>
      <c r="Q1918" s="6">
        <f t="shared" si="151"/>
        <v>4.7619047619044914E-4</v>
      </c>
      <c r="R1918" s="5">
        <f t="shared" si="152"/>
        <v>6.4000000000000057</v>
      </c>
      <c r="S1918" s="6">
        <f t="shared" si="153"/>
        <v>3.0476190476190504E-2</v>
      </c>
      <c r="T1918" s="6">
        <f t="shared" si="154"/>
        <v>-6.5292505659478349E-3</v>
      </c>
    </row>
    <row r="1919" spans="1:20" hidden="1" x14ac:dyDescent="0.25">
      <c r="A1919" s="4" t="s">
        <v>1810</v>
      </c>
      <c r="B1919" s="5" t="s">
        <v>16</v>
      </c>
      <c r="C1919" s="5" t="s">
        <v>1823</v>
      </c>
      <c r="D1919" s="5">
        <v>69.25</v>
      </c>
      <c r="E1919" s="5">
        <v>70.400000000000006</v>
      </c>
      <c r="F1919" s="5">
        <v>70.400000000000006</v>
      </c>
      <c r="G1919" s="5">
        <v>66</v>
      </c>
      <c r="H1919" s="5">
        <v>66.2</v>
      </c>
      <c r="I1919" s="5">
        <v>67.400000000000006</v>
      </c>
      <c r="J1919" s="5">
        <v>68.349999999999994</v>
      </c>
      <c r="K1919" s="5">
        <v>40303</v>
      </c>
      <c r="L1919" s="5">
        <v>27.55</v>
      </c>
      <c r="M1919" s="5">
        <v>287</v>
      </c>
      <c r="N1919" s="5">
        <v>34534</v>
      </c>
      <c r="O1919" s="5">
        <v>85.69</v>
      </c>
      <c r="P1919" s="5">
        <f t="shared" si="150"/>
        <v>-1.8499999999999943</v>
      </c>
      <c r="Q1919" s="6">
        <f t="shared" si="151"/>
        <v>-2.671480144404324E-2</v>
      </c>
      <c r="R1919" s="5">
        <f t="shared" si="152"/>
        <v>4.4000000000000057</v>
      </c>
      <c r="S1919" s="6">
        <f t="shared" si="153"/>
        <v>6.35379061371842E-2</v>
      </c>
      <c r="T1919" s="6">
        <f t="shared" si="154"/>
        <v>-1.3858497447118723E-2</v>
      </c>
    </row>
    <row r="1920" spans="1:20" hidden="1" x14ac:dyDescent="0.25">
      <c r="A1920" s="4" t="s">
        <v>1811</v>
      </c>
      <c r="B1920" s="5" t="s">
        <v>39</v>
      </c>
      <c r="C1920" s="5" t="s">
        <v>1823</v>
      </c>
      <c r="D1920" s="5">
        <v>1</v>
      </c>
      <c r="E1920" s="5">
        <v>1.05</v>
      </c>
      <c r="F1920" s="5">
        <v>1.05</v>
      </c>
      <c r="G1920" s="5">
        <v>1</v>
      </c>
      <c r="H1920" s="5">
        <v>1</v>
      </c>
      <c r="I1920" s="5">
        <v>1</v>
      </c>
      <c r="J1920" s="5">
        <v>1.04</v>
      </c>
      <c r="K1920" s="5">
        <v>4513</v>
      </c>
      <c r="L1920" s="5">
        <v>0.05</v>
      </c>
      <c r="M1920" s="5">
        <v>13</v>
      </c>
      <c r="N1920" s="5" t="s">
        <v>25</v>
      </c>
      <c r="O1920" s="5" t="s">
        <v>25</v>
      </c>
      <c r="P1920" s="5">
        <f t="shared" si="150"/>
        <v>0</v>
      </c>
      <c r="Q1920" s="6">
        <f t="shared" si="151"/>
        <v>0</v>
      </c>
      <c r="R1920" s="5">
        <f t="shared" si="152"/>
        <v>5.0000000000000044E-2</v>
      </c>
      <c r="S1920" s="6">
        <f t="shared" si="153"/>
        <v>5.0000000000000044E-2</v>
      </c>
      <c r="T1920" s="6">
        <f t="shared" si="154"/>
        <v>-3.9024390243902474E-2</v>
      </c>
    </row>
    <row r="1921" spans="1:20" hidden="1" x14ac:dyDescent="0.25">
      <c r="A1921" s="4" t="s">
        <v>1812</v>
      </c>
      <c r="B1921" s="5" t="s">
        <v>16</v>
      </c>
      <c r="C1921" s="5" t="s">
        <v>1823</v>
      </c>
      <c r="D1921" s="5">
        <v>209.95</v>
      </c>
      <c r="E1921" s="5">
        <v>213.45</v>
      </c>
      <c r="F1921" s="5">
        <v>214</v>
      </c>
      <c r="G1921" s="5">
        <v>201</v>
      </c>
      <c r="H1921" s="5">
        <v>205</v>
      </c>
      <c r="I1921" s="5">
        <v>204.3</v>
      </c>
      <c r="J1921" s="5">
        <v>209.87</v>
      </c>
      <c r="K1921" s="5">
        <v>3288</v>
      </c>
      <c r="L1921" s="5">
        <v>6.9</v>
      </c>
      <c r="M1921" s="5">
        <v>238</v>
      </c>
      <c r="N1921" s="5">
        <v>3127</v>
      </c>
      <c r="O1921" s="5">
        <v>95.1</v>
      </c>
      <c r="P1921" s="5">
        <f t="shared" si="150"/>
        <v>-5.6499999999999773</v>
      </c>
      <c r="Q1921" s="6">
        <f t="shared" si="151"/>
        <v>-2.69111693260299E-2</v>
      </c>
      <c r="R1921" s="5">
        <f t="shared" si="152"/>
        <v>13</v>
      </c>
      <c r="S1921" s="6">
        <f t="shared" si="153"/>
        <v>6.1919504643962849E-2</v>
      </c>
      <c r="T1921" s="6">
        <f t="shared" si="154"/>
        <v>-2.6754728309816841E-2</v>
      </c>
    </row>
    <row r="1922" spans="1:20" hidden="1" x14ac:dyDescent="0.25">
      <c r="A1922" s="4" t="s">
        <v>1813</v>
      </c>
      <c r="B1922" s="5" t="s">
        <v>16</v>
      </c>
      <c r="C1922" s="5" t="s">
        <v>1823</v>
      </c>
      <c r="D1922" s="5">
        <v>33</v>
      </c>
      <c r="E1922" s="5">
        <v>34.049999999999997</v>
      </c>
      <c r="F1922" s="5">
        <v>34.049999999999997</v>
      </c>
      <c r="G1922" s="5">
        <v>31.65</v>
      </c>
      <c r="H1922" s="5">
        <v>31.65</v>
      </c>
      <c r="I1922" s="5">
        <v>31.9</v>
      </c>
      <c r="J1922" s="5">
        <v>33.24</v>
      </c>
      <c r="K1922" s="5">
        <v>112</v>
      </c>
      <c r="L1922" s="5">
        <v>0.04</v>
      </c>
      <c r="M1922" s="5">
        <v>8</v>
      </c>
      <c r="N1922" s="5">
        <v>12</v>
      </c>
      <c r="O1922" s="5">
        <v>10.71</v>
      </c>
      <c r="P1922" s="5">
        <f t="shared" si="150"/>
        <v>-1.1000000000000014</v>
      </c>
      <c r="Q1922" s="6">
        <f t="shared" si="151"/>
        <v>-3.3333333333333375E-2</v>
      </c>
      <c r="R1922" s="5">
        <f t="shared" si="152"/>
        <v>2.3999999999999986</v>
      </c>
      <c r="S1922" s="6">
        <f t="shared" si="153"/>
        <v>7.2727272727272682E-2</v>
      </c>
      <c r="T1922" s="6">
        <f t="shared" si="154"/>
        <v>-4.0714014432206708E-2</v>
      </c>
    </row>
    <row r="1923" spans="1:20" hidden="1" x14ac:dyDescent="0.25">
      <c r="A1923" s="4" t="s">
        <v>1814</v>
      </c>
      <c r="B1923" s="5" t="s">
        <v>16</v>
      </c>
      <c r="C1923" s="5" t="s">
        <v>1823</v>
      </c>
      <c r="D1923" s="5">
        <v>190.55</v>
      </c>
      <c r="E1923" s="5">
        <v>193.95</v>
      </c>
      <c r="F1923" s="5">
        <v>193.95</v>
      </c>
      <c r="G1923" s="5">
        <v>188</v>
      </c>
      <c r="H1923" s="5">
        <v>190</v>
      </c>
      <c r="I1923" s="5">
        <v>189.05</v>
      </c>
      <c r="J1923" s="5">
        <v>190.09</v>
      </c>
      <c r="K1923" s="5">
        <v>40372</v>
      </c>
      <c r="L1923" s="5">
        <v>76.739999999999995</v>
      </c>
      <c r="M1923" s="5">
        <v>301</v>
      </c>
      <c r="N1923" s="5">
        <v>18892</v>
      </c>
      <c r="O1923" s="5">
        <v>46.79</v>
      </c>
      <c r="P1923" s="5">
        <f t="shared" si="150"/>
        <v>-1.5</v>
      </c>
      <c r="Q1923" s="6">
        <f t="shared" si="151"/>
        <v>-7.8719496195224347E-3</v>
      </c>
      <c r="R1923" s="5">
        <f t="shared" si="152"/>
        <v>5.9499999999999886</v>
      </c>
      <c r="S1923" s="6">
        <f t="shared" si="153"/>
        <v>3.122540015743893E-2</v>
      </c>
      <c r="T1923" s="6">
        <f t="shared" si="154"/>
        <v>-5.4382639388194888E-3</v>
      </c>
    </row>
    <row r="1924" spans="1:20" x14ac:dyDescent="0.25">
      <c r="A1924" s="4" t="s">
        <v>768</v>
      </c>
      <c r="B1924" s="5" t="s">
        <v>39</v>
      </c>
      <c r="C1924" s="5" t="s">
        <v>1823</v>
      </c>
      <c r="D1924" s="5">
        <v>44.65</v>
      </c>
      <c r="E1924" s="5">
        <v>45</v>
      </c>
      <c r="F1924" s="5">
        <v>45.6</v>
      </c>
      <c r="G1924" s="5">
        <v>44.1</v>
      </c>
      <c r="H1924" s="5">
        <v>45</v>
      </c>
      <c r="I1924" s="5">
        <v>44.2</v>
      </c>
      <c r="J1924" s="5">
        <v>44.95</v>
      </c>
      <c r="K1924" s="5">
        <v>190628</v>
      </c>
      <c r="L1924" s="5">
        <v>85.68</v>
      </c>
      <c r="M1924" s="5">
        <v>523</v>
      </c>
      <c r="N1924" s="5" t="s">
        <v>25</v>
      </c>
      <c r="O1924" s="5" t="s">
        <v>25</v>
      </c>
      <c r="P1924" s="5">
        <f t="shared" si="150"/>
        <v>-0.44999999999999574</v>
      </c>
      <c r="Q1924" s="6">
        <f t="shared" si="151"/>
        <v>-1.0078387458006623E-2</v>
      </c>
      <c r="R1924" s="5">
        <f t="shared" si="152"/>
        <v>1.5</v>
      </c>
      <c r="S1924" s="6">
        <f t="shared" si="153"/>
        <v>3.3594624860022397E-2</v>
      </c>
      <c r="T1924" s="6">
        <f t="shared" si="154"/>
        <v>-1.6769144773616549E-2</v>
      </c>
    </row>
    <row r="1925" spans="1:20" hidden="1" x14ac:dyDescent="0.25">
      <c r="A1925" s="4" t="s">
        <v>1816</v>
      </c>
      <c r="B1925" s="5" t="s">
        <v>16</v>
      </c>
      <c r="C1925" s="5" t="s">
        <v>1823</v>
      </c>
      <c r="D1925" s="5">
        <v>68.650000000000006</v>
      </c>
      <c r="E1925" s="5">
        <v>69</v>
      </c>
      <c r="F1925" s="5">
        <v>69.5</v>
      </c>
      <c r="G1925" s="5">
        <v>65</v>
      </c>
      <c r="H1925" s="5">
        <v>65.400000000000006</v>
      </c>
      <c r="I1925" s="5">
        <v>66.05</v>
      </c>
      <c r="J1925" s="5">
        <v>67.22</v>
      </c>
      <c r="K1925" s="5">
        <v>35176</v>
      </c>
      <c r="L1925" s="5">
        <v>23.65</v>
      </c>
      <c r="M1925" s="5">
        <v>549</v>
      </c>
      <c r="N1925" s="5">
        <v>20127</v>
      </c>
      <c r="O1925" s="5">
        <v>57.22</v>
      </c>
      <c r="P1925" s="5">
        <f t="shared" ref="P1925:P1926" si="155">I1925-D1925</f>
        <v>-2.6000000000000085</v>
      </c>
      <c r="Q1925" s="6">
        <f t="shared" ref="Q1925:Q1926" si="156">P1925/D1925</f>
        <v>-3.7873270211216434E-2</v>
      </c>
      <c r="R1925" s="5">
        <f t="shared" ref="R1925:R1926" si="157">ABS(F1925-G1925)</f>
        <v>4.5</v>
      </c>
      <c r="S1925" s="6">
        <f t="shared" ref="S1925:S1926" si="158">R1925/D1925</f>
        <v>6.5549890750182083E-2</v>
      </c>
      <c r="T1925" s="6">
        <f t="shared" ref="T1925:T1926" si="159">(I1925-J1925)/AVERAGE(E1925:G1925,I1925)</f>
        <v>-1.7362270450751276E-2</v>
      </c>
    </row>
    <row r="1926" spans="1:20" hidden="1" x14ac:dyDescent="0.25">
      <c r="A1926" s="4" t="s">
        <v>1817</v>
      </c>
      <c r="B1926" s="5" t="s">
        <v>16</v>
      </c>
      <c r="C1926" s="5" t="s">
        <v>1823</v>
      </c>
      <c r="D1926" s="5">
        <v>1746.55</v>
      </c>
      <c r="E1926" s="5">
        <v>1760.15</v>
      </c>
      <c r="F1926" s="5">
        <v>1775</v>
      </c>
      <c r="G1926" s="5">
        <v>1725</v>
      </c>
      <c r="H1926" s="5">
        <v>1741</v>
      </c>
      <c r="I1926" s="5">
        <v>1749.4</v>
      </c>
      <c r="J1926" s="5">
        <v>1749.34</v>
      </c>
      <c r="K1926" s="5">
        <v>7442</v>
      </c>
      <c r="L1926" s="5">
        <v>130.19</v>
      </c>
      <c r="M1926" s="5">
        <v>1129</v>
      </c>
      <c r="N1926" s="5">
        <v>3899</v>
      </c>
      <c r="O1926" s="5">
        <v>52.39</v>
      </c>
      <c r="P1926" s="5">
        <f t="shared" si="155"/>
        <v>2.8500000000001364</v>
      </c>
      <c r="Q1926" s="6">
        <f t="shared" si="156"/>
        <v>1.6317883828119073E-3</v>
      </c>
      <c r="R1926" s="5">
        <f t="shared" si="157"/>
        <v>50</v>
      </c>
      <c r="S1926" s="6">
        <f t="shared" si="158"/>
        <v>2.8627866365119808E-2</v>
      </c>
      <c r="T1926" s="6">
        <f t="shared" si="159"/>
        <v>3.4239002503825674E-5</v>
      </c>
    </row>
    <row r="1927" spans="1:20" hidden="1" x14ac:dyDescent="0.25">
      <c r="A1927" s="1" t="s">
        <v>1820</v>
      </c>
    </row>
  </sheetData>
  <autoFilter ref="A1:T1927" xr:uid="{6B3CA13A-05A0-4F7A-8D80-B32F490D37BB}">
    <filterColumn colId="8">
      <customFilters>
        <customFilter operator="greaterThan" val="10"/>
      </customFilters>
    </filterColumn>
    <filterColumn colId="10">
      <customFilters>
        <customFilter operator="greaterThan" val="100000"/>
      </customFilters>
    </filterColumn>
    <filterColumn colId="18">
      <customFilters>
        <customFilter operator="greaterThan" val="0.03"/>
        <customFilter operator="lessThan" val="-0.03"/>
      </customFilters>
    </filterColumn>
  </autoFilter>
  <sortState ref="A12:T1924">
    <sortCondition ref="O1"/>
  </sortState>
  <conditionalFormatting sqref="K2:K19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926">
    <cfRule type="colorScale" priority="2">
      <colorScale>
        <cfvo type="min"/>
        <cfvo type="num" val="-1.3333333333333286E-2"/>
        <cfvo type="max"/>
        <color rgb="FFFFAFAF"/>
        <color rgb="FFFFFFFF"/>
        <color rgb="FFAFFFAF"/>
      </colorScale>
    </cfRule>
  </conditionalFormatting>
  <conditionalFormatting sqref="O2:O1926">
    <cfRule type="colorScale" priority="3">
      <colorScale>
        <cfvo type="min"/>
        <cfvo type="num" val="65.36"/>
        <cfvo type="max"/>
        <color rgb="FFFFFFFF"/>
        <color rgb="FFE6FFE6"/>
        <color rgb="FFAFFFAF"/>
      </colorScale>
    </cfRule>
  </conditionalFormatting>
  <conditionalFormatting sqref="S2:S1926">
    <cfRule type="colorScale" priority="4">
      <colorScale>
        <cfvo type="min"/>
        <cfvo type="num" val="0.15148560192926525"/>
        <cfvo type="max"/>
        <color rgb="FFFFFFFF"/>
        <color rgb="FFE6FFE6"/>
        <color rgb="FFAFFFAF"/>
      </colorScale>
    </cfRule>
  </conditionalFormatting>
  <conditionalFormatting sqref="T2:T1926">
    <cfRule type="colorScale" priority="5">
      <colorScale>
        <cfvo type="min"/>
        <cfvo type="num" val="6.0560181680532996E-4"/>
        <cfvo type="max"/>
        <color rgb="FFFFAFAF"/>
        <color rgb="FFFFFFFF"/>
        <color rgb="FFAFFFAF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</vt:lpstr>
      <vt:lpstr>Data</vt:lpstr>
      <vt:lpstr>Data!ExternalData_1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doe</dc:creator>
  <cp:lastModifiedBy>doe</cp:lastModifiedBy>
  <dcterms:created xsi:type="dcterms:W3CDTF">2019-09-25T05:32:42Z</dcterms:created>
  <dcterms:modified xsi:type="dcterms:W3CDTF">2019-09-26T03:13:18Z</dcterms:modified>
</cp:coreProperties>
</file>